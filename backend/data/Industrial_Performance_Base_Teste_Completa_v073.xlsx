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8037d59d8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57d8d1a8e701432b"/>
    <x:sheet xmlns:r="http://schemas.openxmlformats.org/officeDocument/2006/relationships" name="Cadastro_Dimensoes" sheetId="2" r:id="R24a83c490f2e47bf"/>
    <x:sheet xmlns:r="http://schemas.openxmlformats.org/officeDocument/2006/relationships" name="Padroes_Produto" sheetId="3" r:id="Rdb06b7ce600d4b6f"/>
    <x:sheet xmlns:r="http://schemas.openxmlformats.org/officeDocument/2006/relationships" name="Metas" sheetId="4" r:id="Rb155a0b7c3774855"/>
    <x:sheet xmlns:r="http://schemas.openxmlformats.org/officeDocument/2006/relationships" name="Producao" sheetId="5" r:id="R1fa4ca7acf0c410a"/>
    <x:sheet xmlns:r="http://schemas.openxmlformats.org/officeDocument/2006/relationships" name="Qualidade" sheetId="6" r:id="R11d36effa40144a7"/>
    <x:sheet xmlns:r="http://schemas.openxmlformats.org/officeDocument/2006/relationships" name="Manutencao" sheetId="7" r:id="Rbc7c7d85706e4e9e"/>
    <x:sheet xmlns:r="http://schemas.openxmlformats.org/officeDocument/2006/relationships" name="Pessoas" sheetId="8" r:id="Rc9d892bb48db4da2"/>
    <x:sheet xmlns:r="http://schemas.openxmlformats.org/officeDocument/2006/relationships" name="Custos" sheetId="9" r:id="R059ad60a3f6e4d91"/>
    <x:sheet xmlns:r="http://schemas.openxmlformats.org/officeDocument/2006/relationships" name="PCP" sheetId="10" r:id="Re7a9396ad27448ca"/>
    <x:sheet xmlns:r="http://schemas.openxmlformats.org/officeDocument/2006/relationships" name="Capacidade" sheetId="11" r:id="R6122429b42da4c6b"/>
    <x:sheet xmlns:r="http://schemas.openxmlformats.org/officeDocument/2006/relationships" name="Supply" sheetId="12" r:id="R783609b195a84c7e"/>
    <x:sheet xmlns:r="http://schemas.openxmlformats.org/officeDocument/2006/relationships" name="Logistica" sheetId="13" r:id="R8298c58e6cc5491c"/>
    <x:sheet xmlns:r="http://schemas.openxmlformats.org/officeDocument/2006/relationships" name="Pedidos_Logistica" sheetId="14" r:id="Rac3a07df66734059"/>
    <x:sheet xmlns:r="http://schemas.openxmlformats.org/officeDocument/2006/relationships" name="DRE_Gerencial" sheetId="15" r:id="R50c73fcbebf543f0"/>
    <x:sheet xmlns:r="http://schemas.openxmlformats.org/officeDocument/2006/relationships" name="Plano_Contas_DRE" sheetId="16" r:id="R9c5fff970b4b46ea"/>
    <x:sheet xmlns:r="http://schemas.openxmlformats.org/officeDocument/2006/relationships" name="Responsaveis" sheetId="17" r:id="Rbeb23bd1f8134c7b"/>
    <x:sheet xmlns:r="http://schemas.openxmlformats.org/officeDocument/2006/relationships" name="Alavancas_Simulador" sheetId="18" r:id="R4500ba2c57af453a"/>
    <x:sheet xmlns:r="http://schemas.openxmlformats.org/officeDocument/2006/relationships" name="Premissas_Simulador" sheetId="19" r:id="R65a9b051c7ae4216"/>
    <x:sheet xmlns:r="http://schemas.openxmlformats.org/officeDocument/2006/relationships" name="Parametros_Diagnostico" sheetId="20" r:id="R10715d2086034637"/>
    <x:sheet xmlns:r="http://schemas.openxmlformats.org/officeDocument/2006/relationships" name="Dicionario_Dados" sheetId="21" r:id="Rd203c93b2842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.00;[Red](R$ #,##0.00);-"/>
    <x:numFmt numFmtId="201" formatCode="#,##0.00;[Red](#,##0.00);-"/>
    <x:numFmt numFmtId="202" formatCode="dd/mm/yyyy"/>
    <x:numFmt numFmtId="203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A2E4E"/>
      <x:name val="Carlito"/>
    </x:font>
    <x:font>
      <x:sz val="11"/>
      <x:color rgb="FF10233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C31"/>
      </x:patternFill>
    </x:fill>
    <x:fill>
      <x:patternFill patternType="solid">
        <x:fgColor rgb="FFE8F4FD"/>
      </x:patternFill>
    </x:fill>
    <x:fill>
      <x:patternFill patternType="solid">
        <x:fgColor rgb="FF0A2E4E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200" fontId="3" fillId="0" borderId="0" xfId="0" applyNumberFormat="1" applyFont="1" applyFill="1" applyBorder="1" applyAlignment="1">
      <x:alignment vertical="top"/>
    </x:xf>
    <x:xf numFmtId="200" fontId="3" fillId="0" borderId="1" xfId="0" applyNumberFormat="1" applyFont="1" applyFill="1" applyBorder="1" applyAlignment="1">
      <x:alignment vertical="top"/>
    </x:xf>
    <x:xf numFmtId="201" fontId="3" fillId="0" borderId="0" xfId="0" applyNumberFormat="1" applyFont="1" applyFill="1" applyBorder="1" applyAlignment="1">
      <x:alignment vertical="top"/>
    </x:xf>
    <x:xf numFmtId="201" fontId="3" fillId="0" borderId="1" xfId="0" applyNumberFormat="1" applyFont="1" applyFill="1" applyBorder="1" applyAlignment="1">
      <x:alignment vertical="top"/>
    </x:xf>
    <x:xf numFmtId="202" fontId="3" fillId="0" borderId="0" xfId="0" applyNumberFormat="1" applyFont="1" applyFill="1" applyBorder="1" applyAlignment="1">
      <x:alignment vertical="top"/>
    </x:xf>
    <x:xf numFmtId="202" fontId="3" fillId="0" borderId="1" xfId="0" applyNumberFormat="1" applyFont="1" applyFill="1" applyBorder="1" applyAlignment="1">
      <x:alignment vertical="top"/>
    </x:xf>
    <x:xf numFmtId="203" fontId="3" fillId="0" borderId="0" xfId="0" applyNumberFormat="1" applyFont="1" applyFill="1" applyBorder="1" applyAlignment="1">
      <x:alignment vertical="top"/>
    </x:xf>
    <x:xf numFmtId="203" fontId="3" fillId="0" borderId="1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/>
    <x:xf numFmtId="201" fontId="5" fillId="0" borderId="0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vertical="top"/>
    </x:xf>
    <x:xf numFmtId="201" fontId="5" fillId="0" borderId="1" xfId="0" applyNumberFormat="1" applyFont="1" applyFill="1" applyBorder="1" applyAlignment="1">
      <x:alignment vertical="top"/>
    </x:xf>
    <x:xf numFmtId="200" fontId="5" fillId="0" borderId="1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3" fontId="6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3">
    <x:dxf>
      <x:font>
        <x:b/>
        <x:color rgb="FFE53B36"/>
      </x:font>
      <x:fill>
        <x:patternFill patternType="solid">
          <x:bgColor rgb="FFFDECEC"/>
        </x:patternFill>
      </x:fill>
    </x:dxf>
    <x:dxf>
      <x:font>
        <x:b/>
        <x:color rgb="FFE53B36"/>
      </x:font>
      <x:fill>
        <x:patternFill patternType="solid">
          <x:bgColor rgb="FFFDECEC"/>
        </x:patternFill>
      </x:fill>
    </x:dxf>
    <x:dxf>
      <x:font>
        <x:b/>
        <x:color rgb="FFE53B36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c1d4f2eda48af" /><Relationship Type="http://schemas.openxmlformats.org/officeDocument/2006/relationships/theme" Target="/xl/theme/theme1.xml" Id="R73b12ce0526d4270" /><Relationship Type="http://schemas.openxmlformats.org/officeDocument/2006/relationships/sharedStrings" Target="/xl/sharedStrings.xml" Id="R1dec6cba0d4c4623" /><Relationship Type="http://schemas.openxmlformats.org/officeDocument/2006/relationships/worksheet" Target="/xl/worksheets/sheet1.xml" Id="R57d8d1a8e701432b" /><Relationship Type="http://schemas.openxmlformats.org/officeDocument/2006/relationships/worksheet" Target="/xl/worksheets/sheet2.xml" Id="R24a83c490f2e47bf" /><Relationship Type="http://schemas.openxmlformats.org/officeDocument/2006/relationships/worksheet" Target="/xl/worksheets/sheet3.xml" Id="Rdb06b7ce600d4b6f" /><Relationship Type="http://schemas.openxmlformats.org/officeDocument/2006/relationships/worksheet" Target="/xl/worksheets/sheet4.xml" Id="Rb155a0b7c3774855" /><Relationship Type="http://schemas.openxmlformats.org/officeDocument/2006/relationships/worksheet" Target="/xl/worksheets/sheet5.xml" Id="R1fa4ca7acf0c410a" /><Relationship Type="http://schemas.openxmlformats.org/officeDocument/2006/relationships/worksheet" Target="/xl/worksheets/sheet6.xml" Id="R11d36effa40144a7" /><Relationship Type="http://schemas.openxmlformats.org/officeDocument/2006/relationships/worksheet" Target="/xl/worksheets/sheet7.xml" Id="Rbc7c7d85706e4e9e" /><Relationship Type="http://schemas.openxmlformats.org/officeDocument/2006/relationships/worksheet" Target="/xl/worksheets/sheet8.xml" Id="Rc9d892bb48db4da2" /><Relationship Type="http://schemas.openxmlformats.org/officeDocument/2006/relationships/worksheet" Target="/xl/worksheets/sheet9.xml" Id="R059ad60a3f6e4d91" /><Relationship Type="http://schemas.openxmlformats.org/officeDocument/2006/relationships/worksheet" Target="/xl/worksheets/sheet10.xml" Id="Re7a9396ad27448ca" /><Relationship Type="http://schemas.openxmlformats.org/officeDocument/2006/relationships/worksheet" Target="/xl/worksheets/sheet11.xml" Id="R6122429b42da4c6b" /><Relationship Type="http://schemas.openxmlformats.org/officeDocument/2006/relationships/worksheet" Target="/xl/worksheets/sheet12.xml" Id="R783609b195a84c7e" /><Relationship Type="http://schemas.openxmlformats.org/officeDocument/2006/relationships/worksheet" Target="/xl/worksheets/sheet13.xml" Id="R8298c58e6cc5491c" /><Relationship Type="http://schemas.openxmlformats.org/officeDocument/2006/relationships/worksheet" Target="/xl/worksheets/sheet14.xml" Id="Rac3a07df66734059" /><Relationship Type="http://schemas.openxmlformats.org/officeDocument/2006/relationships/worksheet" Target="/xl/worksheets/sheet15.xml" Id="R50c73fcbebf543f0" /><Relationship Type="http://schemas.openxmlformats.org/officeDocument/2006/relationships/worksheet" Target="/xl/worksheets/sheet16.xml" Id="R9c5fff970b4b46ea" /><Relationship Type="http://schemas.openxmlformats.org/officeDocument/2006/relationships/worksheet" Target="/xl/worksheets/sheet17.xml" Id="Rbeb23bd1f8134c7b" /><Relationship Type="http://schemas.openxmlformats.org/officeDocument/2006/relationships/worksheet" Target="/xl/worksheets/sheet18.xml" Id="R4500ba2c57af453a" /><Relationship Type="http://schemas.openxmlformats.org/officeDocument/2006/relationships/worksheet" Target="/xl/worksheets/sheet19.xml" Id="R65a9b051c7ae4216" /><Relationship Type="http://schemas.openxmlformats.org/officeDocument/2006/relationships/worksheet" Target="/xl/worksheets/sheet20.xml" Id="R10715d2086034637" /><Relationship Type="http://schemas.openxmlformats.org/officeDocument/2006/relationships/worksheet" Target="/xl/worksheets/sheet21.xml" Id="Rd203c93b284246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4" t="str">
        <x:v>INDUSTRIAL PERFORMANCE — BASE COMPLETA DE TESTE v0.7.3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0" t="str">
        <x:v>Objetivo</x:v>
      </x:c>
      <x:c r="B4" s="15" t="str">
        <x:v>Base sintética completa para testar as telas validadas. Todos os dados são fictícios e coerentes entre si.</x:v>
      </x:c>
    </x:row>
    <x:row r="5">
      <x:c r="A5" s="10" t="str">
        <x:v>Grupo</x:v>
      </x:c>
      <x:c r="B5" s="15" t="str">
        <x:v>Grupo Industrial S.A.</x:v>
      </x:c>
    </x:row>
    <x:row r="6">
      <x:c r="A6" s="10" t="str">
        <x:v>Plantas</x:v>
      </x:c>
      <x:c r="B6" s="15" t="str">
        <x:v>São Paulo, Campinas e Curitiba</x:v>
      </x:c>
    </x:row>
    <x:row r="7">
      <x:c r="A7" s="10" t="str">
        <x:v>Período</x:v>
      </x:c>
      <x:c r="B7" s="15" t="str">
        <x:v>Jan/2024 a Dez/2024</x:v>
      </x:c>
    </x:row>
    <x:row r="8">
      <x:c r="A8" s="10" t="str">
        <x:v>Visão Multiplantas</x:v>
      </x:c>
      <x:c r="B8" s="15" t="str">
        <x:v>Comparar OEE por planta. NÃO calcular OEE consolidado.</x:v>
      </x:c>
    </x:row>
    <x:row r="9">
      <x:c r="A9" s="10" t="str">
        <x:v>PCP &amp; Aderência</x:v>
      </x:c>
      <x:c r="B9" s="15" t="str">
        <x:v>Forecast → MRP/Plano → Produzido. MAPE, WAPE e Bias pelas fórmulas aprovadas.</x:v>
      </x:c>
    </x:row>
    <x:row r="10">
      <x:c r="A10" s="10" t="str">
        <x:v>Produção &amp; OEE</x:v>
      </x:c>
      <x:c r="B10" s="15" t="str">
        <x:v>OEE = Disponibilidade × Performance × Qualidade. Performance ≠ Produtividade MOD.</x:v>
      </x:c>
    </x:row>
    <x:row r="11">
      <x:c r="A11" s="10" t="str">
        <x:v>Capacidade</x:v>
      </x:c>
      <x:c r="B11" s="15" t="str">
        <x:v>Usar a aba Capacidade. Não estimar capacidade nominal por regra arbitrária.</x:v>
      </x:c>
    </x:row>
    <x:row r="12">
      <x:c r="A12" s="10" t="str">
        <x:v>Materiais &amp; Supply</x:v>
      </x:c>
      <x:c r="B12" s="15" t="str">
        <x:v>Materiais = consumo padrão × real. Supply = cobertura, lead time e aderência.</x:v>
      </x:c>
    </x:row>
    <x:row r="13">
      <x:c r="A13" s="10" t="str">
        <x:v>Logística</x:v>
      </x:c>
      <x:c r="B13" s="15" t="str">
        <x:v>OTIF/Frete pertencem à Logística. Receita em risco vem dos pedidos críticos.</x:v>
      </x:c>
    </x:row>
    <x:row r="14">
      <x:c r="A14" s="10" t="str">
        <x:v>Finanças &amp; DRE</x:v>
      </x:c>
      <x:c r="B14" s="15" t="str">
        <x:v>Nome oficial: EBITDA Gerencial. Frete em GGF. Capital de giro fora do EBITDA.</x:v>
      </x:c>
    </x:row>
    <x:row r="15">
      <x:c r="A15" s="10" t="str">
        <x:v>Causalidade</x:v>
      </x:c>
      <x:c r="B15" s="15" t="str">
        <x:v>Só afirmar causa quando houver evidência. Caso contrário: possível causa / hipótese / dado insuficiente.</x:v>
      </x:c>
    </x:row>
    <x:row r="16">
      <x:c r="A16" s="10" t="str">
        <x:v>Uso</x:v>
      </x:c>
      <x:c r="B16" s="15" t="str">
        <x:v>Subir este arquivo no software como base de teste. Os nomes de colunas são canônicos para facilitar validação.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2" hidden="0" customWidth="1"/>
    <x:col min="5" max="5" width="14" hidden="0" customWidth="1"/>
    <x:col min="6" max="6" width="22" hidden="0" customWidth="1"/>
    <x:col min="7" max="7" width="14" hidden="0" customWidth="1"/>
    <x:col min="8" max="8" width="14" hidden="0" customWidth="1"/>
  </x:cols>
  <x:sheetData>
    <x:row r="1">
      <x:c r="A1" s="22" t="str">
        <x:v>Grupo</x:v>
      </x:c>
      <x:c r="B1" s="22" t="str">
        <x:v>Fabrica</x:v>
      </x:c>
      <x:c r="C1" s="22" t="str">
        <x:v>Linha</x:v>
      </x:c>
      <x:c r="D1" s="22" t="str">
        <x:v>Maquina</x:v>
      </x:c>
      <x:c r="E1" s="22" t="str">
        <x:v>Produto</x:v>
      </x:c>
      <x:c r="F1" s="22" t="str">
        <x:v>Familia</x:v>
      </x:c>
      <x:c r="G1" s="22" t="str">
        <x:v>Centro_Custo</x:v>
      </x:c>
      <x:c r="H1" s="22" t="str">
        <x:v>Regiao</x:v>
      </x:c>
    </x:row>
    <x:row r="2">
      <x:c r="A2" s="28" t="str">
        <x:v>Grupo Industrial S.A.</x:v>
      </x:c>
      <x:c r="B2" s="28" t="str">
        <x:v>Planta São Paulo</x:v>
      </x:c>
      <x:c r="C2" s="28" t="str">
        <x:v>Linha 1 - Corte</x:v>
      </x:c>
      <x:c r="D2" s="28" t="str">
        <x:v>EQ 1 - Corte</x:v>
      </x:c>
      <x:c r="E2" s="28" t="str">
        <x:v>SKU-001</x:v>
      </x:c>
      <x:c r="F2" s="28" t="str">
        <x:v>Alimentos</x:v>
      </x:c>
      <x:c r="G2" s="28" t="str">
        <x:v>CC-101</x:v>
      </x:c>
      <x:c r="H2" s="28" t="str">
        <x:v>Sudeste</x:v>
      </x:c>
    </x:row>
    <x:row r="3">
      <x:c r="A3" s="28" t="str">
        <x:v>Grupo Industrial S.A.</x:v>
      </x:c>
      <x:c r="B3" s="28" t="str">
        <x:v>Planta São Paulo</x:v>
      </x:c>
      <x:c r="C3" s="28" t="str">
        <x:v>Linha 2 - Montagem</x:v>
      </x:c>
      <x:c r="D3" s="28" t="str">
        <x:v>EQ 2 - Montagem</x:v>
      </x:c>
      <x:c r="E3" s="28" t="str">
        <x:v>SKU-002</x:v>
      </x:c>
      <x:c r="F3" s="28" t="str">
        <x:v>Alimentos</x:v>
      </x:c>
      <x:c r="G3" s="28" t="str">
        <x:v>CC-102</x:v>
      </x:c>
      <x:c r="H3" s="28" t="str">
        <x:v>Sudeste</x:v>
      </x:c>
    </x:row>
    <x:row r="4">
      <x:c r="A4" s="28" t="str">
        <x:v>Grupo Industrial S.A.</x:v>
      </x:c>
      <x:c r="B4" s="28" t="str">
        <x:v>Planta Campinas</x:v>
      </x:c>
      <x:c r="C4" s="28" t="str">
        <x:v>Linha 3 - Extrusão</x:v>
      </x:c>
      <x:c r="D4" s="28" t="str">
        <x:v>EQ 3 - Extrusão</x:v>
      </x:c>
      <x:c r="E4" s="28" t="str">
        <x:v>SKU-078</x:v>
      </x:c>
      <x:c r="F4" s="28" t="str">
        <x:v>Higiene e Limpeza</x:v>
      </x:c>
      <x:c r="G4" s="28" t="str">
        <x:v>CC-203</x:v>
      </x:c>
      <x:c r="H4" s="28" t="str">
        <x:v>Sudeste</x:v>
      </x:c>
    </x:row>
    <x:row r="5">
      <x:c r="A5" s="28" t="str">
        <x:v>Grupo Industrial S.A.</x:v>
      </x:c>
      <x:c r="B5" s="28" t="str">
        <x:v>Planta Campinas</x:v>
      </x:c>
      <x:c r="C5" s="28" t="str">
        <x:v>Linha 4 - Embalagem</x:v>
      </x:c>
      <x:c r="D5" s="28" t="str">
        <x:v>EQ 4 - Embalagem</x:v>
      </x:c>
      <x:c r="E5" s="28" t="str">
        <x:v>SKU-105</x:v>
      </x:c>
      <x:c r="F5" s="28" t="str">
        <x:v>Embalagens</x:v>
      </x:c>
      <x:c r="G5" s="28" t="str">
        <x:v>CC-204</x:v>
      </x:c>
      <x:c r="H5" s="28" t="str">
        <x:v>Sudeste</x:v>
      </x:c>
    </x:row>
    <x:row r="6">
      <x:c r="A6" s="28" t="str">
        <x:v>Grupo Industrial S.A.</x:v>
      </x:c>
      <x:c r="B6" s="28" t="str">
        <x:v>Planta Curitiba</x:v>
      </x:c>
      <x:c r="C6" s="28" t="str">
        <x:v>Linha 5 - Usinagem</x:v>
      </x:c>
      <x:c r="D6" s="28" t="str">
        <x:v>EQ 5 - Usinagem</x:v>
      </x:c>
      <x:c r="E6" s="28" t="str">
        <x:v>SKU-223</x:v>
      </x:c>
      <x:c r="F6" s="28" t="str">
        <x:v>Bebidas</x:v>
      </x:c>
      <x:c r="G6" s="28" t="str">
        <x:v>CC-305</x:v>
      </x:c>
      <x:c r="H6" s="28" t="str">
        <x:v>Sul</x:v>
      </x:c>
    </x:row>
    <x:row r="7">
      <x:c r="A7" s="28" t="str">
        <x:v>Grupo Industrial S.A.</x:v>
      </x:c>
      <x:c r="B7" s="28" t="str">
        <x:v>Planta Curitiba</x:v>
      </x:c>
      <x:c r="C7" s="28" t="str">
        <x:v>Linha 6 - Finalização</x:v>
      </x:c>
      <x:c r="D7" s="28" t="str">
        <x:v>EQ 6 - Finalização</x:v>
      </x:c>
      <x:c r="E7" s="28" t="str">
        <x:v>SKU-432</x:v>
      </x:c>
      <x:c r="F7" s="28" t="str">
        <x:v>Alimentos</x:v>
      </x:c>
      <x:c r="G7" s="28" t="str">
        <x:v>CC-306</x:v>
      </x:c>
      <x:c r="H7" s="28" t="str">
        <x:v>Sul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4" hidden="0" customWidth="1"/>
    <x:col min="5" max="5" width="20" hidden="0" customWidth="1"/>
    <x:col min="6" max="6" width="16" hidden="0" customWidth="1"/>
    <x:col min="7" max="7" width="16" hidden="0" customWidth="1"/>
    <x:col min="8" max="8" width="22" hidden="0" customWidth="1"/>
    <x:col min="9" max="9" width="16" hidden="0" customWidth="1"/>
    <x:col min="10" max="10" width="18" hidden="0" customWidth="1"/>
    <x:col min="11" max="11" width="20" hidden="0" customWidth="1"/>
    <x:col min="12" max="12" width="16" hidden="0" customWidth="1"/>
    <x:col min="13" max="13" width="22" hidden="0" customWidth="1"/>
    <x:col min="14" max="14" width="24" hidden="0" customWidth="1"/>
    <x:col min="15" max="15" width="24" hidden="0" customWidth="1"/>
  </x:cols>
  <x:sheetData>
    <x:row r="1">
      <x:c r="A1" s="22" t="str">
        <x:v>Produto</x:v>
      </x:c>
      <x:c r="B1" s="22" t="str">
        <x:v>Familia</x:v>
      </x:c>
      <x:c r="C1" s="22" t="str">
        <x:v>Fabrica_Padrao</x:v>
      </x:c>
      <x:c r="D1" s="22" t="str">
        <x:v>Linha_Padrao</x:v>
      </x:c>
      <x:c r="E1" s="22" t="str">
        <x:v>Tempo_Ciclo_Padrao_min_un</x:v>
      </x:c>
      <x:c r="F1" s="22" t="str">
        <x:v>Operadores_Padrao</x:v>
      </x:c>
      <x:c r="G1" s="22" t="str">
        <x:v>HH_Padrao_un</x:v>
      </x:c>
      <x:c r="H1" s="22" t="str">
        <x:v>Tempo_Setup_Padrao_min_lote</x:v>
      </x:c>
      <x:c r="I1" s="22" t="str">
        <x:v>Lote_Padrao_un</x:v>
      </x:c>
      <x:c r="J1" s="22" t="str">
        <x:v>MP_Padrao_kg_un</x:v>
      </x:c>
      <x:c r="K1" s="22" t="str">
        <x:v>Energia_Padrao_kWh_un</x:v>
      </x:c>
      <x:c r="L1" s="22" t="str">
        <x:v>Custo_HH_MOD_R$</x:v>
      </x:c>
      <x:c r="M1" s="22" t="str">
        <x:v>Preco_Liquido_Padrao_R$_un</x:v>
      </x:c>
      <x:c r="N1" s="22" t="str">
        <x:v>Custo_Variavel_Padrao_R$_un</x:v>
      </x:c>
      <x:c r="O1" s="22" t="str">
        <x:v>Margem_Contrib_Padrao_R$_un</x:v>
      </x:c>
    </x:row>
    <x:row r="2">
      <x:c r="A2" s="38" t="str">
        <x:v>SKU-001</x:v>
      </x:c>
      <x:c r="B2" s="38" t="str">
        <x:v>Alimentos</x:v>
      </x:c>
      <x:c r="C2" s="38" t="str">
        <x:v>Planta São Paulo</x:v>
      </x:c>
      <x:c r="D2" s="38" t="str">
        <x:v>Linha 1 - Corte</x:v>
      </x:c>
      <x:c r="E2" s="42" t="n">
        <x:v>0.968</x:v>
      </x:c>
      <x:c r="F2" s="38" t="n">
        <x:v>8</x:v>
      </x:c>
      <x:c r="G2" s="42" t="n">
        <x:v>0.12906666666666666</x:v>
      </x:c>
      <x:c r="H2" s="42" t="n">
        <x:v>40</x:v>
      </x:c>
      <x:c r="I2" s="42" t="n">
        <x:v>500</x:v>
      </x:c>
      <x:c r="J2" s="42" t="n">
        <x:v>1.1</x:v>
      </x:c>
      <x:c r="K2" s="42" t="n">
        <x:v>0.38</x:v>
      </x:c>
      <x:c r="L2" s="43" t="n">
        <x:v>34</x:v>
      </x:c>
      <x:c r="M2" s="43" t="n">
        <x:v>72</x:v>
      </x:c>
      <x:c r="N2" s="43" t="n">
        <x:v>43</x:v>
      </x:c>
      <x:c r="O2" s="43" t="n">
        <x:v>29</x:v>
      </x:c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8" t="str">
        <x:v>SKU-002</x:v>
      </x:c>
      <x:c r="B3" s="38" t="str">
        <x:v>Alimentos</x:v>
      </x:c>
      <x:c r="C3" s="38" t="str">
        <x:v>Planta São Paulo</x:v>
      </x:c>
      <x:c r="D3" s="38" t="str">
        <x:v>Linha 2 - Montagem</x:v>
      </x:c>
      <x:c r="E3" s="42" t="n">
        <x:v>1.034</x:v>
      </x:c>
      <x:c r="F3" s="38" t="n">
        <x:v>10</x:v>
      </x:c>
      <x:c r="G3" s="42" t="n">
        <x:v>0.17233333333333334</x:v>
      </x:c>
      <x:c r="H3" s="42" t="n">
        <x:v>40</x:v>
      </x:c>
      <x:c r="I3" s="42" t="n">
        <x:v>500</x:v>
      </x:c>
      <x:c r="J3" s="42" t="n">
        <x:v>1.18</x:v>
      </x:c>
      <x:c r="K3" s="42" t="n">
        <x:v>0.42</x:v>
      </x:c>
      <x:c r="L3" s="43" t="n">
        <x:v>34</x:v>
      </x:c>
      <x:c r="M3" s="43" t="n">
        <x:v>78</x:v>
      </x:c>
      <x:c r="N3" s="43" t="n">
        <x:v>46</x:v>
      </x:c>
      <x:c r="O3" s="43" t="n">
        <x:v>32</x:v>
      </x:c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38" t="str">
        <x:v>SKU-078</x:v>
      </x:c>
      <x:c r="B4" s="38" t="str">
        <x:v>Higiene e Limpeza</x:v>
      </x:c>
      <x:c r="C4" s="38" t="str">
        <x:v>Planta Campinas</x:v>
      </x:c>
      <x:c r="D4" s="38" t="str">
        <x:v>Linha 3 - Extrusão</x:v>
      </x:c>
      <x:c r="E4" s="42" t="n">
        <x:v>1.111</x:v>
      </x:c>
      <x:c r="F4" s="38" t="n">
        <x:v>9</x:v>
      </x:c>
      <x:c r="G4" s="42" t="n">
        <x:v>0.16665000000000002</x:v>
      </x:c>
      <x:c r="H4" s="42" t="n">
        <x:v>40</x:v>
      </x:c>
      <x:c r="I4" s="42" t="n">
        <x:v>500</x:v>
      </x:c>
      <x:c r="J4" s="42" t="n">
        <x:v>1.35</x:v>
      </x:c>
      <x:c r="K4" s="42" t="n">
        <x:v>0.55</x:v>
      </x:c>
      <x:c r="L4" s="43" t="n">
        <x:v>34</x:v>
      </x:c>
      <x:c r="M4" s="43" t="n">
        <x:v>92</x:v>
      </x:c>
      <x:c r="N4" s="43" t="n">
        <x:v>54.5</x:v>
      </x:c>
      <x:c r="O4" s="43" t="n">
        <x:v>37.5</x:v>
      </x:c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38" t="str">
        <x:v>SKU-105</x:v>
      </x:c>
      <x:c r="B5" s="38" t="str">
        <x:v>Embalagens</x:v>
      </x:c>
      <x:c r="C5" s="38" t="str">
        <x:v>Planta Campinas</x:v>
      </x:c>
      <x:c r="D5" s="38" t="str">
        <x:v>Linha 4 - Embalagem</x:v>
      </x:c>
      <x:c r="E5" s="42" t="n">
        <x:v>1.2</x:v>
      </x:c>
      <x:c r="F5" s="38" t="n">
        <x:v>11</x:v>
      </x:c>
      <x:c r="G5" s="42" t="n">
        <x:v>0.22</x:v>
      </x:c>
      <x:c r="H5" s="42" t="n">
        <x:v>40</x:v>
      </x:c>
      <x:c r="I5" s="42" t="n">
        <x:v>500</x:v>
      </x:c>
      <x:c r="J5" s="42" t="n">
        <x:v>0.92</x:v>
      </x:c>
      <x:c r="K5" s="42" t="n">
        <x:v>0.47</x:v>
      </x:c>
      <x:c r="L5" s="43" t="n">
        <x:v>34</x:v>
      </x:c>
      <x:c r="M5" s="43" t="n">
        <x:v>65</x:v>
      </x:c>
      <x:c r="N5" s="43" t="n">
        <x:v>38</x:v>
      </x:c>
      <x:c r="O5" s="43" t="n">
        <x:v>27</x:v>
      </x:c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38" t="str">
        <x:v>SKU-223</x:v>
      </x:c>
      <x:c r="B6" s="38" t="str">
        <x:v>Bebidas</x:v>
      </x:c>
      <x:c r="C6" s="38" t="str">
        <x:v>Planta Curitiba</x:v>
      </x:c>
      <x:c r="D6" s="38" t="str">
        <x:v>Linha 5 - Usinagem</x:v>
      </x:c>
      <x:c r="E6" s="42" t="n">
        <x:v>1.071</x:v>
      </x:c>
      <x:c r="F6" s="38" t="n">
        <x:v>9</x:v>
      </x:c>
      <x:c r="G6" s="42" t="n">
        <x:v>0.16065</x:v>
      </x:c>
      <x:c r="H6" s="42" t="n">
        <x:v>40</x:v>
      </x:c>
      <x:c r="I6" s="42" t="n">
        <x:v>500</x:v>
      </x:c>
      <x:c r="J6" s="42" t="n">
        <x:v>1.28</x:v>
      </x:c>
      <x:c r="K6" s="42" t="n">
        <x:v>0.5</x:v>
      </x:c>
      <x:c r="L6" s="43" t="n">
        <x:v>34</x:v>
      </x:c>
      <x:c r="M6" s="43" t="n">
        <x:v>84</x:v>
      </x:c>
      <x:c r="N6" s="43" t="n">
        <x:v>49</x:v>
      </x:c>
      <x:c r="O6" s="43" t="n">
        <x:v>35</x:v>
      </x:c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38" t="str">
        <x:v>SKU-432</x:v>
      </x:c>
      <x:c r="B7" s="38" t="str">
        <x:v>Alimentos</x:v>
      </x:c>
      <x:c r="C7" s="38" t="str">
        <x:v>Planta Curitiba</x:v>
      </x:c>
      <x:c r="D7" s="38" t="str">
        <x:v>Linha 6 - Finalização</x:v>
      </x:c>
      <x:c r="E7" s="42" t="n">
        <x:v>1.25</x:v>
      </x:c>
      <x:c r="F7" s="38" t="n">
        <x:v>12</x:v>
      </x:c>
      <x:c r="G7" s="42" t="n">
        <x:v>0.25</x:v>
      </x:c>
      <x:c r="H7" s="42" t="n">
        <x:v>40</x:v>
      </x:c>
      <x:c r="I7" s="42" t="n">
        <x:v>500</x:v>
      </x:c>
      <x:c r="J7" s="42" t="n">
        <x:v>1.05</x:v>
      </x:c>
      <x:c r="K7" s="42" t="n">
        <x:v>0.44</x:v>
      </x:c>
      <x:c r="L7" s="43" t="n">
        <x:v>34</x:v>
      </x:c>
      <x:c r="M7" s="43" t="n">
        <x:v>70</x:v>
      </x:c>
      <x:c r="N7" s="43" t="n">
        <x:v>42</x:v>
      </x:c>
      <x:c r="O7" s="43" t="n">
        <x:v>28</x:v>
      </x:c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12" hidden="0" customWidth="1"/>
    <x:col min="5" max="5" width="14" hidden="0" customWidth="1"/>
    <x:col min="6" max="6" width="24" hidden="0" customWidth="1"/>
    <x:col min="7" max="7" width="52" hidden="0" customWidth="1"/>
  </x:cols>
  <x:sheetData>
    <x:row r="1">
      <x:c r="A1" s="22" t="str">
        <x:v>Indicador</x:v>
      </x:c>
      <x:c r="B1" s="22" t="str">
        <x:v>Meta</x:v>
      </x:c>
      <x:c r="C1" s="22" t="str">
        <x:v>Direcao</x:v>
      </x:c>
      <x:c r="D1" s="22" t="str">
        <x:v>Unidade</x:v>
      </x:c>
      <x:c r="E1" s="22" t="str">
        <x:v>Obrigatoria</x:v>
      </x:c>
      <x:c r="F1" s="22" t="str">
        <x:v>Referencia_Financeira</x:v>
      </x:c>
      <x:c r="G1" s="22" t="str">
        <x:v>Observacao</x:v>
      </x:c>
    </x:row>
    <x:row r="2">
      <x:c r="A2" s="38" t="str">
        <x:v>Atingimento Produção</x:v>
      </x:c>
      <x:c r="B2" s="38" t="n">
        <x:v>1</x:v>
      </x:c>
      <x:c r="C2" s="38" t="str">
        <x:v>Maior melhor</x:v>
      </x:c>
      <x:c r="D2" s="38" t="str">
        <x:v>%</x:v>
      </x:c>
      <x:c r="E2" s="38" t="str">
        <x:v>Sim</x:v>
      </x:c>
      <x:c r="F2" s="38" t="str">
        <x:v>Margem/EBITDA Gerencial</x:v>
      </x:c>
      <x:c r="G2" s="38" t="str">
        <x:v>Produzido / Plano</x:v>
      </x:c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8" t="str">
        <x:v>OEE</x:v>
      </x:c>
      <x:c r="B3" s="38" t="n">
        <x:v>0.85</x:v>
      </x:c>
      <x:c r="C3" s="38" t="str">
        <x:v>Maior melhor</x:v>
      </x:c>
      <x:c r="D3" s="38" t="str">
        <x:v>%</x:v>
      </x:c>
      <x:c r="E3" s="38" t="str">
        <x:v>Sim</x:v>
      </x:c>
      <x:c r="F3" s="38" t="str">
        <x:v>Margem/EBITDA Gerencial</x:v>
      </x:c>
      <x:c r="G3" s="38" t="str">
        <x:v>Disponibilidade × Performance × Qualidade</x:v>
      </x:c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38" t="str">
        <x:v>Disponibilidade</x:v>
      </x:c>
      <x:c r="B4" s="38" t="n">
        <x:v>0.9</x:v>
      </x:c>
      <x:c r="C4" s="38" t="str">
        <x:v>Maior melhor</x:v>
      </x:c>
      <x:c r="D4" s="38" t="str">
        <x:v>%</x:v>
      </x:c>
      <x:c r="E4" s="38" t="str">
        <x:v>Sim</x:v>
      </x:c>
      <x:c r="F4" s="38" t="str">
        <x:v>Capacidade / EBITDA Gerencial</x:v>
      </x:c>
      <x:c r="G4" s="38" t="str">
        <x:v>Componente OEE</x:v>
      </x:c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38" t="str">
        <x:v>Performance</x:v>
      </x:c>
      <x:c r="B5" s="38" t="n">
        <x:v>0.95</x:v>
      </x:c>
      <x:c r="C5" s="38" t="str">
        <x:v>Maior melhor</x:v>
      </x:c>
      <x:c r="D5" s="38" t="str">
        <x:v>%</x:v>
      </x:c>
      <x:c r="E5" s="38" t="str">
        <x:v>Sim</x:v>
      </x:c>
      <x:c r="F5" s="38" t="str">
        <x:v>Capacidade / EBITDA Gerencial</x:v>
      </x:c>
      <x:c r="G5" s="38" t="str">
        <x:v>Componente OEE</x:v>
      </x:c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38" t="str">
        <x:v>Qualidade</x:v>
      </x:c>
      <x:c r="B6" s="38" t="n">
        <x:v>0.98</x:v>
      </x:c>
      <x:c r="C6" s="38" t="str">
        <x:v>Maior melhor</x:v>
      </x:c>
      <x:c r="D6" s="38" t="str">
        <x:v>%</x:v>
      </x:c>
      <x:c r="E6" s="38" t="str">
        <x:v>Sim</x:v>
      </x:c>
      <x:c r="F6" s="38" t="str">
        <x:v>MP / Margem</x:v>
      </x:c>
      <x:c r="G6" s="38" t="str">
        <x:v>Componente OEE</x:v>
      </x:c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38" t="str">
        <x:v>Refugo</x:v>
      </x:c>
      <x:c r="B7" s="38" t="n">
        <x:v>0.025</x:v>
      </x:c>
      <x:c r="C7" s="38" t="str">
        <x:v>Menor melhor</x:v>
      </x:c>
      <x:c r="D7" s="38" t="str">
        <x:v>%</x:v>
      </x:c>
      <x:c r="E7" s="38" t="str">
        <x:v>Sim</x:v>
      </x:c>
      <x:c r="F7" s="38" t="str">
        <x:v>MP / Margem</x:v>
      </x:c>
      <x:c r="G7" s="38" t="str">
        <x:v>Taxa de refugo</x:v>
      </x:c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38" t="str">
        <x:v>Retrabalho</x:v>
      </x:c>
      <x:c r="B8" s="38" t="n">
        <x:v>0.02</x:v>
      </x:c>
      <x:c r="C8" s="38" t="str">
        <x:v>Menor melhor</x:v>
      </x:c>
      <x:c r="D8" s="38" t="str">
        <x:v>%</x:v>
      </x:c>
      <x:c r="E8" s="38" t="str">
        <x:v>Sim</x:v>
      </x:c>
      <x:c r="F8" s="38" t="str">
        <x:v>MOD / Energia</x:v>
      </x:c>
      <x:c r="G8" s="38" t="str">
        <x:v>Taxa de retrabalho</x:v>
      </x:c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8" t="str">
        <x:v>Eficiência MOD</x:v>
      </x:c>
      <x:c r="B9" s="38" t="n">
        <x:v>0.95</x:v>
      </x:c>
      <x:c r="C9" s="38" t="str">
        <x:v>Maior melhor</x:v>
      </x:c>
      <x:c r="D9" s="38" t="str">
        <x:v>%</x:v>
      </x:c>
      <x:c r="E9" s="38" t="str">
        <x:v>Sim</x:v>
      </x:c>
      <x:c r="F9" s="38" t="str">
        <x:v>MOD / Margem</x:v>
      </x:c>
      <x:c r="G9" s="38" t="str">
        <x:v>HH padrão ganhas / HH reais</x:v>
      </x:c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8" t="str">
        <x:v>OTIF</x:v>
      </x:c>
      <x:c r="B10" s="38" t="n">
        <x:v>0.95</x:v>
      </x:c>
      <x:c r="C10" s="38" t="str">
        <x:v>Maior melhor</x:v>
      </x:c>
      <x:c r="D10" s="38" t="str">
        <x:v>%</x:v>
      </x:c>
      <x:c r="E10" s="38" t="str">
        <x:v>Sim</x:v>
      </x:c>
      <x:c r="F10" s="38" t="str">
        <x:v>Receita em risco</x:v>
      </x:c>
      <x:c r="G10" s="38" t="str">
        <x:v>Não somar automaticamente ao EBITDA</x:v>
      </x:c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8" t="str">
        <x:v>Aderência PCP</x:v>
      </x:c>
      <x:c r="B11" s="38" t="n">
        <x:v>0.98</x:v>
      </x:c>
      <x:c r="C11" s="38" t="str">
        <x:v>Maior melhor</x:v>
      </x:c>
      <x:c r="D11" s="38" t="str">
        <x:v>%</x:v>
      </x:c>
      <x:c r="E11" s="38" t="str">
        <x:v>Sim</x:v>
      </x:c>
      <x:c r="F11" s="38" t="str">
        <x:v>Volume / Receita</x:v>
      </x:c>
      <x:c r="G11" s="38" t="str">
        <x:v>Produzido / Plano</x:v>
      </x:c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8" t="str">
        <x:v>WAPE Forecast</x:v>
      </x:c>
      <x:c r="B12" s="38" t="n">
        <x:v>0.1</x:v>
      </x:c>
      <x:c r="C12" s="38" t="str">
        <x:v>Menor melhor</x:v>
      </x:c>
      <x:c r="D12" s="38" t="str">
        <x:v>%</x:v>
      </x:c>
      <x:c r="E12" s="38" t="str">
        <x:v>Sim</x:v>
      </x:c>
      <x:c r="F12" s="38" t="str">
        <x:v>Planejamento</x:v>
      </x:c>
      <x:c r="G12" s="38" t="str">
        <x:v>Erro ponderado por volume</x:v>
      </x:c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8" t="str">
        <x:v>Cobertura Material Crítico</x:v>
      </x:c>
      <x:c r="B13" s="38" t="n">
        <x:v>15</x:v>
      </x:c>
      <x:c r="C13" s="38" t="str">
        <x:v>Maior melhor</x:v>
      </x:c>
      <x:c r="D13" s="38" t="str">
        <x:v>dias</x:v>
      </x:c>
      <x:c r="E13" s="38" t="str">
        <x:v>Sim</x:v>
      </x:c>
      <x:c r="F13" s="38" t="str">
        <x:v>Continuidade</x:v>
      </x:c>
      <x:c r="G13" s="38" t="str">
        <x:v>Comparar com lead time + segurança</x:v>
      </x:c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8" t="str">
        <x:v>Utilização Capacidade</x:v>
      </x:c>
      <x:c r="B14" s="38" t="n">
        <x:v>0.8</x:v>
      </x:c>
      <x:c r="C14" s="38" t="str">
        <x:v>Maior melhor</x:v>
      </x:c>
      <x:c r="D14" s="38" t="str">
        <x:v>%</x:v>
      </x:c>
      <x:c r="E14" s="38" t="str">
        <x:v>Não</x:v>
      </x:c>
      <x:c r="F14" s="38" t="str">
        <x:v>Capacidade</x:v>
      </x:c>
      <x:c r="G14" s="38" t="str">
        <x:v>Não monetiza sem demanda</x:v>
      </x:c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2" hidden="0" customWidth="1"/>
    <x:col min="4" max="4" width="24" hidden="0" customWidth="1"/>
    <x:col min="5" max="5" width="14" hidden="0" customWidth="1"/>
    <x:col min="6" max="6" width="22" hidden="0" customWidth="1"/>
    <x:col min="7" max="7" width="14" hidden="0" customWidth="1"/>
    <x:col min="8" max="8" width="14" hidden="0" customWidth="1"/>
    <x:col min="9" max="9" width="18" hidden="0" customWidth="1"/>
    <x:col min="10" max="10" width="16" hidden="0" customWidth="1"/>
    <x:col min="11" max="11" width="16" hidden="0" customWidth="1"/>
    <x:col min="12" max="12" width="18" hidden="0" customWidth="1"/>
    <x:col min="13" max="13" width="20" hidden="0" customWidth="1"/>
    <x:col min="14" max="14" width="18" hidden="0" customWidth="1"/>
  </x:cols>
  <x:sheetData>
    <x:row r="1">
      <x:c r="A1" s="22" t="str">
        <x:v>Data</x:v>
      </x:c>
      <x:c r="B1" s="22" t="str">
        <x:v>Grupo</x:v>
      </x:c>
      <x:c r="C1" s="22" t="str">
        <x:v>Fabrica</x:v>
      </x:c>
      <x:c r="D1" s="22" t="str">
        <x:v>Linha</x:v>
      </x:c>
      <x:c r="E1" s="22" t="str">
        <x:v>Produto</x:v>
      </x:c>
      <x:c r="F1" s="22" t="str">
        <x:v>Familia</x:v>
      </x:c>
      <x:c r="G1" s="22" t="str">
        <x:v>Planejado</x:v>
      </x:c>
      <x:c r="H1" s="22" t="str">
        <x:v>Realizado</x:v>
      </x:c>
      <x:c r="I1" s="22" t="str">
        <x:v>Horas_Disponiveis</x:v>
      </x:c>
      <x:c r="J1" s="22" t="str">
        <x:v>Horas_Paradas</x:v>
      </x:c>
      <x:c r="K1" s="22" t="str">
        <x:v>Velocidade_Real</x:v>
      </x:c>
      <x:c r="L1" s="22" t="str">
        <x:v>Velocidade_Nominal</x:v>
      </x:c>
      <x:c r="M1" s="22" t="str">
        <x:v>Disponibilidade_Calc</x:v>
      </x:c>
      <x:c r="N1" s="22" t="str">
        <x:v>Performance_Calc</x:v>
      </x:c>
    </x:row>
    <x:row r="2">
      <x:c r="A2" s="34" t="n">
        <x:v>45292</x:v>
      </x:c>
      <x:c r="B2" s="28" t="str">
        <x:v>Grupo Industrial S.A.</x:v>
      </x:c>
      <x:c r="C2" s="28" t="str">
        <x:v>Planta São Paulo</x:v>
      </x:c>
      <x:c r="D2" s="28" t="str">
        <x:v>Linha 1 - Corte</x:v>
      </x:c>
      <x:c r="E2" s="28" t="str">
        <x:v>SKU-001</x:v>
      </x:c>
      <x:c r="F2" s="28" t="str">
        <x:v>Alimentos</x:v>
      </x:c>
      <x:c r="G2" s="32" t="n">
        <x:v>5550</x:v>
      </x:c>
      <x:c r="H2" s="32" t="n">
        <x:v>5119</x:v>
      </x:c>
      <x:c r="I2" s="32" t="n">
        <x:v>120</x:v>
      </x:c>
      <x:c r="J2" s="32" t="n">
        <x:v>12.21</x:v>
      </x:c>
      <x:c r="K2" s="32" t="n">
        <x:v>57.16</x:v>
      </x:c>
      <x:c r="L2" s="32" t="n">
        <x:v>62</x:v>
      </x:c>
      <x:c r="M2" s="36" t="n">
        <x:v>0.8982</x:v>
      </x:c>
      <x:c r="N2" s="36" t="n">
        <x:v>0.922</x:v>
      </x:c>
    </x:row>
    <x:row r="3">
      <x:c r="A3" s="34" t="n">
        <x:v>45292</x:v>
      </x:c>
      <x:c r="B3" s="28" t="str">
        <x:v>Grupo Industrial S.A.</x:v>
      </x:c>
      <x:c r="C3" s="28" t="str">
        <x:v>Planta São Paulo</x:v>
      </x:c>
      <x:c r="D3" s="28" t="str">
        <x:v>Linha 2 - Montagem</x:v>
      </x:c>
      <x:c r="E3" s="28" t="str">
        <x:v>SKU-002</x:v>
      </x:c>
      <x:c r="F3" s="28" t="str">
        <x:v>Alimentos</x:v>
      </x:c>
      <x:c r="G3" s="32" t="n">
        <x:v>5241</x:v>
      </x:c>
      <x:c r="H3" s="32" t="n">
        <x:v>4817</x:v>
      </x:c>
      <x:c r="I3" s="32" t="n">
        <x:v>120</x:v>
      </x:c>
      <x:c r="J3" s="32" t="n">
        <x:v>18</x:v>
      </x:c>
      <x:c r="K3" s="32" t="n">
        <x:v>54.89</x:v>
      </x:c>
      <x:c r="L3" s="32" t="n">
        <x:v>58</x:v>
      </x:c>
      <x:c r="M3" s="36" t="n">
        <x:v>0.85</x:v>
      </x:c>
      <x:c r="N3" s="36" t="n">
        <x:v>0.9464</x:v>
      </x:c>
    </x:row>
    <x:row r="4">
      <x:c r="A4" s="34" t="n">
        <x:v>45292</x:v>
      </x:c>
      <x:c r="B4" s="28" t="str">
        <x:v>Grupo Industrial S.A.</x:v>
      </x:c>
      <x:c r="C4" s="28" t="str">
        <x:v>Planta Campinas</x:v>
      </x:c>
      <x:c r="D4" s="28" t="str">
        <x:v>Linha 3 - Extrusão</x:v>
      </x:c>
      <x:c r="E4" s="28" t="str">
        <x:v>SKU-078</x:v>
      </x:c>
      <x:c r="F4" s="28" t="str">
        <x:v>Higiene e Limpeza</x:v>
      </x:c>
      <x:c r="G4" s="32" t="n">
        <x:v>3820</x:v>
      </x:c>
      <x:c r="H4" s="32" t="n">
        <x:v>3459</x:v>
      </x:c>
      <x:c r="I4" s="32" t="n">
        <x:v>120</x:v>
      </x:c>
      <x:c r="J4" s="32" t="n">
        <x:v>22.81</x:v>
      </x:c>
      <x:c r="K4" s="32" t="n">
        <x:v>46.05</x:v>
      </x:c>
      <x:c r="L4" s="32" t="n">
        <x:v>54</x:v>
      </x:c>
      <x:c r="M4" s="36" t="n">
        <x:v>0.8099</x:v>
      </x:c>
      <x:c r="N4" s="36" t="n">
        <x:v>0.8529</x:v>
      </x:c>
    </x:row>
    <x:row r="5">
      <x:c r="A5" s="34" t="n">
        <x:v>45292</x:v>
      </x:c>
      <x:c r="B5" s="28" t="str">
        <x:v>Grupo Industrial S.A.</x:v>
      </x:c>
      <x:c r="C5" s="28" t="str">
        <x:v>Planta Campinas</x:v>
      </x:c>
      <x:c r="D5" s="28" t="str">
        <x:v>Linha 4 - Embalagem</x:v>
      </x:c>
      <x:c r="E5" s="28" t="str">
        <x:v>SKU-105</x:v>
      </x:c>
      <x:c r="F5" s="28" t="str">
        <x:v>Embalagens</x:v>
      </x:c>
      <x:c r="G5" s="32" t="n">
        <x:v>3638</x:v>
      </x:c>
      <x:c r="H5" s="32" t="n">
        <x:v>3353</x:v>
      </x:c>
      <x:c r="I5" s="32" t="n">
        <x:v>120</x:v>
      </x:c>
      <x:c r="J5" s="32" t="n">
        <x:v>24.29</x:v>
      </x:c>
      <x:c r="K5" s="32" t="n">
        <x:v>41.15</x:v>
      </x:c>
      <x:c r="L5" s="32" t="n">
        <x:v>50</x:v>
      </x:c>
      <x:c r="M5" s="36" t="n">
        <x:v>0.7976</x:v>
      </x:c>
      <x:c r="N5" s="36" t="n">
        <x:v>0.823</x:v>
      </x:c>
    </x:row>
    <x:row r="6">
      <x:c r="A6" s="34" t="n">
        <x:v>45292</x:v>
      </x:c>
      <x:c r="B6" s="28" t="str">
        <x:v>Grupo Industrial S.A.</x:v>
      </x:c>
      <x:c r="C6" s="28" t="str">
        <x:v>Planta Curitiba</x:v>
      </x:c>
      <x:c r="D6" s="28" t="str">
        <x:v>Linha 5 - Usinagem</x:v>
      </x:c>
      <x:c r="E6" s="28" t="str">
        <x:v>SKU-223</x:v>
      </x:c>
      <x:c r="F6" s="28" t="str">
        <x:v>Bebidas</x:v>
      </x:c>
      <x:c r="G6" s="32" t="n">
        <x:v>4279</x:v>
      </x:c>
      <x:c r="H6" s="32" t="n">
        <x:v>3925</x:v>
      </x:c>
      <x:c r="I6" s="32" t="n">
        <x:v>120</x:v>
      </x:c>
      <x:c r="J6" s="32" t="n">
        <x:v>18.1</x:v>
      </x:c>
      <x:c r="K6" s="32" t="n">
        <x:v>50.62</x:v>
      </x:c>
      <x:c r="L6" s="32" t="n">
        <x:v>56</x:v>
      </x:c>
      <x:c r="M6" s="36" t="n">
        <x:v>0.8492</x:v>
      </x:c>
      <x:c r="N6" s="36" t="n">
        <x:v>0.9038</x:v>
      </x:c>
    </x:row>
    <x:row r="7">
      <x:c r="A7" s="34" t="n">
        <x:v>45292</x:v>
      </x:c>
      <x:c r="B7" s="28" t="str">
        <x:v>Grupo Industrial S.A.</x:v>
      </x:c>
      <x:c r="C7" s="28" t="str">
        <x:v>Planta Curitiba</x:v>
      </x:c>
      <x:c r="D7" s="28" t="str">
        <x:v>Linha 6 - Finalização</x:v>
      </x:c>
      <x:c r="E7" s="28" t="str">
        <x:v>SKU-432</x:v>
      </x:c>
      <x:c r="F7" s="28" t="str">
        <x:v>Alimentos</x:v>
      </x:c>
      <x:c r="G7" s="32" t="n">
        <x:v>3841</x:v>
      </x:c>
      <x:c r="H7" s="32" t="n">
        <x:v>3621</x:v>
      </x:c>
      <x:c r="I7" s="32" t="n">
        <x:v>120</x:v>
      </x:c>
      <x:c r="J7" s="32" t="n">
        <x:v>21.39</x:v>
      </x:c>
      <x:c r="K7" s="32" t="n">
        <x:v>42.64</x:v>
      </x:c>
      <x:c r="L7" s="32" t="n">
        <x:v>48</x:v>
      </x:c>
      <x:c r="M7" s="36" t="n">
        <x:v>0.8218</x:v>
      </x:c>
      <x:c r="N7" s="36" t="n">
        <x:v>0.8883</x:v>
      </x:c>
    </x:row>
    <x:row r="8">
      <x:c r="A8" s="34" t="n">
        <x:v>45299</x:v>
      </x:c>
      <x:c r="B8" s="28" t="str">
        <x:v>Grupo Industrial S.A.</x:v>
      </x:c>
      <x:c r="C8" s="28" t="str">
        <x:v>Planta São Paulo</x:v>
      </x:c>
      <x:c r="D8" s="28" t="str">
        <x:v>Linha 1 - Corte</x:v>
      </x:c>
      <x:c r="E8" s="28" t="str">
        <x:v>SKU-001</x:v>
      </x:c>
      <x:c r="F8" s="28" t="str">
        <x:v>Alimentos</x:v>
      </x:c>
      <x:c r="G8" s="32" t="n">
        <x:v>6013</x:v>
      </x:c>
      <x:c r="H8" s="32" t="n">
        <x:v>5744</x:v>
      </x:c>
      <x:c r="I8" s="32" t="n">
        <x:v>120</x:v>
      </x:c>
      <x:c r="J8" s="32" t="n">
        <x:v>12.59</x:v>
      </x:c>
      <x:c r="K8" s="32" t="n">
        <x:v>56.89</x:v>
      </x:c>
      <x:c r="L8" s="32" t="n">
        <x:v>62</x:v>
      </x:c>
      <x:c r="M8" s="36" t="n">
        <x:v>0.8951</x:v>
      </x:c>
      <x:c r="N8" s="36" t="n">
        <x:v>0.9175</x:v>
      </x:c>
    </x:row>
    <x:row r="9">
      <x:c r="A9" s="34" t="n">
        <x:v>45299</x:v>
      </x:c>
      <x:c r="B9" s="28" t="str">
        <x:v>Grupo Industrial S.A.</x:v>
      </x:c>
      <x:c r="C9" s="28" t="str">
        <x:v>Planta São Paulo</x:v>
      </x:c>
      <x:c r="D9" s="28" t="str">
        <x:v>Linha 2 - Montagem</x:v>
      </x:c>
      <x:c r="E9" s="28" t="str">
        <x:v>SKU-002</x:v>
      </x:c>
      <x:c r="F9" s="28" t="str">
        <x:v>Alimentos</x:v>
      </x:c>
      <x:c r="G9" s="32" t="n">
        <x:v>5303</x:v>
      </x:c>
      <x:c r="H9" s="32" t="n">
        <x:v>5107</x:v>
      </x:c>
      <x:c r="I9" s="32" t="n">
        <x:v>120</x:v>
      </x:c>
      <x:c r="J9" s="32" t="n">
        <x:v>12.96</x:v>
      </x:c>
      <x:c r="K9" s="32" t="n">
        <x:v>51.46</x:v>
      </x:c>
      <x:c r="L9" s="32" t="n">
        <x:v>58</x:v>
      </x:c>
      <x:c r="M9" s="36" t="n">
        <x:v>0.892</x:v>
      </x:c>
      <x:c r="N9" s="36" t="n">
        <x:v>0.8873</x:v>
      </x:c>
    </x:row>
    <x:row r="10">
      <x:c r="A10" s="34" t="n">
        <x:v>45299</x:v>
      </x:c>
      <x:c r="B10" s="28" t="str">
        <x:v>Grupo Industrial S.A.</x:v>
      </x:c>
      <x:c r="C10" s="28" t="str">
        <x:v>Planta Campinas</x:v>
      </x:c>
      <x:c r="D10" s="28" t="str">
        <x:v>Linha 3 - Extrusão</x:v>
      </x:c>
      <x:c r="E10" s="28" t="str">
        <x:v>SKU-078</x:v>
      </x:c>
      <x:c r="F10" s="28" t="str">
        <x:v>Higiene e Limpeza</x:v>
      </x:c>
      <x:c r="G10" s="32" t="n">
        <x:v>4093</x:v>
      </x:c>
      <x:c r="H10" s="32" t="n">
        <x:v>3719</x:v>
      </x:c>
      <x:c r="I10" s="32" t="n">
        <x:v>120</x:v>
      </x:c>
      <x:c r="J10" s="32" t="n">
        <x:v>21.6</x:v>
      </x:c>
      <x:c r="K10" s="32" t="n">
        <x:v>44.89</x:v>
      </x:c>
      <x:c r="L10" s="32" t="n">
        <x:v>54</x:v>
      </x:c>
      <x:c r="M10" s="36" t="n">
        <x:v>0.82</x:v>
      </x:c>
      <x:c r="N10" s="36" t="n">
        <x:v>0.8312</x:v>
      </x:c>
    </x:row>
    <x:row r="11">
      <x:c r="A11" s="34" t="n">
        <x:v>45299</x:v>
      </x:c>
      <x:c r="B11" s="28" t="str">
        <x:v>Grupo Industrial S.A.</x:v>
      </x:c>
      <x:c r="C11" s="28" t="str">
        <x:v>Planta Campinas</x:v>
      </x:c>
      <x:c r="D11" s="28" t="str">
        <x:v>Linha 4 - Embalagem</x:v>
      </x:c>
      <x:c r="E11" s="28" t="str">
        <x:v>SKU-105</x:v>
      </x:c>
      <x:c r="F11" s="28" t="str">
        <x:v>Embalagens</x:v>
      </x:c>
      <x:c r="G11" s="32" t="n">
        <x:v>3540</x:v>
      </x:c>
      <x:c r="H11" s="32" t="n">
        <x:v>3367</x:v>
      </x:c>
      <x:c r="I11" s="32" t="n">
        <x:v>120</x:v>
      </x:c>
      <x:c r="J11" s="32" t="n">
        <x:v>24.22</x:v>
      </x:c>
      <x:c r="K11" s="32" t="n">
        <x:v>43.08</x:v>
      </x:c>
      <x:c r="L11" s="32" t="n">
        <x:v>50</x:v>
      </x:c>
      <x:c r="M11" s="36" t="n">
        <x:v>0.7982</x:v>
      </x:c>
      <x:c r="N11" s="36" t="n">
        <x:v>0.8616</x:v>
      </x:c>
    </x:row>
    <x:row r="12">
      <x:c r="A12" s="34" t="n">
        <x:v>45299</x:v>
      </x:c>
      <x:c r="B12" s="28" t="str">
        <x:v>Grupo Industrial S.A.</x:v>
      </x:c>
      <x:c r="C12" s="28" t="str">
        <x:v>Planta Curitiba</x:v>
      </x:c>
      <x:c r="D12" s="28" t="str">
        <x:v>Linha 5 - Usinagem</x:v>
      </x:c>
      <x:c r="E12" s="28" t="str">
        <x:v>SKU-223</x:v>
      </x:c>
      <x:c r="F12" s="28" t="str">
        <x:v>Bebidas</x:v>
      </x:c>
      <x:c r="G12" s="32" t="n">
        <x:v>4224</x:v>
      </x:c>
      <x:c r="H12" s="32" t="n">
        <x:v>4065</x:v>
      </x:c>
      <x:c r="I12" s="32" t="n">
        <x:v>120</x:v>
      </x:c>
      <x:c r="J12" s="32" t="n">
        <x:v>20.2</x:v>
      </x:c>
      <x:c r="K12" s="32" t="n">
        <x:v>48.56</x:v>
      </x:c>
      <x:c r="L12" s="32" t="n">
        <x:v>56</x:v>
      </x:c>
      <x:c r="M12" s="36" t="n">
        <x:v>0.8316</x:v>
      </x:c>
      <x:c r="N12" s="36" t="n">
        <x:v>0.8672</x:v>
      </x:c>
    </x:row>
    <x:row r="13">
      <x:c r="A13" s="34" t="n">
        <x:v>45299</x:v>
      </x:c>
      <x:c r="B13" s="28" t="str">
        <x:v>Grupo Industrial S.A.</x:v>
      </x:c>
      <x:c r="C13" s="28" t="str">
        <x:v>Planta Curitiba</x:v>
      </x:c>
      <x:c r="D13" s="28" t="str">
        <x:v>Linha 6 - Finalização</x:v>
      </x:c>
      <x:c r="E13" s="28" t="str">
        <x:v>SKU-432</x:v>
      </x:c>
      <x:c r="F13" s="28" t="str">
        <x:v>Alimentos</x:v>
      </x:c>
      <x:c r="G13" s="32" t="n">
        <x:v>3867</x:v>
      </x:c>
      <x:c r="H13" s="32" t="n">
        <x:v>3593</x:v>
      </x:c>
      <x:c r="I13" s="32" t="n">
        <x:v>120</x:v>
      </x:c>
      <x:c r="J13" s="32" t="n">
        <x:v>18.87</x:v>
      </x:c>
      <x:c r="K13" s="32" t="n">
        <x:v>42.13</x:v>
      </x:c>
      <x:c r="L13" s="32" t="n">
        <x:v>48</x:v>
      </x:c>
      <x:c r="M13" s="36" t="n">
        <x:v>0.8427</x:v>
      </x:c>
      <x:c r="N13" s="36" t="n">
        <x:v>0.8776</x:v>
      </x:c>
    </x:row>
    <x:row r="14">
      <x:c r="A14" s="34" t="n">
        <x:v>45306</x:v>
      </x:c>
      <x:c r="B14" s="28" t="str">
        <x:v>Grupo Industrial S.A.</x:v>
      </x:c>
      <x:c r="C14" s="28" t="str">
        <x:v>Planta São Paulo</x:v>
      </x:c>
      <x:c r="D14" s="28" t="str">
        <x:v>Linha 1 - Corte</x:v>
      </x:c>
      <x:c r="E14" s="28" t="str">
        <x:v>SKU-001</x:v>
      </x:c>
      <x:c r="F14" s="28" t="str">
        <x:v>Alimentos</x:v>
      </x:c>
      <x:c r="G14" s="32" t="n">
        <x:v>5645</x:v>
      </x:c>
      <x:c r="H14" s="32" t="n">
        <x:v>5370</x:v>
      </x:c>
      <x:c r="I14" s="32" t="n">
        <x:v>120</x:v>
      </x:c>
      <x:c r="J14" s="32" t="n">
        <x:v>16.74</x:v>
      </x:c>
      <x:c r="K14" s="32" t="n">
        <x:v>56.08</x:v>
      </x:c>
      <x:c r="L14" s="32" t="n">
        <x:v>62</x:v>
      </x:c>
      <x:c r="M14" s="36" t="n">
        <x:v>0.8605</x:v>
      </x:c>
      <x:c r="N14" s="36" t="n">
        <x:v>0.9045</x:v>
      </x:c>
    </x:row>
    <x:row r="15">
      <x:c r="A15" s="34" t="n">
        <x:v>45306</x:v>
      </x:c>
      <x:c r="B15" s="28" t="str">
        <x:v>Grupo Industrial S.A.</x:v>
      </x:c>
      <x:c r="C15" s="28" t="str">
        <x:v>Planta São Paulo</x:v>
      </x:c>
      <x:c r="D15" s="28" t="str">
        <x:v>Linha 2 - Montagem</x:v>
      </x:c>
      <x:c r="E15" s="28" t="str">
        <x:v>SKU-002</x:v>
      </x:c>
      <x:c r="F15" s="28" t="str">
        <x:v>Alimentos</x:v>
      </x:c>
      <x:c r="G15" s="32" t="n">
        <x:v>5123</x:v>
      </x:c>
      <x:c r="H15" s="32" t="n">
        <x:v>4775</x:v>
      </x:c>
      <x:c r="I15" s="32" t="n">
        <x:v>120</x:v>
      </x:c>
      <x:c r="J15" s="32" t="n">
        <x:v>14.31</x:v>
      </x:c>
      <x:c r="K15" s="32" t="n">
        <x:v>53.4</x:v>
      </x:c>
      <x:c r="L15" s="32" t="n">
        <x:v>58</x:v>
      </x:c>
      <x:c r="M15" s="36" t="n">
        <x:v>0.8808</x:v>
      </x:c>
      <x:c r="N15" s="36" t="n">
        <x:v>0.9207</x:v>
      </x:c>
    </x:row>
    <x:row r="16">
      <x:c r="A16" s="34" t="n">
        <x:v>45306</x:v>
      </x:c>
      <x:c r="B16" s="28" t="str">
        <x:v>Grupo Industrial S.A.</x:v>
      </x:c>
      <x:c r="C16" s="28" t="str">
        <x:v>Planta Campinas</x:v>
      </x:c>
      <x:c r="D16" s="28" t="str">
        <x:v>Linha 3 - Extrusão</x:v>
      </x:c>
      <x:c r="E16" s="28" t="str">
        <x:v>SKU-078</x:v>
      </x:c>
      <x:c r="F16" s="28" t="str">
        <x:v>Higiene e Limpeza</x:v>
      </x:c>
      <x:c r="G16" s="32" t="n">
        <x:v>4107</x:v>
      </x:c>
      <x:c r="H16" s="32" t="n">
        <x:v>3933</x:v>
      </x:c>
      <x:c r="I16" s="32" t="n">
        <x:v>120</x:v>
      </x:c>
      <x:c r="J16" s="32" t="n">
        <x:v>21.82</x:v>
      </x:c>
      <x:c r="K16" s="32" t="n">
        <x:v>46.66</x:v>
      </x:c>
      <x:c r="L16" s="32" t="n">
        <x:v>54</x:v>
      </x:c>
      <x:c r="M16" s="36" t="n">
        <x:v>0.8182</x:v>
      </x:c>
      <x:c r="N16" s="36" t="n">
        <x:v>0.864</x:v>
      </x:c>
    </x:row>
    <x:row r="17">
      <x:c r="A17" s="34" t="n">
        <x:v>45306</x:v>
      </x:c>
      <x:c r="B17" s="28" t="str">
        <x:v>Grupo Industrial S.A.</x:v>
      </x:c>
      <x:c r="C17" s="28" t="str">
        <x:v>Planta Campinas</x:v>
      </x:c>
      <x:c r="D17" s="28" t="str">
        <x:v>Linha 4 - Embalagem</x:v>
      </x:c>
      <x:c r="E17" s="28" t="str">
        <x:v>SKU-105</x:v>
      </x:c>
      <x:c r="F17" s="28" t="str">
        <x:v>Embalagens</x:v>
      </x:c>
      <x:c r="G17" s="32" t="n">
        <x:v>3416</x:v>
      </x:c>
      <x:c r="H17" s="32" t="n">
        <x:v>3244</x:v>
      </x:c>
      <x:c r="I17" s="32" t="n">
        <x:v>120</x:v>
      </x:c>
      <x:c r="J17" s="32" t="n">
        <x:v>25.52</x:v>
      </x:c>
      <x:c r="K17" s="32" t="n">
        <x:v>42.99</x:v>
      </x:c>
      <x:c r="L17" s="32" t="n">
        <x:v>50</x:v>
      </x:c>
      <x:c r="M17" s="36" t="n">
        <x:v>0.7873</x:v>
      </x:c>
      <x:c r="N17" s="36" t="n">
        <x:v>0.8599</x:v>
      </x:c>
    </x:row>
    <x:row r="18">
      <x:c r="A18" s="34" t="n">
        <x:v>45306</x:v>
      </x:c>
      <x:c r="B18" s="28" t="str">
        <x:v>Grupo Industrial S.A.</x:v>
      </x:c>
      <x:c r="C18" s="28" t="str">
        <x:v>Planta Curitiba</x:v>
      </x:c>
      <x:c r="D18" s="28" t="str">
        <x:v>Linha 5 - Usinagem</x:v>
      </x:c>
      <x:c r="E18" s="28" t="str">
        <x:v>SKU-223</x:v>
      </x:c>
      <x:c r="F18" s="28" t="str">
        <x:v>Bebidas</x:v>
      </x:c>
      <x:c r="G18" s="32" t="n">
        <x:v>4253</x:v>
      </x:c>
      <x:c r="H18" s="32" t="n">
        <x:v>3852</x:v>
      </x:c>
      <x:c r="I18" s="32" t="n">
        <x:v>120</x:v>
      </x:c>
      <x:c r="J18" s="32" t="n">
        <x:v>21.13</x:v>
      </x:c>
      <x:c r="K18" s="32" t="n">
        <x:v>48.52</x:v>
      </x:c>
      <x:c r="L18" s="32" t="n">
        <x:v>56</x:v>
      </x:c>
      <x:c r="M18" s="36" t="n">
        <x:v>0.8239</x:v>
      </x:c>
      <x:c r="N18" s="36" t="n">
        <x:v>0.8664</x:v>
      </x:c>
    </x:row>
    <x:row r="19">
      <x:c r="A19" s="34" t="n">
        <x:v>45306</x:v>
      </x:c>
      <x:c r="B19" s="28" t="str">
        <x:v>Grupo Industrial S.A.</x:v>
      </x:c>
      <x:c r="C19" s="28" t="str">
        <x:v>Planta Curitiba</x:v>
      </x:c>
      <x:c r="D19" s="28" t="str">
        <x:v>Linha 6 - Finalização</x:v>
      </x:c>
      <x:c r="E19" s="28" t="str">
        <x:v>SKU-432</x:v>
      </x:c>
      <x:c r="F19" s="28" t="str">
        <x:v>Alimentos</x:v>
      </x:c>
      <x:c r="G19" s="32" t="n">
        <x:v>3942</x:v>
      </x:c>
      <x:c r="H19" s="32" t="n">
        <x:v>3720</x:v>
      </x:c>
      <x:c r="I19" s="32" t="n">
        <x:v>120</x:v>
      </x:c>
      <x:c r="J19" s="32" t="n">
        <x:v>18.36</x:v>
      </x:c>
      <x:c r="K19" s="32" t="n">
        <x:v>42.15</x:v>
      </x:c>
      <x:c r="L19" s="32" t="n">
        <x:v>48</x:v>
      </x:c>
      <x:c r="M19" s="36" t="n">
        <x:v>0.847</x:v>
      </x:c>
      <x:c r="N19" s="36" t="n">
        <x:v>0.8782</x:v>
      </x:c>
    </x:row>
    <x:row r="20">
      <x:c r="A20" s="34" t="n">
        <x:v>45313</x:v>
      </x:c>
      <x:c r="B20" s="28" t="str">
        <x:v>Grupo Industrial S.A.</x:v>
      </x:c>
      <x:c r="C20" s="28" t="str">
        <x:v>Planta São Paulo</x:v>
      </x:c>
      <x:c r="D20" s="28" t="str">
        <x:v>Linha 1 - Corte</x:v>
      </x:c>
      <x:c r="E20" s="28" t="str">
        <x:v>SKU-001</x:v>
      </x:c>
      <x:c r="F20" s="28" t="str">
        <x:v>Alimentos</x:v>
      </x:c>
      <x:c r="G20" s="32" t="n">
        <x:v>5689</x:v>
      </x:c>
      <x:c r="H20" s="32" t="n">
        <x:v>5399</x:v>
      </x:c>
      <x:c r="I20" s="32" t="n">
        <x:v>120</x:v>
      </x:c>
      <x:c r="J20" s="32" t="n">
        <x:v>17.14</x:v>
      </x:c>
      <x:c r="K20" s="32" t="n">
        <x:v>58.83</x:v>
      </x:c>
      <x:c r="L20" s="32" t="n">
        <x:v>62</x:v>
      </x:c>
      <x:c r="M20" s="36" t="n">
        <x:v>0.8572</x:v>
      </x:c>
      <x:c r="N20" s="36" t="n">
        <x:v>0.9488</x:v>
      </x:c>
    </x:row>
    <x:row r="21">
      <x:c r="A21" s="34" t="n">
        <x:v>45313</x:v>
      </x:c>
      <x:c r="B21" s="28" t="str">
        <x:v>Grupo Industrial S.A.</x:v>
      </x:c>
      <x:c r="C21" s="28" t="str">
        <x:v>Planta São Paulo</x:v>
      </x:c>
      <x:c r="D21" s="28" t="str">
        <x:v>Linha 2 - Montagem</x:v>
      </x:c>
      <x:c r="E21" s="28" t="str">
        <x:v>SKU-002</x:v>
      </x:c>
      <x:c r="F21" s="28" t="str">
        <x:v>Alimentos</x:v>
      </x:c>
      <x:c r="G21" s="32" t="n">
        <x:v>5118</x:v>
      </x:c>
      <x:c r="H21" s="32" t="n">
        <x:v>4661</x:v>
      </x:c>
      <x:c r="I21" s="32" t="n">
        <x:v>120</x:v>
      </x:c>
      <x:c r="J21" s="32" t="n">
        <x:v>15.14</x:v>
      </x:c>
      <x:c r="K21" s="32" t="n">
        <x:v>52.08</x:v>
      </x:c>
      <x:c r="L21" s="32" t="n">
        <x:v>58</x:v>
      </x:c>
      <x:c r="M21" s="36" t="n">
        <x:v>0.8738</x:v>
      </x:c>
      <x:c r="N21" s="36" t="n">
        <x:v>0.8979</x:v>
      </x:c>
    </x:row>
    <x:row r="22">
      <x:c r="A22" s="34" t="n">
        <x:v>45313</x:v>
      </x:c>
      <x:c r="B22" s="28" t="str">
        <x:v>Grupo Industrial S.A.</x:v>
      </x:c>
      <x:c r="C22" s="28" t="str">
        <x:v>Planta Campinas</x:v>
      </x:c>
      <x:c r="D22" s="28" t="str">
        <x:v>Linha 3 - Extrusão</x:v>
      </x:c>
      <x:c r="E22" s="28" t="str">
        <x:v>SKU-078</x:v>
      </x:c>
      <x:c r="F22" s="28" t="str">
        <x:v>Higiene e Limpeza</x:v>
      </x:c>
      <x:c r="G22" s="32" t="n">
        <x:v>4047</x:v>
      </x:c>
      <x:c r="H22" s="32" t="n">
        <x:v>3866</x:v>
      </x:c>
      <x:c r="I22" s="32" t="n">
        <x:v>120</x:v>
      </x:c>
      <x:c r="J22" s="32" t="n">
        <x:v>25.24</x:v>
      </x:c>
      <x:c r="K22" s="32" t="n">
        <x:v>47.22</x:v>
      </x:c>
      <x:c r="L22" s="32" t="n">
        <x:v>54</x:v>
      </x:c>
      <x:c r="M22" s="36" t="n">
        <x:v>0.7897</x:v>
      </x:c>
      <x:c r="N22" s="36" t="n">
        <x:v>0.8745</x:v>
      </x:c>
    </x:row>
    <x:row r="23">
      <x:c r="A23" s="34" t="n">
        <x:v>45313</x:v>
      </x:c>
      <x:c r="B23" s="28" t="str">
        <x:v>Grupo Industrial S.A.</x:v>
      </x:c>
      <x:c r="C23" s="28" t="str">
        <x:v>Planta Campinas</x:v>
      </x:c>
      <x:c r="D23" s="28" t="str">
        <x:v>Linha 4 - Embalagem</x:v>
      </x:c>
      <x:c r="E23" s="28" t="str">
        <x:v>SKU-105</x:v>
      </x:c>
      <x:c r="F23" s="28" t="str">
        <x:v>Embalagens</x:v>
      </x:c>
      <x:c r="G23" s="32" t="n">
        <x:v>3501</x:v>
      </x:c>
      <x:c r="H23" s="32" t="n">
        <x:v>3344</x:v>
      </x:c>
      <x:c r="I23" s="32" t="n">
        <x:v>120</x:v>
      </x:c>
      <x:c r="J23" s="32" t="n">
        <x:v>24.97</x:v>
      </x:c>
      <x:c r="K23" s="32" t="n">
        <x:v>44.02</x:v>
      </x:c>
      <x:c r="L23" s="32" t="n">
        <x:v>50</x:v>
      </x:c>
      <x:c r="M23" s="36" t="n">
        <x:v>0.7919</x:v>
      </x:c>
      <x:c r="N23" s="36" t="n">
        <x:v>0.8805</x:v>
      </x:c>
    </x:row>
    <x:row r="24">
      <x:c r="A24" s="34" t="n">
        <x:v>45313</x:v>
      </x:c>
      <x:c r="B24" s="28" t="str">
        <x:v>Grupo Industrial S.A.</x:v>
      </x:c>
      <x:c r="C24" s="28" t="str">
        <x:v>Planta Curitiba</x:v>
      </x:c>
      <x:c r="D24" s="28" t="str">
        <x:v>Linha 5 - Usinagem</x:v>
      </x:c>
      <x:c r="E24" s="28" t="str">
        <x:v>SKU-223</x:v>
      </x:c>
      <x:c r="F24" s="28" t="str">
        <x:v>Bebidas</x:v>
      </x:c>
      <x:c r="G24" s="32" t="n">
        <x:v>4308</x:v>
      </x:c>
      <x:c r="H24" s="32" t="n">
        <x:v>4088</x:v>
      </x:c>
      <x:c r="I24" s="32" t="n">
        <x:v>120</x:v>
      </x:c>
      <x:c r="J24" s="32" t="n">
        <x:v>18.95</x:v>
      </x:c>
      <x:c r="K24" s="32" t="n">
        <x:v>50.62</x:v>
      </x:c>
      <x:c r="L24" s="32" t="n">
        <x:v>56</x:v>
      </x:c>
      <x:c r="M24" s="36" t="n">
        <x:v>0.8421</x:v>
      </x:c>
      <x:c r="N24" s="36" t="n">
        <x:v>0.9039</x:v>
      </x:c>
    </x:row>
    <x:row r="25">
      <x:c r="A25" s="34" t="n">
        <x:v>45313</x:v>
      </x:c>
      <x:c r="B25" s="28" t="str">
        <x:v>Grupo Industrial S.A.</x:v>
      </x:c>
      <x:c r="C25" s="28" t="str">
        <x:v>Planta Curitiba</x:v>
      </x:c>
      <x:c r="D25" s="28" t="str">
        <x:v>Linha 6 - Finalização</x:v>
      </x:c>
      <x:c r="E25" s="28" t="str">
        <x:v>SKU-432</x:v>
      </x:c>
      <x:c r="F25" s="28" t="str">
        <x:v>Alimentos</x:v>
      </x:c>
      <x:c r="G25" s="32" t="n">
        <x:v>3819</x:v>
      </x:c>
      <x:c r="H25" s="32" t="n">
        <x:v>3583</x:v>
      </x:c>
      <x:c r="I25" s="32" t="n">
        <x:v>120</x:v>
      </x:c>
      <x:c r="J25" s="32" t="n">
        <x:v>20.46</x:v>
      </x:c>
      <x:c r="K25" s="32" t="n">
        <x:v>41.52</x:v>
      </x:c>
      <x:c r="L25" s="32" t="n">
        <x:v>48</x:v>
      </x:c>
      <x:c r="M25" s="36" t="n">
        <x:v>0.8295</x:v>
      </x:c>
      <x:c r="N25" s="36" t="n">
        <x:v>0.865</x:v>
      </x:c>
    </x:row>
    <x:row r="26">
      <x:c r="A26" s="34" t="n">
        <x:v>45320</x:v>
      </x:c>
      <x:c r="B26" s="28" t="str">
        <x:v>Grupo Industrial S.A.</x:v>
      </x:c>
      <x:c r="C26" s="28" t="str">
        <x:v>Planta São Paulo</x:v>
      </x:c>
      <x:c r="D26" s="28" t="str">
        <x:v>Linha 1 - Corte</x:v>
      </x:c>
      <x:c r="E26" s="28" t="str">
        <x:v>SKU-001</x:v>
      </x:c>
      <x:c r="F26" s="28" t="str">
        <x:v>Alimentos</x:v>
      </x:c>
      <x:c r="G26" s="32" t="n">
        <x:v>5843</x:v>
      </x:c>
      <x:c r="H26" s="32" t="n">
        <x:v>5504</x:v>
      </x:c>
      <x:c r="I26" s="32" t="n">
        <x:v>120</x:v>
      </x:c>
      <x:c r="J26" s="32" t="n">
        <x:v>15.75</x:v>
      </x:c>
      <x:c r="K26" s="32" t="n">
        <x:v>56.13</x:v>
      </x:c>
      <x:c r="L26" s="32" t="n">
        <x:v>62</x:v>
      </x:c>
      <x:c r="M26" s="36" t="n">
        <x:v>0.8687</x:v>
      </x:c>
      <x:c r="N26" s="36" t="n">
        <x:v>0.9053</x:v>
      </x:c>
    </x:row>
    <x:row r="27">
      <x:c r="A27" s="34" t="n">
        <x:v>45320</x:v>
      </x:c>
      <x:c r="B27" s="28" t="str">
        <x:v>Grupo Industrial S.A.</x:v>
      </x:c>
      <x:c r="C27" s="28" t="str">
        <x:v>Planta São Paulo</x:v>
      </x:c>
      <x:c r="D27" s="28" t="str">
        <x:v>Linha 2 - Montagem</x:v>
      </x:c>
      <x:c r="E27" s="28" t="str">
        <x:v>SKU-002</x:v>
      </x:c>
      <x:c r="F27" s="28" t="str">
        <x:v>Alimentos</x:v>
      </x:c>
      <x:c r="G27" s="32" t="n">
        <x:v>5388</x:v>
      </x:c>
      <x:c r="H27" s="32" t="n">
        <x:v>5189</x:v>
      </x:c>
      <x:c r="I27" s="32" t="n">
        <x:v>120</x:v>
      </x:c>
      <x:c r="J27" s="32" t="n">
        <x:v>15.94</x:v>
      </x:c>
      <x:c r="K27" s="32" t="n">
        <x:v>53.2</x:v>
      </x:c>
      <x:c r="L27" s="32" t="n">
        <x:v>58</x:v>
      </x:c>
      <x:c r="M27" s="36" t="n">
        <x:v>0.8672</x:v>
      </x:c>
      <x:c r="N27" s="36" t="n">
        <x:v>0.9173</x:v>
      </x:c>
    </x:row>
    <x:row r="28">
      <x:c r="A28" s="34" t="n">
        <x:v>45320</x:v>
      </x:c>
      <x:c r="B28" s="28" t="str">
        <x:v>Grupo Industrial S.A.</x:v>
      </x:c>
      <x:c r="C28" s="28" t="str">
        <x:v>Planta Campinas</x:v>
      </x:c>
      <x:c r="D28" s="28" t="str">
        <x:v>Linha 3 - Extrusão</x:v>
      </x:c>
      <x:c r="E28" s="28" t="str">
        <x:v>SKU-078</x:v>
      </x:c>
      <x:c r="F28" s="28" t="str">
        <x:v>Higiene e Limpeza</x:v>
      </x:c>
      <x:c r="G28" s="32" t="n">
        <x:v>4134</x:v>
      </x:c>
      <x:c r="H28" s="32" t="n">
        <x:v>3806</x:v>
      </x:c>
      <x:c r="I28" s="32" t="n">
        <x:v>120</x:v>
      </x:c>
      <x:c r="J28" s="32" t="n">
        <x:v>24.72</x:v>
      </x:c>
      <x:c r="K28" s="32" t="n">
        <x:v>45.23</x:v>
      </x:c>
      <x:c r="L28" s="32" t="n">
        <x:v>54</x:v>
      </x:c>
      <x:c r="M28" s="36" t="n">
        <x:v>0.794</x:v>
      </x:c>
      <x:c r="N28" s="36" t="n">
        <x:v>0.8375</x:v>
      </x:c>
    </x:row>
    <x:row r="29">
      <x:c r="A29" s="34" t="n">
        <x:v>45320</x:v>
      </x:c>
      <x:c r="B29" s="28" t="str">
        <x:v>Grupo Industrial S.A.</x:v>
      </x:c>
      <x:c r="C29" s="28" t="str">
        <x:v>Planta Campinas</x:v>
      </x:c>
      <x:c r="D29" s="28" t="str">
        <x:v>Linha 4 - Embalagem</x:v>
      </x:c>
      <x:c r="E29" s="28" t="str">
        <x:v>SKU-105</x:v>
      </x:c>
      <x:c r="F29" s="28" t="str">
        <x:v>Embalagens</x:v>
      </x:c>
      <x:c r="G29" s="32" t="n">
        <x:v>3575</x:v>
      </x:c>
      <x:c r="H29" s="32" t="n">
        <x:v>3272</x:v>
      </x:c>
      <x:c r="I29" s="32" t="n">
        <x:v>120</x:v>
      </x:c>
      <x:c r="J29" s="32" t="n">
        <x:v>23.24</x:v>
      </x:c>
      <x:c r="K29" s="32" t="n">
        <x:v>42.67</x:v>
      </x:c>
      <x:c r="L29" s="32" t="n">
        <x:v>50</x:v>
      </x:c>
      <x:c r="M29" s="36" t="n">
        <x:v>0.8063</x:v>
      </x:c>
      <x:c r="N29" s="36" t="n">
        <x:v>0.8535</x:v>
      </x:c>
    </x:row>
    <x:row r="30">
      <x:c r="A30" s="34" t="n">
        <x:v>45320</x:v>
      </x:c>
      <x:c r="B30" s="28" t="str">
        <x:v>Grupo Industrial S.A.</x:v>
      </x:c>
      <x:c r="C30" s="28" t="str">
        <x:v>Planta Curitiba</x:v>
      </x:c>
      <x:c r="D30" s="28" t="str">
        <x:v>Linha 5 - Usinagem</x:v>
      </x:c>
      <x:c r="E30" s="28" t="str">
        <x:v>SKU-223</x:v>
      </x:c>
      <x:c r="F30" s="28" t="str">
        <x:v>Bebidas</x:v>
      </x:c>
      <x:c r="G30" s="32" t="n">
        <x:v>4558</x:v>
      </x:c>
      <x:c r="H30" s="32" t="n">
        <x:v>4318</x:v>
      </x:c>
      <x:c r="I30" s="32" t="n">
        <x:v>120</x:v>
      </x:c>
      <x:c r="J30" s="32" t="n">
        <x:v>20.93</x:v>
      </x:c>
      <x:c r="K30" s="32" t="n">
        <x:v>48.67</x:v>
      </x:c>
      <x:c r="L30" s="32" t="n">
        <x:v>56</x:v>
      </x:c>
      <x:c r="M30" s="36" t="n">
        <x:v>0.8256</x:v>
      </x:c>
      <x:c r="N30" s="36" t="n">
        <x:v>0.8692</x:v>
      </x:c>
    </x:row>
    <x:row r="31">
      <x:c r="A31" s="34" t="n">
        <x:v>45320</x:v>
      </x:c>
      <x:c r="B31" s="28" t="str">
        <x:v>Grupo Industrial S.A.</x:v>
      </x:c>
      <x:c r="C31" s="28" t="str">
        <x:v>Planta Curitiba</x:v>
      </x:c>
      <x:c r="D31" s="28" t="str">
        <x:v>Linha 6 - Finalização</x:v>
      </x:c>
      <x:c r="E31" s="28" t="str">
        <x:v>SKU-432</x:v>
      </x:c>
      <x:c r="F31" s="28" t="str">
        <x:v>Alimentos</x:v>
      </x:c>
      <x:c r="G31" s="32" t="n">
        <x:v>3729</x:v>
      </x:c>
      <x:c r="H31" s="32" t="n">
        <x:v>3430</x:v>
      </x:c>
      <x:c r="I31" s="32" t="n">
        <x:v>120</x:v>
      </x:c>
      <x:c r="J31" s="32" t="n">
        <x:v>17.25</x:v>
      </x:c>
      <x:c r="K31" s="32" t="n">
        <x:v>42.48</x:v>
      </x:c>
      <x:c r="L31" s="32" t="n">
        <x:v>48</x:v>
      </x:c>
      <x:c r="M31" s="36" t="n">
        <x:v>0.8562</x:v>
      </x:c>
      <x:c r="N31" s="36" t="n">
        <x:v>0.8851</x:v>
      </x:c>
    </x:row>
    <x:row r="32">
      <x:c r="A32" s="34" t="n">
        <x:v>45327</x:v>
      </x:c>
      <x:c r="B32" s="28" t="str">
        <x:v>Grupo Industrial S.A.</x:v>
      </x:c>
      <x:c r="C32" s="28" t="str">
        <x:v>Planta São Paulo</x:v>
      </x:c>
      <x:c r="D32" s="28" t="str">
        <x:v>Linha 1 - Corte</x:v>
      </x:c>
      <x:c r="E32" s="28" t="str">
        <x:v>SKU-001</x:v>
      </x:c>
      <x:c r="F32" s="28" t="str">
        <x:v>Alimentos</x:v>
      </x:c>
      <x:c r="G32" s="32" t="n">
        <x:v>6441</x:v>
      </x:c>
      <x:c r="H32" s="32" t="n">
        <x:v>5907</x:v>
      </x:c>
      <x:c r="I32" s="32" t="n">
        <x:v>120</x:v>
      </x:c>
      <x:c r="J32" s="32" t="n">
        <x:v>17.46</x:v>
      </x:c>
      <x:c r="K32" s="32" t="n">
        <x:v>57.62</x:v>
      </x:c>
      <x:c r="L32" s="32" t="n">
        <x:v>62</x:v>
      </x:c>
      <x:c r="M32" s="36" t="n">
        <x:v>0.8545</x:v>
      </x:c>
      <x:c r="N32" s="36" t="n">
        <x:v>0.9293</x:v>
      </x:c>
    </x:row>
    <x:row r="33">
      <x:c r="A33" s="34" t="n">
        <x:v>45327</x:v>
      </x:c>
      <x:c r="B33" s="28" t="str">
        <x:v>Grupo Industrial S.A.</x:v>
      </x:c>
      <x:c r="C33" s="28" t="str">
        <x:v>Planta São Paulo</x:v>
      </x:c>
      <x:c r="D33" s="28" t="str">
        <x:v>Linha 2 - Montagem</x:v>
      </x:c>
      <x:c r="E33" s="28" t="str">
        <x:v>SKU-002</x:v>
      </x:c>
      <x:c r="F33" s="28" t="str">
        <x:v>Alimentos</x:v>
      </x:c>
      <x:c r="G33" s="32" t="n">
        <x:v>5397</x:v>
      </x:c>
      <x:c r="H33" s="32" t="n">
        <x:v>4915</x:v>
      </x:c>
      <x:c r="I33" s="32" t="n">
        <x:v>120</x:v>
      </x:c>
      <x:c r="J33" s="32" t="n">
        <x:v>13.24</x:v>
      </x:c>
      <x:c r="K33" s="32" t="n">
        <x:v>52.22</x:v>
      </x:c>
      <x:c r="L33" s="32" t="n">
        <x:v>58</x:v>
      </x:c>
      <x:c r="M33" s="36" t="n">
        <x:v>0.8897</x:v>
      </x:c>
      <x:c r="N33" s="36" t="n">
        <x:v>0.9004</x:v>
      </x:c>
    </x:row>
    <x:row r="34">
      <x:c r="A34" s="34" t="n">
        <x:v>45327</x:v>
      </x:c>
      <x:c r="B34" s="28" t="str">
        <x:v>Grupo Industrial S.A.</x:v>
      </x:c>
      <x:c r="C34" s="28" t="str">
        <x:v>Planta Campinas</x:v>
      </x:c>
      <x:c r="D34" s="28" t="str">
        <x:v>Linha 3 - Extrusão</x:v>
      </x:c>
      <x:c r="E34" s="28" t="str">
        <x:v>SKU-078</x:v>
      </x:c>
      <x:c r="F34" s="28" t="str">
        <x:v>Higiene e Limpeza</x:v>
      </x:c>
      <x:c r="G34" s="32" t="n">
        <x:v>4116</x:v>
      </x:c>
      <x:c r="H34" s="32" t="n">
        <x:v>3857</x:v>
      </x:c>
      <x:c r="I34" s="32" t="n">
        <x:v>120</x:v>
      </x:c>
      <x:c r="J34" s="32" t="n">
        <x:v>23.72</x:v>
      </x:c>
      <x:c r="K34" s="32" t="n">
        <x:v>47.08</x:v>
      </x:c>
      <x:c r="L34" s="32" t="n">
        <x:v>54</x:v>
      </x:c>
      <x:c r="M34" s="36" t="n">
        <x:v>0.8024</x:v>
      </x:c>
      <x:c r="N34" s="36" t="n">
        <x:v>0.8718</x:v>
      </x:c>
    </x:row>
    <x:row r="35">
      <x:c r="A35" s="34" t="n">
        <x:v>45327</x:v>
      </x:c>
      <x:c r="B35" s="28" t="str">
        <x:v>Grupo Industrial S.A.</x:v>
      </x:c>
      <x:c r="C35" s="28" t="str">
        <x:v>Planta Campinas</x:v>
      </x:c>
      <x:c r="D35" s="28" t="str">
        <x:v>Linha 4 - Embalagem</x:v>
      </x:c>
      <x:c r="E35" s="28" t="str">
        <x:v>SKU-105</x:v>
      </x:c>
      <x:c r="F35" s="28" t="str">
        <x:v>Embalagens</x:v>
      </x:c>
      <x:c r="G35" s="32" t="n">
        <x:v>3851</x:v>
      </x:c>
      <x:c r="H35" s="32" t="n">
        <x:v>3531</x:v>
      </x:c>
      <x:c r="I35" s="32" t="n">
        <x:v>120</x:v>
      </x:c>
      <x:c r="J35" s="32" t="n">
        <x:v>24.72</x:v>
      </x:c>
      <x:c r="K35" s="32" t="n">
        <x:v>41.66</x:v>
      </x:c>
      <x:c r="L35" s="32" t="n">
        <x:v>50</x:v>
      </x:c>
      <x:c r="M35" s="36" t="n">
        <x:v>0.794</x:v>
      </x:c>
      <x:c r="N35" s="36" t="n">
        <x:v>0.8333</x:v>
      </x:c>
    </x:row>
    <x:row r="36">
      <x:c r="A36" s="34" t="n">
        <x:v>45327</x:v>
      </x:c>
      <x:c r="B36" s="28" t="str">
        <x:v>Grupo Industrial S.A.</x:v>
      </x:c>
      <x:c r="C36" s="28" t="str">
        <x:v>Planta Curitiba</x:v>
      </x:c>
      <x:c r="D36" s="28" t="str">
        <x:v>Linha 5 - Usinagem</x:v>
      </x:c>
      <x:c r="E36" s="28" t="str">
        <x:v>SKU-223</x:v>
      </x:c>
      <x:c r="F36" s="28" t="str">
        <x:v>Bebidas</x:v>
      </x:c>
      <x:c r="G36" s="32" t="n">
        <x:v>4265</x:v>
      </x:c>
      <x:c r="H36" s="32" t="n">
        <x:v>3895</x:v>
      </x:c>
      <x:c r="I36" s="32" t="n">
        <x:v>120</x:v>
      </x:c>
      <x:c r="J36" s="32" t="n">
        <x:v>20.94</x:v>
      </x:c>
      <x:c r="K36" s="32" t="n">
        <x:v>50.78</x:v>
      </x:c>
      <x:c r="L36" s="32" t="n">
        <x:v>56</x:v>
      </x:c>
      <x:c r="M36" s="36" t="n">
        <x:v>0.8255</x:v>
      </x:c>
      <x:c r="N36" s="36" t="n">
        <x:v>0.9067</x:v>
      </x:c>
    </x:row>
    <x:row r="37">
      <x:c r="A37" s="34" t="n">
        <x:v>45327</x:v>
      </x:c>
      <x:c r="B37" s="28" t="str">
        <x:v>Grupo Industrial S.A.</x:v>
      </x:c>
      <x:c r="C37" s="28" t="str">
        <x:v>Planta Curitiba</x:v>
      </x:c>
      <x:c r="D37" s="28" t="str">
        <x:v>Linha 6 - Finalização</x:v>
      </x:c>
      <x:c r="E37" s="28" t="str">
        <x:v>SKU-432</x:v>
      </x:c>
      <x:c r="F37" s="28" t="str">
        <x:v>Alimentos</x:v>
      </x:c>
      <x:c r="G37" s="32" t="n">
        <x:v>3653</x:v>
      </x:c>
      <x:c r="H37" s="32" t="n">
        <x:v>3475</x:v>
      </x:c>
      <x:c r="I37" s="32" t="n">
        <x:v>120</x:v>
      </x:c>
      <x:c r="J37" s="32" t="n">
        <x:v>18</x:v>
      </x:c>
      <x:c r="K37" s="32" t="n">
        <x:v>43.2</x:v>
      </x:c>
      <x:c r="L37" s="32" t="n">
        <x:v>48</x:v>
      </x:c>
      <x:c r="M37" s="36" t="n">
        <x:v>0.85</x:v>
      </x:c>
      <x:c r="N37" s="36" t="n">
        <x:v>0.8999</x:v>
      </x:c>
    </x:row>
    <x:row r="38">
      <x:c r="A38" s="34" t="n">
        <x:v>45334</x:v>
      </x:c>
      <x:c r="B38" s="28" t="str">
        <x:v>Grupo Industrial S.A.</x:v>
      </x:c>
      <x:c r="C38" s="28" t="str">
        <x:v>Planta São Paulo</x:v>
      </x:c>
      <x:c r="D38" s="28" t="str">
        <x:v>Linha 1 - Corte</x:v>
      </x:c>
      <x:c r="E38" s="28" t="str">
        <x:v>SKU-001</x:v>
      </x:c>
      <x:c r="F38" s="28" t="str">
        <x:v>Alimentos</x:v>
      </x:c>
      <x:c r="G38" s="32" t="n">
        <x:v>6003</x:v>
      </x:c>
      <x:c r="H38" s="32" t="n">
        <x:v>5738</x:v>
      </x:c>
      <x:c r="I38" s="32" t="n">
        <x:v>120</x:v>
      </x:c>
      <x:c r="J38" s="32" t="n">
        <x:v>14.39</x:v>
      </x:c>
      <x:c r="K38" s="32" t="n">
        <x:v>58.01</x:v>
      </x:c>
      <x:c r="L38" s="32" t="n">
        <x:v>62</x:v>
      </x:c>
      <x:c r="M38" s="36" t="n">
        <x:v>0.88</x:v>
      </x:c>
      <x:c r="N38" s="36" t="n">
        <x:v>0.9356</x:v>
      </x:c>
    </x:row>
    <x:row r="39">
      <x:c r="A39" s="34" t="n">
        <x:v>45334</x:v>
      </x:c>
      <x:c r="B39" s="28" t="str">
        <x:v>Grupo Industrial S.A.</x:v>
      </x:c>
      <x:c r="C39" s="28" t="str">
        <x:v>Planta São Paulo</x:v>
      </x:c>
      <x:c r="D39" s="28" t="str">
        <x:v>Linha 2 - Montagem</x:v>
      </x:c>
      <x:c r="E39" s="28" t="str">
        <x:v>SKU-002</x:v>
      </x:c>
      <x:c r="F39" s="28" t="str">
        <x:v>Alimentos</x:v>
      </x:c>
      <x:c r="G39" s="32" t="n">
        <x:v>5246</x:v>
      </x:c>
      <x:c r="H39" s="32" t="n">
        <x:v>4926</x:v>
      </x:c>
      <x:c r="I39" s="32" t="n">
        <x:v>120</x:v>
      </x:c>
      <x:c r="J39" s="32" t="n">
        <x:v>14.37</x:v>
      </x:c>
      <x:c r="K39" s="32" t="n">
        <x:v>51.93</x:v>
      </x:c>
      <x:c r="L39" s="32" t="n">
        <x:v>58</x:v>
      </x:c>
      <x:c r="M39" s="36" t="n">
        <x:v>0.8802</x:v>
      </x:c>
      <x:c r="N39" s="36" t="n">
        <x:v>0.8954</x:v>
      </x:c>
    </x:row>
    <x:row r="40">
      <x:c r="A40" s="34" t="n">
        <x:v>45334</x:v>
      </x:c>
      <x:c r="B40" s="28" t="str">
        <x:v>Grupo Industrial S.A.</x:v>
      </x:c>
      <x:c r="C40" s="28" t="str">
        <x:v>Planta Campinas</x:v>
      </x:c>
      <x:c r="D40" s="28" t="str">
        <x:v>Linha 3 - Extrusão</x:v>
      </x:c>
      <x:c r="E40" s="28" t="str">
        <x:v>SKU-078</x:v>
      </x:c>
      <x:c r="F40" s="28" t="str">
        <x:v>Higiene e Limpeza</x:v>
      </x:c>
      <x:c r="G40" s="32" t="n">
        <x:v>3976</x:v>
      </x:c>
      <x:c r="H40" s="32" t="n">
        <x:v>3761</x:v>
      </x:c>
      <x:c r="I40" s="32" t="n">
        <x:v>120</x:v>
      </x:c>
      <x:c r="J40" s="32" t="n">
        <x:v>23.72</x:v>
      </x:c>
      <x:c r="K40" s="32" t="n">
        <x:v>45.2</x:v>
      </x:c>
      <x:c r="L40" s="32" t="n">
        <x:v>54</x:v>
      </x:c>
      <x:c r="M40" s="36" t="n">
        <x:v>0.8024</x:v>
      </x:c>
      <x:c r="N40" s="36" t="n">
        <x:v>0.8371</x:v>
      </x:c>
    </x:row>
    <x:row r="41">
      <x:c r="A41" s="34" t="n">
        <x:v>45334</x:v>
      </x:c>
      <x:c r="B41" s="28" t="str">
        <x:v>Grupo Industrial S.A.</x:v>
      </x:c>
      <x:c r="C41" s="28" t="str">
        <x:v>Planta Campinas</x:v>
      </x:c>
      <x:c r="D41" s="28" t="str">
        <x:v>Linha 4 - Embalagem</x:v>
      </x:c>
      <x:c r="E41" s="28" t="str">
        <x:v>SKU-105</x:v>
      </x:c>
      <x:c r="F41" s="28" t="str">
        <x:v>Embalagens</x:v>
      </x:c>
      <x:c r="G41" s="32" t="n">
        <x:v>3626</x:v>
      </x:c>
      <x:c r="H41" s="32" t="n">
        <x:v>3435</x:v>
      </x:c>
      <x:c r="I41" s="32" t="n">
        <x:v>120</x:v>
      </x:c>
      <x:c r="J41" s="32" t="n">
        <x:v>21.43</x:v>
      </x:c>
      <x:c r="K41" s="32" t="n">
        <x:v>42.48</x:v>
      </x:c>
      <x:c r="L41" s="32" t="n">
        <x:v>50</x:v>
      </x:c>
      <x:c r="M41" s="36" t="n">
        <x:v>0.8214</x:v>
      </x:c>
      <x:c r="N41" s="36" t="n">
        <x:v>0.8496</x:v>
      </x:c>
    </x:row>
    <x:row r="42">
      <x:c r="A42" s="34" t="n">
        <x:v>45334</x:v>
      </x:c>
      <x:c r="B42" s="28" t="str">
        <x:v>Grupo Industrial S.A.</x:v>
      </x:c>
      <x:c r="C42" s="28" t="str">
        <x:v>Planta Curitiba</x:v>
      </x:c>
      <x:c r="D42" s="28" t="str">
        <x:v>Linha 5 - Usinagem</x:v>
      </x:c>
      <x:c r="E42" s="28" t="str">
        <x:v>SKU-223</x:v>
      </x:c>
      <x:c r="F42" s="28" t="str">
        <x:v>Bebidas</x:v>
      </x:c>
      <x:c r="G42" s="32" t="n">
        <x:v>4599</x:v>
      </x:c>
      <x:c r="H42" s="32" t="n">
        <x:v>4238</x:v>
      </x:c>
      <x:c r="I42" s="32" t="n">
        <x:v>120</x:v>
      </x:c>
      <x:c r="J42" s="32" t="n">
        <x:v>20.15</x:v>
      </x:c>
      <x:c r="K42" s="32" t="n">
        <x:v>50.75</x:v>
      </x:c>
      <x:c r="L42" s="32" t="n">
        <x:v>56</x:v>
      </x:c>
      <x:c r="M42" s="36" t="n">
        <x:v>0.8321</x:v>
      </x:c>
      <x:c r="N42" s="36" t="n">
        <x:v>0.9062</x:v>
      </x:c>
    </x:row>
    <x:row r="43">
      <x:c r="A43" s="34" t="n">
        <x:v>45334</x:v>
      </x:c>
      <x:c r="B43" s="28" t="str">
        <x:v>Grupo Industrial S.A.</x:v>
      </x:c>
      <x:c r="C43" s="28" t="str">
        <x:v>Planta Curitiba</x:v>
      </x:c>
      <x:c r="D43" s="28" t="str">
        <x:v>Linha 6 - Finalização</x:v>
      </x:c>
      <x:c r="E43" s="28" t="str">
        <x:v>SKU-432</x:v>
      </x:c>
      <x:c r="F43" s="28" t="str">
        <x:v>Alimentos</x:v>
      </x:c>
      <x:c r="G43" s="32" t="n">
        <x:v>4069</x:v>
      </x:c>
      <x:c r="H43" s="32" t="n">
        <x:v>3704</x:v>
      </x:c>
      <x:c r="I43" s="32" t="n">
        <x:v>120</x:v>
      </x:c>
      <x:c r="J43" s="32" t="n">
        <x:v>19.22</x:v>
      </x:c>
      <x:c r="K43" s="32" t="n">
        <x:v>41.58</x:v>
      </x:c>
      <x:c r="L43" s="32" t="n">
        <x:v>48</x:v>
      </x:c>
      <x:c r="M43" s="36" t="n">
        <x:v>0.8398</x:v>
      </x:c>
      <x:c r="N43" s="36" t="n">
        <x:v>0.8663</x:v>
      </x:c>
    </x:row>
    <x:row r="44">
      <x:c r="A44" s="34" t="n">
        <x:v>45341</x:v>
      </x:c>
      <x:c r="B44" s="28" t="str">
        <x:v>Grupo Industrial S.A.</x:v>
      </x:c>
      <x:c r="C44" s="28" t="str">
        <x:v>Planta São Paulo</x:v>
      </x:c>
      <x:c r="D44" s="28" t="str">
        <x:v>Linha 1 - Corte</x:v>
      </x:c>
      <x:c r="E44" s="28" t="str">
        <x:v>SKU-001</x:v>
      </x:c>
      <x:c r="F44" s="28" t="str">
        <x:v>Alimentos</x:v>
      </x:c>
      <x:c r="G44" s="32" t="n">
        <x:v>5899</x:v>
      </x:c>
      <x:c r="H44" s="32" t="n">
        <x:v>5356</x:v>
      </x:c>
      <x:c r="I44" s="32" t="n">
        <x:v>120</x:v>
      </x:c>
      <x:c r="J44" s="32" t="n">
        <x:v>12.09</x:v>
      </x:c>
      <x:c r="K44" s="32" t="n">
        <x:v>55.86</x:v>
      </x:c>
      <x:c r="L44" s="32" t="n">
        <x:v>62</x:v>
      </x:c>
      <x:c r="M44" s="36" t="n">
        <x:v>0.8992</x:v>
      </x:c>
      <x:c r="N44" s="36" t="n">
        <x:v>0.9009</x:v>
      </x:c>
    </x:row>
    <x:row r="45">
      <x:c r="A45" s="34" t="n">
        <x:v>45341</x:v>
      </x:c>
      <x:c r="B45" s="28" t="str">
        <x:v>Grupo Industrial S.A.</x:v>
      </x:c>
      <x:c r="C45" s="28" t="str">
        <x:v>Planta São Paulo</x:v>
      </x:c>
      <x:c r="D45" s="28" t="str">
        <x:v>Linha 2 - Montagem</x:v>
      </x:c>
      <x:c r="E45" s="28" t="str">
        <x:v>SKU-002</x:v>
      </x:c>
      <x:c r="F45" s="28" t="str">
        <x:v>Alimentos</x:v>
      </x:c>
      <x:c r="G45" s="32" t="n">
        <x:v>5091</x:v>
      </x:c>
      <x:c r="H45" s="32" t="n">
        <x:v>4642</x:v>
      </x:c>
      <x:c r="I45" s="32" t="n">
        <x:v>120</x:v>
      </x:c>
      <x:c r="J45" s="32" t="n">
        <x:v>16.43</x:v>
      </x:c>
      <x:c r="K45" s="32" t="n">
        <x:v>51.94</x:v>
      </x:c>
      <x:c r="L45" s="32" t="n">
        <x:v>58</x:v>
      </x:c>
      <x:c r="M45" s="36" t="n">
        <x:v>0.8631</x:v>
      </x:c>
      <x:c r="N45" s="36" t="n">
        <x:v>0.8955</x:v>
      </x:c>
    </x:row>
    <x:row r="46">
      <x:c r="A46" s="34" t="n">
        <x:v>45341</x:v>
      </x:c>
      <x:c r="B46" s="28" t="str">
        <x:v>Grupo Industrial S.A.</x:v>
      </x:c>
      <x:c r="C46" s="28" t="str">
        <x:v>Planta Campinas</x:v>
      </x:c>
      <x:c r="D46" s="28" t="str">
        <x:v>Linha 3 - Extrusão</x:v>
      </x:c>
      <x:c r="E46" s="28" t="str">
        <x:v>SKU-078</x:v>
      </x:c>
      <x:c r="F46" s="28" t="str">
        <x:v>Higiene e Limpeza</x:v>
      </x:c>
      <x:c r="G46" s="32" t="n">
        <x:v>4307</x:v>
      </x:c>
      <x:c r="H46" s="32" t="n">
        <x:v>3908</x:v>
      </x:c>
      <x:c r="I46" s="32" t="n">
        <x:v>120</x:v>
      </x:c>
      <x:c r="J46" s="32" t="n">
        <x:v>23.82</x:v>
      </x:c>
      <x:c r="K46" s="32" t="n">
        <x:v>47.36</x:v>
      </x:c>
      <x:c r="L46" s="32" t="n">
        <x:v>54</x:v>
      </x:c>
      <x:c r="M46" s="36" t="n">
        <x:v>0.8015</x:v>
      </x:c>
      <x:c r="N46" s="36" t="n">
        <x:v>0.877</x:v>
      </x:c>
    </x:row>
    <x:row r="47">
      <x:c r="A47" s="34" t="n">
        <x:v>45341</x:v>
      </x:c>
      <x:c r="B47" s="28" t="str">
        <x:v>Grupo Industrial S.A.</x:v>
      </x:c>
      <x:c r="C47" s="28" t="str">
        <x:v>Planta Campinas</x:v>
      </x:c>
      <x:c r="D47" s="28" t="str">
        <x:v>Linha 4 - Embalagem</x:v>
      </x:c>
      <x:c r="E47" s="28" t="str">
        <x:v>SKU-105</x:v>
      </x:c>
      <x:c r="F47" s="28" t="str">
        <x:v>Embalagens</x:v>
      </x:c>
      <x:c r="G47" s="32" t="n">
        <x:v>3543</x:v>
      </x:c>
      <x:c r="H47" s="32" t="n">
        <x:v>3363</x:v>
      </x:c>
      <x:c r="I47" s="32" t="n">
        <x:v>120</x:v>
      </x:c>
      <x:c r="J47" s="32" t="n">
        <x:v>24.72</x:v>
      </x:c>
      <x:c r="K47" s="32" t="n">
        <x:v>41.29</x:v>
      </x:c>
      <x:c r="L47" s="32" t="n">
        <x:v>50</x:v>
      </x:c>
      <x:c r="M47" s="36" t="n">
        <x:v>0.794</x:v>
      </x:c>
      <x:c r="N47" s="36" t="n">
        <x:v>0.8259</x:v>
      </x:c>
    </x:row>
    <x:row r="48">
      <x:c r="A48" s="34" t="n">
        <x:v>45341</x:v>
      </x:c>
      <x:c r="B48" s="28" t="str">
        <x:v>Grupo Industrial S.A.</x:v>
      </x:c>
      <x:c r="C48" s="28" t="str">
        <x:v>Planta Curitiba</x:v>
      </x:c>
      <x:c r="D48" s="28" t="str">
        <x:v>Linha 5 - Usinagem</x:v>
      </x:c>
      <x:c r="E48" s="28" t="str">
        <x:v>SKU-223</x:v>
      </x:c>
      <x:c r="F48" s="28" t="str">
        <x:v>Bebidas</x:v>
      </x:c>
      <x:c r="G48" s="32" t="n">
        <x:v>4522</x:v>
      </x:c>
      <x:c r="H48" s="32" t="n">
        <x:v>4123</x:v>
      </x:c>
      <x:c r="I48" s="32" t="n">
        <x:v>120</x:v>
      </x:c>
      <x:c r="J48" s="32" t="n">
        <x:v>17.09</x:v>
      </x:c>
      <x:c r="K48" s="32" t="n">
        <x:v>49.07</x:v>
      </x:c>
      <x:c r="L48" s="32" t="n">
        <x:v>56</x:v>
      </x:c>
      <x:c r="M48" s="36" t="n">
        <x:v>0.8576</x:v>
      </x:c>
      <x:c r="N48" s="36" t="n">
        <x:v>0.8762</x:v>
      </x:c>
    </x:row>
    <x:row r="49">
      <x:c r="A49" s="34" t="n">
        <x:v>45341</x:v>
      </x:c>
      <x:c r="B49" s="28" t="str">
        <x:v>Grupo Industrial S.A.</x:v>
      </x:c>
      <x:c r="C49" s="28" t="str">
        <x:v>Planta Curitiba</x:v>
      </x:c>
      <x:c r="D49" s="28" t="str">
        <x:v>Linha 6 - Finalização</x:v>
      </x:c>
      <x:c r="E49" s="28" t="str">
        <x:v>SKU-432</x:v>
      </x:c>
      <x:c r="F49" s="28" t="str">
        <x:v>Alimentos</x:v>
      </x:c>
      <x:c r="G49" s="32" t="n">
        <x:v>4058</x:v>
      </x:c>
      <x:c r="H49" s="32" t="n">
        <x:v>3882</x:v>
      </x:c>
      <x:c r="I49" s="32" t="n">
        <x:v>120</x:v>
      </x:c>
      <x:c r="J49" s="32" t="n">
        <x:v>17.13</x:v>
      </x:c>
      <x:c r="K49" s="32" t="n">
        <x:v>43.74</x:v>
      </x:c>
      <x:c r="L49" s="32" t="n">
        <x:v>48</x:v>
      </x:c>
      <x:c r="M49" s="36" t="n">
        <x:v>0.8573</x:v>
      </x:c>
      <x:c r="N49" s="36" t="n">
        <x:v>0.9113</x:v>
      </x:c>
    </x:row>
    <x:row r="50">
      <x:c r="A50" s="34" t="n">
        <x:v>45348</x:v>
      </x:c>
      <x:c r="B50" s="28" t="str">
        <x:v>Grupo Industrial S.A.</x:v>
      </x:c>
      <x:c r="C50" s="28" t="str">
        <x:v>Planta São Paulo</x:v>
      </x:c>
      <x:c r="D50" s="28" t="str">
        <x:v>Linha 1 - Corte</x:v>
      </x:c>
      <x:c r="E50" s="28" t="str">
        <x:v>SKU-001</x:v>
      </x:c>
      <x:c r="F50" s="28" t="str">
        <x:v>Alimentos</x:v>
      </x:c>
      <x:c r="G50" s="32" t="n">
        <x:v>6176</x:v>
      </x:c>
      <x:c r="H50" s="32" t="n">
        <x:v>5749</x:v>
      </x:c>
      <x:c r="I50" s="32" t="n">
        <x:v>120</x:v>
      </x:c>
      <x:c r="J50" s="32" t="n">
        <x:v>14.56</x:v>
      </x:c>
      <x:c r="K50" s="32" t="n">
        <x:v>58.22</x:v>
      </x:c>
      <x:c r="L50" s="32" t="n">
        <x:v>62</x:v>
      </x:c>
      <x:c r="M50" s="36" t="n">
        <x:v>0.8787</x:v>
      </x:c>
      <x:c r="N50" s="36" t="n">
        <x:v>0.939</x:v>
      </x:c>
    </x:row>
    <x:row r="51">
      <x:c r="A51" s="34" t="n">
        <x:v>45348</x:v>
      </x:c>
      <x:c r="B51" s="28" t="str">
        <x:v>Grupo Industrial S.A.</x:v>
      </x:c>
      <x:c r="C51" s="28" t="str">
        <x:v>Planta São Paulo</x:v>
      </x:c>
      <x:c r="D51" s="28" t="str">
        <x:v>Linha 2 - Montagem</x:v>
      </x:c>
      <x:c r="E51" s="28" t="str">
        <x:v>SKU-002</x:v>
      </x:c>
      <x:c r="F51" s="28" t="str">
        <x:v>Alimentos</x:v>
      </x:c>
      <x:c r="G51" s="32" t="n">
        <x:v>5485</x:v>
      </x:c>
      <x:c r="H51" s="32" t="n">
        <x:v>5120</x:v>
      </x:c>
      <x:c r="I51" s="32" t="n">
        <x:v>120</x:v>
      </x:c>
      <x:c r="J51" s="32" t="n">
        <x:v>15.42</x:v>
      </x:c>
      <x:c r="K51" s="32" t="n">
        <x:v>55.13</x:v>
      </x:c>
      <x:c r="L51" s="32" t="n">
        <x:v>58</x:v>
      </x:c>
      <x:c r="M51" s="36" t="n">
        <x:v>0.8715</x:v>
      </x:c>
      <x:c r="N51" s="36" t="n">
        <x:v>0.9506</x:v>
      </x:c>
    </x:row>
    <x:row r="52">
      <x:c r="A52" s="34" t="n">
        <x:v>45348</x:v>
      </x:c>
      <x:c r="B52" s="28" t="str">
        <x:v>Grupo Industrial S.A.</x:v>
      </x:c>
      <x:c r="C52" s="28" t="str">
        <x:v>Planta Campinas</x:v>
      </x:c>
      <x:c r="D52" s="28" t="str">
        <x:v>Linha 3 - Extrusão</x:v>
      </x:c>
      <x:c r="E52" s="28" t="str">
        <x:v>SKU-078</x:v>
      </x:c>
      <x:c r="F52" s="28" t="str">
        <x:v>Higiene e Limpeza</x:v>
      </x:c>
      <x:c r="G52" s="32" t="n">
        <x:v>4252</x:v>
      </x:c>
      <x:c r="H52" s="32" t="n">
        <x:v>3930</x:v>
      </x:c>
      <x:c r="I52" s="32" t="n">
        <x:v>120</x:v>
      </x:c>
      <x:c r="J52" s="32" t="n">
        <x:v>23.33</x:v>
      </x:c>
      <x:c r="K52" s="32" t="n">
        <x:v>46.7</x:v>
      </x:c>
      <x:c r="L52" s="32" t="n">
        <x:v>54</x:v>
      </x:c>
      <x:c r="M52" s="36" t="n">
        <x:v>0.8056</x:v>
      </x:c>
      <x:c r="N52" s="36" t="n">
        <x:v>0.8648</x:v>
      </x:c>
    </x:row>
    <x:row r="53">
      <x:c r="A53" s="34" t="n">
        <x:v>45348</x:v>
      </x:c>
      <x:c r="B53" s="28" t="str">
        <x:v>Grupo Industrial S.A.</x:v>
      </x:c>
      <x:c r="C53" s="28" t="str">
        <x:v>Planta Campinas</x:v>
      </x:c>
      <x:c r="D53" s="28" t="str">
        <x:v>Linha 4 - Embalagem</x:v>
      </x:c>
      <x:c r="E53" s="28" t="str">
        <x:v>SKU-105</x:v>
      </x:c>
      <x:c r="F53" s="28" t="str">
        <x:v>Embalagens</x:v>
      </x:c>
      <x:c r="G53" s="32" t="n">
        <x:v>3904</x:v>
      </x:c>
      <x:c r="H53" s="32" t="n">
        <x:v>3766</x:v>
      </x:c>
      <x:c r="I53" s="32" t="n">
        <x:v>120</x:v>
      </x:c>
      <x:c r="J53" s="32" t="n">
        <x:v>26.35</x:v>
      </x:c>
      <x:c r="K53" s="32" t="n">
        <x:v>43.82</x:v>
      </x:c>
      <x:c r="L53" s="32" t="n">
        <x:v>50</x:v>
      </x:c>
      <x:c r="M53" s="36" t="n">
        <x:v>0.7804</x:v>
      </x:c>
      <x:c r="N53" s="36" t="n">
        <x:v>0.8764</x:v>
      </x:c>
    </x:row>
    <x:row r="54">
      <x:c r="A54" s="34" t="n">
        <x:v>45348</x:v>
      </x:c>
      <x:c r="B54" s="28" t="str">
        <x:v>Grupo Industrial S.A.</x:v>
      </x:c>
      <x:c r="C54" s="28" t="str">
        <x:v>Planta Curitiba</x:v>
      </x:c>
      <x:c r="D54" s="28" t="str">
        <x:v>Linha 5 - Usinagem</x:v>
      </x:c>
      <x:c r="E54" s="28" t="str">
        <x:v>SKU-223</x:v>
      </x:c>
      <x:c r="F54" s="28" t="str">
        <x:v>Bebidas</x:v>
      </x:c>
      <x:c r="G54" s="32" t="n">
        <x:v>4310</x:v>
      </x:c>
      <x:c r="H54" s="32" t="n">
        <x:v>4067</x:v>
      </x:c>
      <x:c r="I54" s="32" t="n">
        <x:v>120</x:v>
      </x:c>
      <x:c r="J54" s="32" t="n">
        <x:v>20.31</x:v>
      </x:c>
      <x:c r="K54" s="32" t="n">
        <x:v>48.77</x:v>
      </x:c>
      <x:c r="L54" s="32" t="n">
        <x:v>56</x:v>
      </x:c>
      <x:c r="M54" s="36" t="n">
        <x:v>0.8308</x:v>
      </x:c>
      <x:c r="N54" s="36" t="n">
        <x:v>0.871</x:v>
      </x:c>
    </x:row>
    <x:row r="55">
      <x:c r="A55" s="34" t="n">
        <x:v>45348</x:v>
      </x:c>
      <x:c r="B55" s="28" t="str">
        <x:v>Grupo Industrial S.A.</x:v>
      </x:c>
      <x:c r="C55" s="28" t="str">
        <x:v>Planta Curitiba</x:v>
      </x:c>
      <x:c r="D55" s="28" t="str">
        <x:v>Linha 6 - Finalização</x:v>
      </x:c>
      <x:c r="E55" s="28" t="str">
        <x:v>SKU-432</x:v>
      </x:c>
      <x:c r="F55" s="28" t="str">
        <x:v>Alimentos</x:v>
      </x:c>
      <x:c r="G55" s="32" t="n">
        <x:v>3712</x:v>
      </x:c>
      <x:c r="H55" s="32" t="n">
        <x:v>3553</x:v>
      </x:c>
      <x:c r="I55" s="32" t="n">
        <x:v>120</x:v>
      </x:c>
      <x:c r="J55" s="32" t="n">
        <x:v>18.31</x:v>
      </x:c>
      <x:c r="K55" s="32" t="n">
        <x:v>42.55</x:v>
      </x:c>
      <x:c r="L55" s="32" t="n">
        <x:v>48</x:v>
      </x:c>
      <x:c r="M55" s="36" t="n">
        <x:v>0.8474</x:v>
      </x:c>
      <x:c r="N55" s="36" t="n">
        <x:v>0.8864</x:v>
      </x:c>
    </x:row>
    <x:row r="56">
      <x:c r="A56" s="34" t="n">
        <x:v>45355</x:v>
      </x:c>
      <x:c r="B56" s="28" t="str">
        <x:v>Grupo Industrial S.A.</x:v>
      </x:c>
      <x:c r="C56" s="28" t="str">
        <x:v>Planta São Paulo</x:v>
      </x:c>
      <x:c r="D56" s="28" t="str">
        <x:v>Linha 1 - Corte</x:v>
      </x:c>
      <x:c r="E56" s="28" t="str">
        <x:v>SKU-001</x:v>
      </x:c>
      <x:c r="F56" s="28" t="str">
        <x:v>Alimentos</x:v>
      </x:c>
      <x:c r="G56" s="32" t="n">
        <x:v>6317</x:v>
      </x:c>
      <x:c r="H56" s="32" t="n">
        <x:v>5947</x:v>
      </x:c>
      <x:c r="I56" s="32" t="n">
        <x:v>120</x:v>
      </x:c>
      <x:c r="J56" s="32" t="n">
        <x:v>13.2</x:v>
      </x:c>
      <x:c r="K56" s="32" t="n">
        <x:v>55.69</x:v>
      </x:c>
      <x:c r="L56" s="32" t="n">
        <x:v>62</x:v>
      </x:c>
      <x:c r="M56" s="36" t="n">
        <x:v>0.89</x:v>
      </x:c>
      <x:c r="N56" s="36" t="n">
        <x:v>0.8982</x:v>
      </x:c>
    </x:row>
    <x:row r="57">
      <x:c r="A57" s="34" t="n">
        <x:v>45355</x:v>
      </x:c>
      <x:c r="B57" s="28" t="str">
        <x:v>Grupo Industrial S.A.</x:v>
      </x:c>
      <x:c r="C57" s="28" t="str">
        <x:v>Planta São Paulo</x:v>
      </x:c>
      <x:c r="D57" s="28" t="str">
        <x:v>Linha 2 - Montagem</x:v>
      </x:c>
      <x:c r="E57" s="28" t="str">
        <x:v>SKU-002</x:v>
      </x:c>
      <x:c r="F57" s="28" t="str">
        <x:v>Alimentos</x:v>
      </x:c>
      <x:c r="G57" s="32" t="n">
        <x:v>5154</x:v>
      </x:c>
      <x:c r="H57" s="32" t="n">
        <x:v>4874</x:v>
      </x:c>
      <x:c r="I57" s="32" t="n">
        <x:v>120</x:v>
      </x:c>
      <x:c r="J57" s="32" t="n">
        <x:v>17.07</x:v>
      </x:c>
      <x:c r="K57" s="32" t="n">
        <x:v>54.74</x:v>
      </x:c>
      <x:c r="L57" s="32" t="n">
        <x:v>58</x:v>
      </x:c>
      <x:c r="M57" s="36" t="n">
        <x:v>0.8578</x:v>
      </x:c>
      <x:c r="N57" s="36" t="n">
        <x:v>0.9438</x:v>
      </x:c>
    </x:row>
    <x:row r="58">
      <x:c r="A58" s="34" t="n">
        <x:v>45355</x:v>
      </x:c>
      <x:c r="B58" s="28" t="str">
        <x:v>Grupo Industrial S.A.</x:v>
      </x:c>
      <x:c r="C58" s="28" t="str">
        <x:v>Planta Campinas</x:v>
      </x:c>
      <x:c r="D58" s="28" t="str">
        <x:v>Linha 3 - Extrusão</x:v>
      </x:c>
      <x:c r="E58" s="28" t="str">
        <x:v>SKU-078</x:v>
      </x:c>
      <x:c r="F58" s="28" t="str">
        <x:v>Higiene e Limpeza</x:v>
      </x:c>
      <x:c r="G58" s="32" t="n">
        <x:v>4068</x:v>
      </x:c>
      <x:c r="H58" s="32" t="n">
        <x:v>3785</x:v>
      </x:c>
      <x:c r="I58" s="32" t="n">
        <x:v>120</x:v>
      </x:c>
      <x:c r="J58" s="32" t="n">
        <x:v>23.66</x:v>
      </x:c>
      <x:c r="K58" s="32" t="n">
        <x:v>45.66</x:v>
      </x:c>
      <x:c r="L58" s="32" t="n">
        <x:v>54</x:v>
      </x:c>
      <x:c r="M58" s="36" t="n">
        <x:v>0.8028</x:v>
      </x:c>
      <x:c r="N58" s="36" t="n">
        <x:v>0.8455</x:v>
      </x:c>
    </x:row>
    <x:row r="59">
      <x:c r="A59" s="34" t="n">
        <x:v>45355</x:v>
      </x:c>
      <x:c r="B59" s="28" t="str">
        <x:v>Grupo Industrial S.A.</x:v>
      </x:c>
      <x:c r="C59" s="28" t="str">
        <x:v>Planta Campinas</x:v>
      </x:c>
      <x:c r="D59" s="28" t="str">
        <x:v>Linha 4 - Embalagem</x:v>
      </x:c>
      <x:c r="E59" s="28" t="str">
        <x:v>SKU-105</x:v>
      </x:c>
      <x:c r="F59" s="28" t="str">
        <x:v>Embalagens</x:v>
      </x:c>
      <x:c r="G59" s="32" t="n">
        <x:v>4089</x:v>
      </x:c>
      <x:c r="H59" s="32" t="n">
        <x:v>3735</x:v>
      </x:c>
      <x:c r="I59" s="32" t="n">
        <x:v>120</x:v>
      </x:c>
      <x:c r="J59" s="32" t="n">
        <x:v>22.24</x:v>
      </x:c>
      <x:c r="K59" s="32" t="n">
        <x:v>41.24</x:v>
      </x:c>
      <x:c r="L59" s="32" t="n">
        <x:v>50</x:v>
      </x:c>
      <x:c r="M59" s="36" t="n">
        <x:v>0.8147</x:v>
      </x:c>
      <x:c r="N59" s="36" t="n">
        <x:v>0.8247</x:v>
      </x:c>
    </x:row>
    <x:row r="60">
      <x:c r="A60" s="34" t="n">
        <x:v>45355</x:v>
      </x:c>
      <x:c r="B60" s="28" t="str">
        <x:v>Grupo Industrial S.A.</x:v>
      </x:c>
      <x:c r="C60" s="28" t="str">
        <x:v>Planta Curitiba</x:v>
      </x:c>
      <x:c r="D60" s="28" t="str">
        <x:v>Linha 5 - Usinagem</x:v>
      </x:c>
      <x:c r="E60" s="28" t="str">
        <x:v>SKU-223</x:v>
      </x:c>
      <x:c r="F60" s="28" t="str">
        <x:v>Bebidas</x:v>
      </x:c>
      <x:c r="G60" s="32" t="n">
        <x:v>4285</x:v>
      </x:c>
      <x:c r="H60" s="32" t="n">
        <x:v>4027</x:v>
      </x:c>
      <x:c r="I60" s="32" t="n">
        <x:v>120</x:v>
      </x:c>
      <x:c r="J60" s="32" t="n">
        <x:v>19.96</x:v>
      </x:c>
      <x:c r="K60" s="32" t="n">
        <x:v>51.37</x:v>
      </x:c>
      <x:c r="L60" s="32" t="n">
        <x:v>56</x:v>
      </x:c>
      <x:c r="M60" s="36" t="n">
        <x:v>0.8337</x:v>
      </x:c>
      <x:c r="N60" s="36" t="n">
        <x:v>0.9174</x:v>
      </x:c>
    </x:row>
    <x:row r="61">
      <x:c r="A61" s="34" t="n">
        <x:v>45355</x:v>
      </x:c>
      <x:c r="B61" s="28" t="str">
        <x:v>Grupo Industrial S.A.</x:v>
      </x:c>
      <x:c r="C61" s="28" t="str">
        <x:v>Planta Curitiba</x:v>
      </x:c>
      <x:c r="D61" s="28" t="str">
        <x:v>Linha 6 - Finalização</x:v>
      </x:c>
      <x:c r="E61" s="28" t="str">
        <x:v>SKU-432</x:v>
      </x:c>
      <x:c r="F61" s="28" t="str">
        <x:v>Alimentos</x:v>
      </x:c>
      <x:c r="G61" s="32" t="n">
        <x:v>4079</x:v>
      </x:c>
      <x:c r="H61" s="32" t="n">
        <x:v>3860</x:v>
      </x:c>
      <x:c r="I61" s="32" t="n">
        <x:v>120</x:v>
      </x:c>
      <x:c r="J61" s="32" t="n">
        <x:v>17.04</x:v>
      </x:c>
      <x:c r="K61" s="32" t="n">
        <x:v>41.96</x:v>
      </x:c>
      <x:c r="L61" s="32" t="n">
        <x:v>48</x:v>
      </x:c>
      <x:c r="M61" s="36" t="n">
        <x:v>0.858</x:v>
      </x:c>
      <x:c r="N61" s="36" t="n">
        <x:v>0.8741</x:v>
      </x:c>
    </x:row>
    <x:row r="62">
      <x:c r="A62" s="34" t="n">
        <x:v>45362</x:v>
      </x:c>
      <x:c r="B62" s="28" t="str">
        <x:v>Grupo Industrial S.A.</x:v>
      </x:c>
      <x:c r="C62" s="28" t="str">
        <x:v>Planta São Paulo</x:v>
      </x:c>
      <x:c r="D62" s="28" t="str">
        <x:v>Linha 1 - Corte</x:v>
      </x:c>
      <x:c r="E62" s="28" t="str">
        <x:v>SKU-001</x:v>
      </x:c>
      <x:c r="F62" s="28" t="str">
        <x:v>Alimentos</x:v>
      </x:c>
      <x:c r="G62" s="32" t="n">
        <x:v>6712</x:v>
      </x:c>
      <x:c r="H62" s="32" t="n">
        <x:v>5962</x:v>
      </x:c>
      <x:c r="I62" s="32" t="n">
        <x:v>120</x:v>
      </x:c>
      <x:c r="J62" s="32" t="n">
        <x:v>12.49</x:v>
      </x:c>
      <x:c r="K62" s="32" t="n">
        <x:v>55.46</x:v>
      </x:c>
      <x:c r="L62" s="32" t="n">
        <x:v>62</x:v>
      </x:c>
      <x:c r="M62" s="36" t="n">
        <x:v>0.8959</x:v>
      </x:c>
      <x:c r="N62" s="36" t="n">
        <x:v>0.8945</x:v>
      </x:c>
    </x:row>
    <x:row r="63">
      <x:c r="A63" s="34" t="n">
        <x:v>45362</x:v>
      </x:c>
      <x:c r="B63" s="28" t="str">
        <x:v>Grupo Industrial S.A.</x:v>
      </x:c>
      <x:c r="C63" s="28" t="str">
        <x:v>Planta São Paulo</x:v>
      </x:c>
      <x:c r="D63" s="28" t="str">
        <x:v>Linha 2 - Montagem</x:v>
      </x:c>
      <x:c r="E63" s="28" t="str">
        <x:v>SKU-002</x:v>
      </x:c>
      <x:c r="F63" s="28" t="str">
        <x:v>Alimentos</x:v>
      </x:c>
      <x:c r="G63" s="32" t="n">
        <x:v>5304</x:v>
      </x:c>
      <x:c r="H63" s="32" t="n">
        <x:v>4950</x:v>
      </x:c>
      <x:c r="I63" s="32" t="n">
        <x:v>120</x:v>
      </x:c>
      <x:c r="J63" s="32" t="n">
        <x:v>14.51</x:v>
      </x:c>
      <x:c r="K63" s="32" t="n">
        <x:v>55.06</x:v>
      </x:c>
      <x:c r="L63" s="32" t="n">
        <x:v>58</x:v>
      </x:c>
      <x:c r="M63" s="36" t="n">
        <x:v>0.8791</x:v>
      </x:c>
      <x:c r="N63" s="36" t="n">
        <x:v>0.9493</x:v>
      </x:c>
    </x:row>
    <x:row r="64">
      <x:c r="A64" s="34" t="n">
        <x:v>45362</x:v>
      </x:c>
      <x:c r="B64" s="28" t="str">
        <x:v>Grupo Industrial S.A.</x:v>
      </x:c>
      <x:c r="C64" s="28" t="str">
        <x:v>Planta Campinas</x:v>
      </x:c>
      <x:c r="D64" s="28" t="str">
        <x:v>Linha 3 - Extrusão</x:v>
      </x:c>
      <x:c r="E64" s="28" t="str">
        <x:v>SKU-078</x:v>
      </x:c>
      <x:c r="F64" s="28" t="str">
        <x:v>Higiene e Limpeza</x:v>
      </x:c>
      <x:c r="G64" s="32" t="n">
        <x:v>4284</x:v>
      </x:c>
      <x:c r="H64" s="32" t="n">
        <x:v>3924</x:v>
      </x:c>
      <x:c r="I64" s="32" t="n">
        <x:v>120</x:v>
      </x:c>
      <x:c r="J64" s="32" t="n">
        <x:v>25.59</x:v>
      </x:c>
      <x:c r="K64" s="32" t="n">
        <x:v>45.58</x:v>
      </x:c>
      <x:c r="L64" s="32" t="n">
        <x:v>54</x:v>
      </x:c>
      <x:c r="M64" s="36" t="n">
        <x:v>0.7867</x:v>
      </x:c>
      <x:c r="N64" s="36" t="n">
        <x:v>0.8441</x:v>
      </x:c>
    </x:row>
    <x:row r="65">
      <x:c r="A65" s="34" t="n">
        <x:v>45362</x:v>
      </x:c>
      <x:c r="B65" s="28" t="str">
        <x:v>Grupo Industrial S.A.</x:v>
      </x:c>
      <x:c r="C65" s="28" t="str">
        <x:v>Planta Campinas</x:v>
      </x:c>
      <x:c r="D65" s="28" t="str">
        <x:v>Linha 4 - Embalagem</x:v>
      </x:c>
      <x:c r="E65" s="28" t="str">
        <x:v>SKU-105</x:v>
      </x:c>
      <x:c r="F65" s="28" t="str">
        <x:v>Embalagens</x:v>
      </x:c>
      <x:c r="G65" s="32" t="n">
        <x:v>3926</x:v>
      </x:c>
      <x:c r="H65" s="32" t="n">
        <x:v>3762</x:v>
      </x:c>
      <x:c r="I65" s="32" t="n">
        <x:v>120</x:v>
      </x:c>
      <x:c r="J65" s="32" t="n">
        <x:v>24.04</x:v>
      </x:c>
      <x:c r="K65" s="32" t="n">
        <x:v>42.41</x:v>
      </x:c>
      <x:c r="L65" s="32" t="n">
        <x:v>50</x:v>
      </x:c>
      <x:c r="M65" s="36" t="n">
        <x:v>0.7997</x:v>
      </x:c>
      <x:c r="N65" s="36" t="n">
        <x:v>0.8481</x:v>
      </x:c>
    </x:row>
    <x:row r="66">
      <x:c r="A66" s="34" t="n">
        <x:v>45362</x:v>
      </x:c>
      <x:c r="B66" s="28" t="str">
        <x:v>Grupo Industrial S.A.</x:v>
      </x:c>
      <x:c r="C66" s="28" t="str">
        <x:v>Planta Curitiba</x:v>
      </x:c>
      <x:c r="D66" s="28" t="str">
        <x:v>Linha 5 - Usinagem</x:v>
      </x:c>
      <x:c r="E66" s="28" t="str">
        <x:v>SKU-223</x:v>
      </x:c>
      <x:c r="F66" s="28" t="str">
        <x:v>Bebidas</x:v>
      </x:c>
      <x:c r="G66" s="32" t="n">
        <x:v>4777</x:v>
      </x:c>
      <x:c r="H66" s="32" t="n">
        <x:v>4427</x:v>
      </x:c>
      <x:c r="I66" s="32" t="n">
        <x:v>120</x:v>
      </x:c>
      <x:c r="J66" s="32" t="n">
        <x:v>21.06</x:v>
      </x:c>
      <x:c r="K66" s="32" t="n">
        <x:v>51.73</x:v>
      </x:c>
      <x:c r="L66" s="32" t="n">
        <x:v>56</x:v>
      </x:c>
      <x:c r="M66" s="36" t="n">
        <x:v>0.8245</x:v>
      </x:c>
      <x:c r="N66" s="36" t="n">
        <x:v>0.9237</x:v>
      </x:c>
    </x:row>
    <x:row r="67">
      <x:c r="A67" s="34" t="n">
        <x:v>45362</x:v>
      </x:c>
      <x:c r="B67" s="28" t="str">
        <x:v>Grupo Industrial S.A.</x:v>
      </x:c>
      <x:c r="C67" s="28" t="str">
        <x:v>Planta Curitiba</x:v>
      </x:c>
      <x:c r="D67" s="28" t="str">
        <x:v>Linha 6 - Finalização</x:v>
      </x:c>
      <x:c r="E67" s="28" t="str">
        <x:v>SKU-432</x:v>
      </x:c>
      <x:c r="F67" s="28" t="str">
        <x:v>Alimentos</x:v>
      </x:c>
      <x:c r="G67" s="32" t="n">
        <x:v>4104</x:v>
      </x:c>
      <x:c r="H67" s="32" t="n">
        <x:v>3718</x:v>
      </x:c>
      <x:c r="I67" s="32" t="n">
        <x:v>120</x:v>
      </x:c>
      <x:c r="J67" s="32" t="n">
        <x:v>17.42</x:v>
      </x:c>
      <x:c r="K67" s="32" t="n">
        <x:v>41.48</x:v>
      </x:c>
      <x:c r="L67" s="32" t="n">
        <x:v>48</x:v>
      </x:c>
      <x:c r="M67" s="36" t="n">
        <x:v>0.8549</x:v>
      </x:c>
      <x:c r="N67" s="36" t="n">
        <x:v>0.8642</x:v>
      </x:c>
    </x:row>
    <x:row r="68">
      <x:c r="A68" s="34" t="n">
        <x:v>45369</x:v>
      </x:c>
      <x:c r="B68" s="28" t="str">
        <x:v>Grupo Industrial S.A.</x:v>
      </x:c>
      <x:c r="C68" s="28" t="str">
        <x:v>Planta São Paulo</x:v>
      </x:c>
      <x:c r="D68" s="28" t="str">
        <x:v>Linha 1 - Corte</x:v>
      </x:c>
      <x:c r="E68" s="28" t="str">
        <x:v>SKU-001</x:v>
      </x:c>
      <x:c r="F68" s="28" t="str">
        <x:v>Alimentos</x:v>
      </x:c>
      <x:c r="G68" s="32" t="n">
        <x:v>6125</x:v>
      </x:c>
      <x:c r="H68" s="32" t="n">
        <x:v>5871</x:v>
      </x:c>
      <x:c r="I68" s="32" t="n">
        <x:v>120</x:v>
      </x:c>
      <x:c r="J68" s="32" t="n">
        <x:v>13.64</x:v>
      </x:c>
      <x:c r="K68" s="32" t="n">
        <x:v>57.15</x:v>
      </x:c>
      <x:c r="L68" s="32" t="n">
        <x:v>62</x:v>
      </x:c>
      <x:c r="M68" s="36" t="n">
        <x:v>0.8864</x:v>
      </x:c>
      <x:c r="N68" s="36" t="n">
        <x:v>0.9217</x:v>
      </x:c>
    </x:row>
    <x:row r="69">
      <x:c r="A69" s="34" t="n">
        <x:v>45369</x:v>
      </x:c>
      <x:c r="B69" s="28" t="str">
        <x:v>Grupo Industrial S.A.</x:v>
      </x:c>
      <x:c r="C69" s="28" t="str">
        <x:v>Planta São Paulo</x:v>
      </x:c>
      <x:c r="D69" s="28" t="str">
        <x:v>Linha 2 - Montagem</x:v>
      </x:c>
      <x:c r="E69" s="28" t="str">
        <x:v>SKU-002</x:v>
      </x:c>
      <x:c r="F69" s="28" t="str">
        <x:v>Alimentos</x:v>
      </x:c>
      <x:c r="G69" s="32" t="n">
        <x:v>5417</x:v>
      </x:c>
      <x:c r="H69" s="32" t="n">
        <x:v>4954</x:v>
      </x:c>
      <x:c r="I69" s="32" t="n">
        <x:v>120</x:v>
      </x:c>
      <x:c r="J69" s="32" t="n">
        <x:v>17.61</x:v>
      </x:c>
      <x:c r="K69" s="32" t="n">
        <x:v>53.58</x:v>
      </x:c>
      <x:c r="L69" s="32" t="n">
        <x:v>58</x:v>
      </x:c>
      <x:c r="M69" s="36" t="n">
        <x:v>0.8533</x:v>
      </x:c>
      <x:c r="N69" s="36" t="n">
        <x:v>0.9237</x:v>
      </x:c>
    </x:row>
    <x:row r="70">
      <x:c r="A70" s="34" t="n">
        <x:v>45369</x:v>
      </x:c>
      <x:c r="B70" s="28" t="str">
        <x:v>Grupo Industrial S.A.</x:v>
      </x:c>
      <x:c r="C70" s="28" t="str">
        <x:v>Planta Campinas</x:v>
      </x:c>
      <x:c r="D70" s="28" t="str">
        <x:v>Linha 3 - Extrusão</x:v>
      </x:c>
      <x:c r="E70" s="28" t="str">
        <x:v>SKU-078</x:v>
      </x:c>
      <x:c r="F70" s="28" t="str">
        <x:v>Higiene e Limpeza</x:v>
      </x:c>
      <x:c r="G70" s="32" t="n">
        <x:v>4429</x:v>
      </x:c>
      <x:c r="H70" s="32" t="n">
        <x:v>4185</x:v>
      </x:c>
      <x:c r="I70" s="32" t="n">
        <x:v>120</x:v>
      </x:c>
      <x:c r="J70" s="32" t="n">
        <x:v>25.84</x:v>
      </x:c>
      <x:c r="K70" s="32" t="n">
        <x:v>44.45</x:v>
      </x:c>
      <x:c r="L70" s="32" t="n">
        <x:v>54</x:v>
      </x:c>
      <x:c r="M70" s="36" t="n">
        <x:v>0.7847</x:v>
      </x:c>
      <x:c r="N70" s="36" t="n">
        <x:v>0.8232</x:v>
      </x:c>
    </x:row>
    <x:row r="71">
      <x:c r="A71" s="34" t="n">
        <x:v>45369</x:v>
      </x:c>
      <x:c r="B71" s="28" t="str">
        <x:v>Grupo Industrial S.A.</x:v>
      </x:c>
      <x:c r="C71" s="28" t="str">
        <x:v>Planta Campinas</x:v>
      </x:c>
      <x:c r="D71" s="28" t="str">
        <x:v>Linha 4 - Embalagem</x:v>
      </x:c>
      <x:c r="E71" s="28" t="str">
        <x:v>SKU-105</x:v>
      </x:c>
      <x:c r="F71" s="28" t="str">
        <x:v>Embalagens</x:v>
      </x:c>
      <x:c r="G71" s="32" t="n">
        <x:v>3736</x:v>
      </x:c>
      <x:c r="H71" s="32" t="n">
        <x:v>3410</x:v>
      </x:c>
      <x:c r="I71" s="32" t="n">
        <x:v>120</x:v>
      </x:c>
      <x:c r="J71" s="32" t="n">
        <x:v>24.17</x:v>
      </x:c>
      <x:c r="K71" s="32" t="n">
        <x:v>42.84</x:v>
      </x:c>
      <x:c r="L71" s="32" t="n">
        <x:v>50</x:v>
      </x:c>
      <x:c r="M71" s="36" t="n">
        <x:v>0.7986</x:v>
      </x:c>
      <x:c r="N71" s="36" t="n">
        <x:v>0.8568</x:v>
      </x:c>
    </x:row>
    <x:row r="72">
      <x:c r="A72" s="34" t="n">
        <x:v>45369</x:v>
      </x:c>
      <x:c r="B72" s="28" t="str">
        <x:v>Grupo Industrial S.A.</x:v>
      </x:c>
      <x:c r="C72" s="28" t="str">
        <x:v>Planta Curitiba</x:v>
      </x:c>
      <x:c r="D72" s="28" t="str">
        <x:v>Linha 5 - Usinagem</x:v>
      </x:c>
      <x:c r="E72" s="28" t="str">
        <x:v>SKU-223</x:v>
      </x:c>
      <x:c r="F72" s="28" t="str">
        <x:v>Bebidas</x:v>
      </x:c>
      <x:c r="G72" s="32" t="n">
        <x:v>4412</x:v>
      </x:c>
      <x:c r="H72" s="32" t="n">
        <x:v>4166</x:v>
      </x:c>
      <x:c r="I72" s="32" t="n">
        <x:v>120</x:v>
      </x:c>
      <x:c r="J72" s="32" t="n">
        <x:v>21.24</x:v>
      </x:c>
      <x:c r="K72" s="32" t="n">
        <x:v>49.33</x:v>
      </x:c>
      <x:c r="L72" s="32" t="n">
        <x:v>56</x:v>
      </x:c>
      <x:c r="M72" s="36" t="n">
        <x:v>0.823</x:v>
      </x:c>
      <x:c r="N72" s="36" t="n">
        <x:v>0.8809</x:v>
      </x:c>
    </x:row>
    <x:row r="73">
      <x:c r="A73" s="34" t="n">
        <x:v>45369</x:v>
      </x:c>
      <x:c r="B73" s="28" t="str">
        <x:v>Grupo Industrial S.A.</x:v>
      </x:c>
      <x:c r="C73" s="28" t="str">
        <x:v>Planta Curitiba</x:v>
      </x:c>
      <x:c r="D73" s="28" t="str">
        <x:v>Linha 6 - Finalização</x:v>
      </x:c>
      <x:c r="E73" s="28" t="str">
        <x:v>SKU-432</x:v>
      </x:c>
      <x:c r="F73" s="28" t="str">
        <x:v>Alimentos</x:v>
      </x:c>
      <x:c r="G73" s="32" t="n">
        <x:v>4089</x:v>
      </x:c>
      <x:c r="H73" s="32" t="n">
        <x:v>3920</x:v>
      </x:c>
      <x:c r="I73" s="32" t="n">
        <x:v>120</x:v>
      </x:c>
      <x:c r="J73" s="32" t="n">
        <x:v>18.4</x:v>
      </x:c>
      <x:c r="K73" s="32" t="n">
        <x:v>41.51</x:v>
      </x:c>
      <x:c r="L73" s="32" t="n">
        <x:v>48</x:v>
      </x:c>
      <x:c r="M73" s="36" t="n">
        <x:v>0.8466</x:v>
      </x:c>
      <x:c r="N73" s="36" t="n">
        <x:v>0.8647</x:v>
      </x:c>
    </x:row>
    <x:row r="74">
      <x:c r="A74" s="34" t="n">
        <x:v>45376</x:v>
      </x:c>
      <x:c r="B74" s="28" t="str">
        <x:v>Grupo Industrial S.A.</x:v>
      </x:c>
      <x:c r="C74" s="28" t="str">
        <x:v>Planta São Paulo</x:v>
      </x:c>
      <x:c r="D74" s="28" t="str">
        <x:v>Linha 1 - Corte</x:v>
      </x:c>
      <x:c r="E74" s="28" t="str">
        <x:v>SKU-001</x:v>
      </x:c>
      <x:c r="F74" s="28" t="str">
        <x:v>Alimentos</x:v>
      </x:c>
      <x:c r="G74" s="32" t="n">
        <x:v>6361</x:v>
      </x:c>
      <x:c r="H74" s="32" t="n">
        <x:v>5993</x:v>
      </x:c>
      <x:c r="I74" s="32" t="n">
        <x:v>120</x:v>
      </x:c>
      <x:c r="J74" s="32" t="n">
        <x:v>15.99</x:v>
      </x:c>
      <x:c r="K74" s="32" t="n">
        <x:v>58.19</x:v>
      </x:c>
      <x:c r="L74" s="32" t="n">
        <x:v>62</x:v>
      </x:c>
      <x:c r="M74" s="36" t="n">
        <x:v>0.8667</x:v>
      </x:c>
      <x:c r="N74" s="36" t="n">
        <x:v>0.9385</x:v>
      </x:c>
    </x:row>
    <x:row r="75">
      <x:c r="A75" s="34" t="n">
        <x:v>45376</x:v>
      </x:c>
      <x:c r="B75" s="28" t="str">
        <x:v>Grupo Industrial S.A.</x:v>
      </x:c>
      <x:c r="C75" s="28" t="str">
        <x:v>Planta São Paulo</x:v>
      </x:c>
      <x:c r="D75" s="28" t="str">
        <x:v>Linha 2 - Montagem</x:v>
      </x:c>
      <x:c r="E75" s="28" t="str">
        <x:v>SKU-002</x:v>
      </x:c>
      <x:c r="F75" s="28" t="str">
        <x:v>Alimentos</x:v>
      </x:c>
      <x:c r="G75" s="32" t="n">
        <x:v>5674</x:v>
      </x:c>
      <x:c r="H75" s="32" t="n">
        <x:v>5407</x:v>
      </x:c>
      <x:c r="I75" s="32" t="n">
        <x:v>120</x:v>
      </x:c>
      <x:c r="J75" s="32" t="n">
        <x:v>13.88</x:v>
      </x:c>
      <x:c r="K75" s="32" t="n">
        <x:v>51.61</x:v>
      </x:c>
      <x:c r="L75" s="32" t="n">
        <x:v>58</x:v>
      </x:c>
      <x:c r="M75" s="36" t="n">
        <x:v>0.8843</x:v>
      </x:c>
      <x:c r="N75" s="36" t="n">
        <x:v>0.8899</x:v>
      </x:c>
    </x:row>
    <x:row r="76">
      <x:c r="A76" s="34" t="n">
        <x:v>45376</x:v>
      </x:c>
      <x:c r="B76" s="28" t="str">
        <x:v>Grupo Industrial S.A.</x:v>
      </x:c>
      <x:c r="C76" s="28" t="str">
        <x:v>Planta Campinas</x:v>
      </x:c>
      <x:c r="D76" s="28" t="str">
        <x:v>Linha 3 - Extrusão</x:v>
      </x:c>
      <x:c r="E76" s="28" t="str">
        <x:v>SKU-078</x:v>
      </x:c>
      <x:c r="F76" s="28" t="str">
        <x:v>Higiene e Limpeza</x:v>
      </x:c>
      <x:c r="G76" s="32" t="n">
        <x:v>4474</x:v>
      </x:c>
      <x:c r="H76" s="32" t="n">
        <x:v>4128</x:v>
      </x:c>
      <x:c r="I76" s="32" t="n">
        <x:v>120</x:v>
      </x:c>
      <x:c r="J76" s="32" t="n">
        <x:v>23.8</x:v>
      </x:c>
      <x:c r="K76" s="32" t="n">
        <x:v>47.39</x:v>
      </x:c>
      <x:c r="L76" s="32" t="n">
        <x:v>54</x:v>
      </x:c>
      <x:c r="M76" s="36" t="n">
        <x:v>0.8017</x:v>
      </x:c>
      <x:c r="N76" s="36" t="n">
        <x:v>0.8776</x:v>
      </x:c>
    </x:row>
    <x:row r="77">
      <x:c r="A77" s="34" t="n">
        <x:v>45376</x:v>
      </x:c>
      <x:c r="B77" s="28" t="str">
        <x:v>Grupo Industrial S.A.</x:v>
      </x:c>
      <x:c r="C77" s="28" t="str">
        <x:v>Planta Campinas</x:v>
      </x:c>
      <x:c r="D77" s="28" t="str">
        <x:v>Linha 4 - Embalagem</x:v>
      </x:c>
      <x:c r="E77" s="28" t="str">
        <x:v>SKU-105</x:v>
      </x:c>
      <x:c r="F77" s="28" t="str">
        <x:v>Embalagens</x:v>
      </x:c>
      <x:c r="G77" s="32" t="n">
        <x:v>3870</x:v>
      </x:c>
      <x:c r="H77" s="32" t="n">
        <x:v>3717</x:v>
      </x:c>
      <x:c r="I77" s="32" t="n">
        <x:v>120</x:v>
      </x:c>
      <x:c r="J77" s="32" t="n">
        <x:v>25.27</x:v>
      </x:c>
      <x:c r="K77" s="32" t="n">
        <x:v>42.6</x:v>
      </x:c>
      <x:c r="L77" s="32" t="n">
        <x:v>50</x:v>
      </x:c>
      <x:c r="M77" s="36" t="n">
        <x:v>0.7894</x:v>
      </x:c>
      <x:c r="N77" s="36" t="n">
        <x:v>0.8519</x:v>
      </x:c>
    </x:row>
    <x:row r="78">
      <x:c r="A78" s="34" t="n">
        <x:v>45376</x:v>
      </x:c>
      <x:c r="B78" s="28" t="str">
        <x:v>Grupo Industrial S.A.</x:v>
      </x:c>
      <x:c r="C78" s="28" t="str">
        <x:v>Planta Curitiba</x:v>
      </x:c>
      <x:c r="D78" s="28" t="str">
        <x:v>Linha 5 - Usinagem</x:v>
      </x:c>
      <x:c r="E78" s="28" t="str">
        <x:v>SKU-223</x:v>
      </x:c>
      <x:c r="F78" s="28" t="str">
        <x:v>Bebidas</x:v>
      </x:c>
      <x:c r="G78" s="32" t="n">
        <x:v>4534</x:v>
      </x:c>
      <x:c r="H78" s="32" t="n">
        <x:v>4277</x:v>
      </x:c>
      <x:c r="I78" s="32" t="n">
        <x:v>120</x:v>
      </x:c>
      <x:c r="J78" s="32" t="n">
        <x:v>21.08</x:v>
      </x:c>
      <x:c r="K78" s="32" t="n">
        <x:v>51.48</x:v>
      </x:c>
      <x:c r="L78" s="32" t="n">
        <x:v>56</x:v>
      </x:c>
      <x:c r="M78" s="36" t="n">
        <x:v>0.8243</x:v>
      </x:c>
      <x:c r="N78" s="36" t="n">
        <x:v>0.9193</x:v>
      </x:c>
    </x:row>
    <x:row r="79">
      <x:c r="A79" s="34" t="n">
        <x:v>45376</x:v>
      </x:c>
      <x:c r="B79" s="28" t="str">
        <x:v>Grupo Industrial S.A.</x:v>
      </x:c>
      <x:c r="C79" s="28" t="str">
        <x:v>Planta Curitiba</x:v>
      </x:c>
      <x:c r="D79" s="28" t="str">
        <x:v>Linha 6 - Finalização</x:v>
      </x:c>
      <x:c r="E79" s="28" t="str">
        <x:v>SKU-432</x:v>
      </x:c>
      <x:c r="F79" s="28" t="str">
        <x:v>Alimentos</x:v>
      </x:c>
      <x:c r="G79" s="32" t="n">
        <x:v>3978</x:v>
      </x:c>
      <x:c r="H79" s="32" t="n">
        <x:v>3683</x:v>
      </x:c>
      <x:c r="I79" s="32" t="n">
        <x:v>120</x:v>
      </x:c>
      <x:c r="J79" s="32" t="n">
        <x:v>21.39</x:v>
      </x:c>
      <x:c r="K79" s="32" t="n">
        <x:v>42.9</x:v>
      </x:c>
      <x:c r="L79" s="32" t="n">
        <x:v>48</x:v>
      </x:c>
      <x:c r="M79" s="36" t="n">
        <x:v>0.8217</x:v>
      </x:c>
      <x:c r="N79" s="36" t="n">
        <x:v>0.8937</x:v>
      </x:c>
    </x:row>
    <x:row r="80">
      <x:c r="A80" s="34" t="n">
        <x:v>45383</x:v>
      </x:c>
      <x:c r="B80" s="28" t="str">
        <x:v>Grupo Industrial S.A.</x:v>
      </x:c>
      <x:c r="C80" s="28" t="str">
        <x:v>Planta São Paulo</x:v>
      </x:c>
      <x:c r="D80" s="28" t="str">
        <x:v>Linha 1 - Corte</x:v>
      </x:c>
      <x:c r="E80" s="28" t="str">
        <x:v>SKU-001</x:v>
      </x:c>
      <x:c r="F80" s="28" t="str">
        <x:v>Alimentos</x:v>
      </x:c>
      <x:c r="G80" s="32" t="n">
        <x:v>6077</x:v>
      </x:c>
      <x:c r="H80" s="32" t="n">
        <x:v>5595</x:v>
      </x:c>
      <x:c r="I80" s="32" t="n">
        <x:v>120</x:v>
      </x:c>
      <x:c r="J80" s="32" t="n">
        <x:v>12.6</x:v>
      </x:c>
      <x:c r="K80" s="32" t="n">
        <x:v>58.92</x:v>
      </x:c>
      <x:c r="L80" s="32" t="n">
        <x:v>62</x:v>
      </x:c>
      <x:c r="M80" s="36" t="n">
        <x:v>0.895</x:v>
      </x:c>
      <x:c r="N80" s="36" t="n">
        <x:v>0.9503</x:v>
      </x:c>
    </x:row>
    <x:row r="81">
      <x:c r="A81" s="34" t="n">
        <x:v>45383</x:v>
      </x:c>
      <x:c r="B81" s="28" t="str">
        <x:v>Grupo Industrial S.A.</x:v>
      </x:c>
      <x:c r="C81" s="28" t="str">
        <x:v>Planta São Paulo</x:v>
      </x:c>
      <x:c r="D81" s="28" t="str">
        <x:v>Linha 2 - Montagem</x:v>
      </x:c>
      <x:c r="E81" s="28" t="str">
        <x:v>SKU-002</x:v>
      </x:c>
      <x:c r="F81" s="28" t="str">
        <x:v>Alimentos</x:v>
      </x:c>
      <x:c r="G81" s="32" t="n">
        <x:v>5670</x:v>
      </x:c>
      <x:c r="H81" s="32" t="n">
        <x:v>5299</x:v>
      </x:c>
      <x:c r="I81" s="32" t="n">
        <x:v>120</x:v>
      </x:c>
      <x:c r="J81" s="32" t="n">
        <x:v>14</x:v>
      </x:c>
      <x:c r="K81" s="32" t="n">
        <x:v>53.44</x:v>
      </x:c>
      <x:c r="L81" s="32" t="n">
        <x:v>58</x:v>
      </x:c>
      <x:c r="M81" s="36" t="n">
        <x:v>0.8834</x:v>
      </x:c>
      <x:c r="N81" s="36" t="n">
        <x:v>0.9214</x:v>
      </x:c>
    </x:row>
    <x:row r="82">
      <x:c r="A82" s="34" t="n">
        <x:v>45383</x:v>
      </x:c>
      <x:c r="B82" s="28" t="str">
        <x:v>Grupo Industrial S.A.</x:v>
      </x:c>
      <x:c r="C82" s="28" t="str">
        <x:v>Planta Campinas</x:v>
      </x:c>
      <x:c r="D82" s="28" t="str">
        <x:v>Linha 3 - Extrusão</x:v>
      </x:c>
      <x:c r="E82" s="28" t="str">
        <x:v>SKU-078</x:v>
      </x:c>
      <x:c r="F82" s="28" t="str">
        <x:v>Higiene e Limpeza</x:v>
      </x:c>
      <x:c r="G82" s="32" t="n">
        <x:v>4143</x:v>
      </x:c>
      <x:c r="H82" s="32" t="n">
        <x:v>3857</x:v>
      </x:c>
      <x:c r="I82" s="32" t="n">
        <x:v>120</x:v>
      </x:c>
      <x:c r="J82" s="32" t="n">
        <x:v>24.32</x:v>
      </x:c>
      <x:c r="K82" s="32" t="n">
        <x:v>46.65</x:v>
      </x:c>
      <x:c r="L82" s="32" t="n">
        <x:v>54</x:v>
      </x:c>
      <x:c r="M82" s="36" t="n">
        <x:v>0.7974</x:v>
      </x:c>
      <x:c r="N82" s="36" t="n">
        <x:v>0.8638</x:v>
      </x:c>
    </x:row>
    <x:row r="83">
      <x:c r="A83" s="34" t="n">
        <x:v>45383</x:v>
      </x:c>
      <x:c r="B83" s="28" t="str">
        <x:v>Grupo Industrial S.A.</x:v>
      </x:c>
      <x:c r="C83" s="28" t="str">
        <x:v>Planta Campinas</x:v>
      </x:c>
      <x:c r="D83" s="28" t="str">
        <x:v>Linha 4 - Embalagem</x:v>
      </x:c>
      <x:c r="E83" s="28" t="str">
        <x:v>SKU-105</x:v>
      </x:c>
      <x:c r="F83" s="28" t="str">
        <x:v>Embalagens</x:v>
      </x:c>
      <x:c r="G83" s="32" t="n">
        <x:v>3677</x:v>
      </x:c>
      <x:c r="H83" s="32" t="n">
        <x:v>3520</x:v>
      </x:c>
      <x:c r="I83" s="32" t="n">
        <x:v>120</x:v>
      </x:c>
      <x:c r="J83" s="32" t="n">
        <x:v>23</x:v>
      </x:c>
      <x:c r="K83" s="32" t="n">
        <x:v>44.45</x:v>
      </x:c>
      <x:c r="L83" s="32" t="n">
        <x:v>50</x:v>
      </x:c>
      <x:c r="M83" s="36" t="n">
        <x:v>0.8084</x:v>
      </x:c>
      <x:c r="N83" s="36" t="n">
        <x:v>0.889</x:v>
      </x:c>
    </x:row>
    <x:row r="84">
      <x:c r="A84" s="34" t="n">
        <x:v>45383</x:v>
      </x:c>
      <x:c r="B84" s="28" t="str">
        <x:v>Grupo Industrial S.A.</x:v>
      </x:c>
      <x:c r="C84" s="28" t="str">
        <x:v>Planta Curitiba</x:v>
      </x:c>
      <x:c r="D84" s="28" t="str">
        <x:v>Linha 5 - Usinagem</x:v>
      </x:c>
      <x:c r="E84" s="28" t="str">
        <x:v>SKU-223</x:v>
      </x:c>
      <x:c r="F84" s="28" t="str">
        <x:v>Bebidas</x:v>
      </x:c>
      <x:c r="G84" s="32" t="n">
        <x:v>4305</x:v>
      </x:c>
      <x:c r="H84" s="32" t="n">
        <x:v>3985</x:v>
      </x:c>
      <x:c r="I84" s="32" t="n">
        <x:v>120</x:v>
      </x:c>
      <x:c r="J84" s="32" t="n">
        <x:v>18.13</x:v>
      </x:c>
      <x:c r="K84" s="32" t="n">
        <x:v>48.25</x:v>
      </x:c>
      <x:c r="L84" s="32" t="n">
        <x:v>56</x:v>
      </x:c>
      <x:c r="M84" s="36" t="n">
        <x:v>0.8489</x:v>
      </x:c>
      <x:c r="N84" s="36" t="n">
        <x:v>0.8616</x:v>
      </x:c>
    </x:row>
    <x:row r="85">
      <x:c r="A85" s="34" t="n">
        <x:v>45383</x:v>
      </x:c>
      <x:c r="B85" s="28" t="str">
        <x:v>Grupo Industrial S.A.</x:v>
      </x:c>
      <x:c r="C85" s="28" t="str">
        <x:v>Planta Curitiba</x:v>
      </x:c>
      <x:c r="D85" s="28" t="str">
        <x:v>Linha 6 - Finalização</x:v>
      </x:c>
      <x:c r="E85" s="28" t="str">
        <x:v>SKU-432</x:v>
      </x:c>
      <x:c r="F85" s="28" t="str">
        <x:v>Alimentos</x:v>
      </x:c>
      <x:c r="G85" s="32" t="n">
        <x:v>4073</x:v>
      </x:c>
      <x:c r="H85" s="32" t="n">
        <x:v>3887</x:v>
      </x:c>
      <x:c r="I85" s="32" t="n">
        <x:v>120</x:v>
      </x:c>
      <x:c r="J85" s="32" t="n">
        <x:v>20.24</x:v>
      </x:c>
      <x:c r="K85" s="32" t="n">
        <x:v>42.62</x:v>
      </x:c>
      <x:c r="L85" s="32" t="n">
        <x:v>48</x:v>
      </x:c>
      <x:c r="M85" s="36" t="n">
        <x:v>0.8313</x:v>
      </x:c>
      <x:c r="N85" s="36" t="n">
        <x:v>0.8879</x:v>
      </x:c>
    </x:row>
    <x:row r="86">
      <x:c r="A86" s="34" t="n">
        <x:v>45390</x:v>
      </x:c>
      <x:c r="B86" s="28" t="str">
        <x:v>Grupo Industrial S.A.</x:v>
      </x:c>
      <x:c r="C86" s="28" t="str">
        <x:v>Planta São Paulo</x:v>
      </x:c>
      <x:c r="D86" s="28" t="str">
        <x:v>Linha 1 - Corte</x:v>
      </x:c>
      <x:c r="E86" s="28" t="str">
        <x:v>SKU-001</x:v>
      </x:c>
      <x:c r="F86" s="28" t="str">
        <x:v>Alimentos</x:v>
      </x:c>
      <x:c r="G86" s="32" t="n">
        <x:v>6342</x:v>
      </x:c>
      <x:c r="H86" s="32" t="n">
        <x:v>5818</x:v>
      </x:c>
      <x:c r="I86" s="32" t="n">
        <x:v>120</x:v>
      </x:c>
      <x:c r="J86" s="32" t="n">
        <x:v>14.47</x:v>
      </x:c>
      <x:c r="K86" s="32" t="n">
        <x:v>57.63</x:v>
      </x:c>
      <x:c r="L86" s="32" t="n">
        <x:v>62</x:v>
      </x:c>
      <x:c r="M86" s="36" t="n">
        <x:v>0.8794</x:v>
      </x:c>
      <x:c r="N86" s="36" t="n">
        <x:v>0.9295</x:v>
      </x:c>
    </x:row>
    <x:row r="87">
      <x:c r="A87" s="34" t="n">
        <x:v>45390</x:v>
      </x:c>
      <x:c r="B87" s="28" t="str">
        <x:v>Grupo Industrial S.A.</x:v>
      </x:c>
      <x:c r="C87" s="28" t="str">
        <x:v>Planta São Paulo</x:v>
      </x:c>
      <x:c r="D87" s="28" t="str">
        <x:v>Linha 2 - Montagem</x:v>
      </x:c>
      <x:c r="E87" s="28" t="str">
        <x:v>SKU-002</x:v>
      </x:c>
      <x:c r="F87" s="28" t="str">
        <x:v>Alimentos</x:v>
      </x:c>
      <x:c r="G87" s="32" t="n">
        <x:v>5074</x:v>
      </x:c>
      <x:c r="H87" s="32" t="n">
        <x:v>4789</x:v>
      </x:c>
      <x:c r="I87" s="32" t="n">
        <x:v>120</x:v>
      </x:c>
      <x:c r="J87" s="32" t="n">
        <x:v>15.71</x:v>
      </x:c>
      <x:c r="K87" s="32" t="n">
        <x:v>54.62</x:v>
      </x:c>
      <x:c r="L87" s="32" t="n">
        <x:v>58</x:v>
      </x:c>
      <x:c r="M87" s="36" t="n">
        <x:v>0.8691</x:v>
      </x:c>
      <x:c r="N87" s="36" t="n">
        <x:v>0.9417</x:v>
      </x:c>
    </x:row>
    <x:row r="88">
      <x:c r="A88" s="34" t="n">
        <x:v>45390</x:v>
      </x:c>
      <x:c r="B88" s="28" t="str">
        <x:v>Grupo Industrial S.A.</x:v>
      </x:c>
      <x:c r="C88" s="28" t="str">
        <x:v>Planta Campinas</x:v>
      </x:c>
      <x:c r="D88" s="28" t="str">
        <x:v>Linha 3 - Extrusão</x:v>
      </x:c>
      <x:c r="E88" s="28" t="str">
        <x:v>SKU-078</x:v>
      </x:c>
      <x:c r="F88" s="28" t="str">
        <x:v>Higiene e Limpeza</x:v>
      </x:c>
      <x:c r="G88" s="32" t="n">
        <x:v>4187</x:v>
      </x:c>
      <x:c r="H88" s="32" t="n">
        <x:v>4031</x:v>
      </x:c>
      <x:c r="I88" s="32" t="n">
        <x:v>120</x:v>
      </x:c>
      <x:c r="J88" s="32" t="n">
        <x:v>20.65</x:v>
      </x:c>
      <x:c r="K88" s="32" t="n">
        <x:v>45.06</x:v>
      </x:c>
      <x:c r="L88" s="32" t="n">
        <x:v>54</x:v>
      </x:c>
      <x:c r="M88" s="36" t="n">
        <x:v>0.8279</x:v>
      </x:c>
      <x:c r="N88" s="36" t="n">
        <x:v>0.8344</x:v>
      </x:c>
    </x:row>
    <x:row r="89">
      <x:c r="A89" s="34" t="n">
        <x:v>45390</x:v>
      </x:c>
      <x:c r="B89" s="28" t="str">
        <x:v>Grupo Industrial S.A.</x:v>
      </x:c>
      <x:c r="C89" s="28" t="str">
        <x:v>Planta Campinas</x:v>
      </x:c>
      <x:c r="D89" s="28" t="str">
        <x:v>Linha 4 - Embalagem</x:v>
      </x:c>
      <x:c r="E89" s="28" t="str">
        <x:v>SKU-105</x:v>
      </x:c>
      <x:c r="F89" s="28" t="str">
        <x:v>Embalagens</x:v>
      </x:c>
      <x:c r="G89" s="32" t="n">
        <x:v>3901</x:v>
      </x:c>
      <x:c r="H89" s="32" t="n">
        <x:v>3762</x:v>
      </x:c>
      <x:c r="I89" s="32" t="n">
        <x:v>120</x:v>
      </x:c>
      <x:c r="J89" s="32" t="n">
        <x:v>22.43</x:v>
      </x:c>
      <x:c r="K89" s="32" t="n">
        <x:v>44.38</x:v>
      </x:c>
      <x:c r="L89" s="32" t="n">
        <x:v>50</x:v>
      </x:c>
      <x:c r="M89" s="36" t="n">
        <x:v>0.8131</x:v>
      </x:c>
      <x:c r="N89" s="36" t="n">
        <x:v>0.8877</x:v>
      </x:c>
    </x:row>
    <x:row r="90">
      <x:c r="A90" s="34" t="n">
        <x:v>45390</x:v>
      </x:c>
      <x:c r="B90" s="28" t="str">
        <x:v>Grupo Industrial S.A.</x:v>
      </x:c>
      <x:c r="C90" s="28" t="str">
        <x:v>Planta Curitiba</x:v>
      </x:c>
      <x:c r="D90" s="28" t="str">
        <x:v>Linha 5 - Usinagem</x:v>
      </x:c>
      <x:c r="E90" s="28" t="str">
        <x:v>SKU-223</x:v>
      </x:c>
      <x:c r="F90" s="28" t="str">
        <x:v>Bebidas</x:v>
      </x:c>
      <x:c r="G90" s="32" t="n">
        <x:v>4541</x:v>
      </x:c>
      <x:c r="H90" s="32" t="n">
        <x:v>4322</x:v>
      </x:c>
      <x:c r="I90" s="32" t="n">
        <x:v>120</x:v>
      </x:c>
      <x:c r="J90" s="32" t="n">
        <x:v>18.64</x:v>
      </x:c>
      <x:c r="K90" s="32" t="n">
        <x:v>50.31</x:v>
      </x:c>
      <x:c r="L90" s="32" t="n">
        <x:v>56</x:v>
      </x:c>
      <x:c r="M90" s="36" t="n">
        <x:v>0.8447</x:v>
      </x:c>
      <x:c r="N90" s="36" t="n">
        <x:v>0.8983</x:v>
      </x:c>
    </x:row>
    <x:row r="91">
      <x:c r="A91" s="34" t="n">
        <x:v>45390</x:v>
      </x:c>
      <x:c r="B91" s="28" t="str">
        <x:v>Grupo Industrial S.A.</x:v>
      </x:c>
      <x:c r="C91" s="28" t="str">
        <x:v>Planta Curitiba</x:v>
      </x:c>
      <x:c r="D91" s="28" t="str">
        <x:v>Linha 6 - Finalização</x:v>
      </x:c>
      <x:c r="E91" s="28" t="str">
        <x:v>SKU-432</x:v>
      </x:c>
      <x:c r="F91" s="28" t="str">
        <x:v>Alimentos</x:v>
      </x:c>
      <x:c r="G91" s="32" t="n">
        <x:v>4033</x:v>
      </x:c>
      <x:c r="H91" s="32" t="n">
        <x:v>3858</x:v>
      </x:c>
      <x:c r="I91" s="32" t="n">
        <x:v>120</x:v>
      </x:c>
      <x:c r="J91" s="32" t="n">
        <x:v>15.65</x:v>
      </x:c>
      <x:c r="K91" s="32" t="n">
        <x:v>42.53</x:v>
      </x:c>
      <x:c r="L91" s="32" t="n">
        <x:v>48</x:v>
      </x:c>
      <x:c r="M91" s="36" t="n">
        <x:v>0.8696</x:v>
      </x:c>
      <x:c r="N91" s="36" t="n">
        <x:v>0.8861</x:v>
      </x:c>
    </x:row>
    <x:row r="92">
      <x:c r="A92" s="34" t="n">
        <x:v>45397</x:v>
      </x:c>
      <x:c r="B92" s="28" t="str">
        <x:v>Grupo Industrial S.A.</x:v>
      </x:c>
      <x:c r="C92" s="28" t="str">
        <x:v>Planta São Paulo</x:v>
      </x:c>
      <x:c r="D92" s="28" t="str">
        <x:v>Linha 1 - Corte</x:v>
      </x:c>
      <x:c r="E92" s="28" t="str">
        <x:v>SKU-001</x:v>
      </x:c>
      <x:c r="F92" s="28" t="str">
        <x:v>Alimentos</x:v>
      </x:c>
      <x:c r="G92" s="32" t="n">
        <x:v>6081</x:v>
      </x:c>
      <x:c r="H92" s="32" t="n">
        <x:v>5676</x:v>
      </x:c>
      <x:c r="I92" s="32" t="n">
        <x:v>120</x:v>
      </x:c>
      <x:c r="J92" s="32" t="n">
        <x:v>17.05</x:v>
      </x:c>
      <x:c r="K92" s="32" t="n">
        <x:v>56.66</x:v>
      </x:c>
      <x:c r="L92" s="32" t="n">
        <x:v>62</x:v>
      </x:c>
      <x:c r="M92" s="36" t="n">
        <x:v>0.8579</x:v>
      </x:c>
      <x:c r="N92" s="36" t="n">
        <x:v>0.9138</x:v>
      </x:c>
    </x:row>
    <x:row r="93">
      <x:c r="A93" s="34" t="n">
        <x:v>45397</x:v>
      </x:c>
      <x:c r="B93" s="28" t="str">
        <x:v>Grupo Industrial S.A.</x:v>
      </x:c>
      <x:c r="C93" s="28" t="str">
        <x:v>Planta São Paulo</x:v>
      </x:c>
      <x:c r="D93" s="28" t="str">
        <x:v>Linha 2 - Montagem</x:v>
      </x:c>
      <x:c r="E93" s="28" t="str">
        <x:v>SKU-002</x:v>
      </x:c>
      <x:c r="F93" s="28" t="str">
        <x:v>Alimentos</x:v>
      </x:c>
      <x:c r="G93" s="32" t="n">
        <x:v>5516</x:v>
      </x:c>
      <x:c r="H93" s="32" t="n">
        <x:v>5233</x:v>
      </x:c>
      <x:c r="I93" s="32" t="n">
        <x:v>120</x:v>
      </x:c>
      <x:c r="J93" s="32" t="n">
        <x:v>14.52</x:v>
      </x:c>
      <x:c r="K93" s="32" t="n">
        <x:v>52.86</x:v>
      </x:c>
      <x:c r="L93" s="32" t="n">
        <x:v>58</x:v>
      </x:c>
      <x:c r="M93" s="36" t="n">
        <x:v>0.879</x:v>
      </x:c>
      <x:c r="N93" s="36" t="n">
        <x:v>0.9115</x:v>
      </x:c>
    </x:row>
    <x:row r="94">
      <x:c r="A94" s="34" t="n">
        <x:v>45397</x:v>
      </x:c>
      <x:c r="B94" s="28" t="str">
        <x:v>Grupo Industrial S.A.</x:v>
      </x:c>
      <x:c r="C94" s="28" t="str">
        <x:v>Planta Campinas</x:v>
      </x:c>
      <x:c r="D94" s="28" t="str">
        <x:v>Linha 3 - Extrusão</x:v>
      </x:c>
      <x:c r="E94" s="28" t="str">
        <x:v>SKU-078</x:v>
      </x:c>
      <x:c r="F94" s="28" t="str">
        <x:v>Higiene e Limpeza</x:v>
      </x:c>
      <x:c r="G94" s="32" t="n">
        <x:v>4065</x:v>
      </x:c>
      <x:c r="H94" s="32" t="n">
        <x:v>3797</x:v>
      </x:c>
      <x:c r="I94" s="32" t="n">
        <x:v>120</x:v>
      </x:c>
      <x:c r="J94" s="32" t="n">
        <x:v>24.41</x:v>
      </x:c>
      <x:c r="K94" s="32" t="n">
        <x:v>44.65</x:v>
      </x:c>
      <x:c r="L94" s="32" t="n">
        <x:v>54</x:v>
      </x:c>
      <x:c r="M94" s="36" t="n">
        <x:v>0.7966</x:v>
      </x:c>
      <x:c r="N94" s="36" t="n">
        <x:v>0.8268</x:v>
      </x:c>
    </x:row>
    <x:row r="95">
      <x:c r="A95" s="34" t="n">
        <x:v>45397</x:v>
      </x:c>
      <x:c r="B95" s="28" t="str">
        <x:v>Grupo Industrial S.A.</x:v>
      </x:c>
      <x:c r="C95" s="28" t="str">
        <x:v>Planta Campinas</x:v>
      </x:c>
      <x:c r="D95" s="28" t="str">
        <x:v>Linha 4 - Embalagem</x:v>
      </x:c>
      <x:c r="E95" s="28" t="str">
        <x:v>SKU-105</x:v>
      </x:c>
      <x:c r="F95" s="28" t="str">
        <x:v>Embalagens</x:v>
      </x:c>
      <x:c r="G95" s="32" t="n">
        <x:v>3966</x:v>
      </x:c>
      <x:c r="H95" s="32" t="n">
        <x:v>3653</x:v>
      </x:c>
      <x:c r="I95" s="32" t="n">
        <x:v>120</x:v>
      </x:c>
      <x:c r="J95" s="32" t="n">
        <x:v>21.61</x:v>
      </x:c>
      <x:c r="K95" s="32" t="n">
        <x:v>42.01</x:v>
      </x:c>
      <x:c r="L95" s="32" t="n">
        <x:v>50</x:v>
      </x:c>
      <x:c r="M95" s="36" t="n">
        <x:v>0.8199</x:v>
      </x:c>
      <x:c r="N95" s="36" t="n">
        <x:v>0.8402</x:v>
      </x:c>
    </x:row>
    <x:row r="96">
      <x:c r="A96" s="34" t="n">
        <x:v>45397</x:v>
      </x:c>
      <x:c r="B96" s="28" t="str">
        <x:v>Grupo Industrial S.A.</x:v>
      </x:c>
      <x:c r="C96" s="28" t="str">
        <x:v>Planta Curitiba</x:v>
      </x:c>
      <x:c r="D96" s="28" t="str">
        <x:v>Linha 5 - Usinagem</x:v>
      </x:c>
      <x:c r="E96" s="28" t="str">
        <x:v>SKU-223</x:v>
      </x:c>
      <x:c r="F96" s="28" t="str">
        <x:v>Bebidas</x:v>
      </x:c>
      <x:c r="G96" s="32" t="n">
        <x:v>4501</x:v>
      </x:c>
      <x:c r="H96" s="32" t="n">
        <x:v>4075</x:v>
      </x:c>
      <x:c r="I96" s="32" t="n">
        <x:v>120</x:v>
      </x:c>
      <x:c r="J96" s="32" t="n">
        <x:v>17.37</x:v>
      </x:c>
      <x:c r="K96" s="32" t="n">
        <x:v>51.67</x:v>
      </x:c>
      <x:c r="L96" s="32" t="n">
        <x:v>56</x:v>
      </x:c>
      <x:c r="M96" s="36" t="n">
        <x:v>0.8553</x:v>
      </x:c>
      <x:c r="N96" s="36" t="n">
        <x:v>0.9226</x:v>
      </x:c>
    </x:row>
    <x:row r="97">
      <x:c r="A97" s="34" t="n">
        <x:v>45397</x:v>
      </x:c>
      <x:c r="B97" s="28" t="str">
        <x:v>Grupo Industrial S.A.</x:v>
      </x:c>
      <x:c r="C97" s="28" t="str">
        <x:v>Planta Curitiba</x:v>
      </x:c>
      <x:c r="D97" s="28" t="str">
        <x:v>Linha 6 - Finalização</x:v>
      </x:c>
      <x:c r="E97" s="28" t="str">
        <x:v>SKU-432</x:v>
      </x:c>
      <x:c r="F97" s="28" t="str">
        <x:v>Alimentos</x:v>
      </x:c>
      <x:c r="G97" s="32" t="n">
        <x:v>4051</x:v>
      </x:c>
      <x:c r="H97" s="32" t="n">
        <x:v>3789</x:v>
      </x:c>
      <x:c r="I97" s="32" t="n">
        <x:v>120</x:v>
      </x:c>
      <x:c r="J97" s="32" t="n">
        <x:v>21.06</x:v>
      </x:c>
      <x:c r="K97" s="32" t="n">
        <x:v>42.95</x:v>
      </x:c>
      <x:c r="L97" s="32" t="n">
        <x:v>48</x:v>
      </x:c>
      <x:c r="M97" s="36" t="n">
        <x:v>0.8245</x:v>
      </x:c>
      <x:c r="N97" s="36" t="n">
        <x:v>0.8948</x:v>
      </x:c>
    </x:row>
    <x:row r="98">
      <x:c r="A98" s="34" t="n">
        <x:v>45404</x:v>
      </x:c>
      <x:c r="B98" s="28" t="str">
        <x:v>Grupo Industrial S.A.</x:v>
      </x:c>
      <x:c r="C98" s="28" t="str">
        <x:v>Planta São Paulo</x:v>
      </x:c>
      <x:c r="D98" s="28" t="str">
        <x:v>Linha 1 - Corte</x:v>
      </x:c>
      <x:c r="E98" s="28" t="str">
        <x:v>SKU-001</x:v>
      </x:c>
      <x:c r="F98" s="28" t="str">
        <x:v>Alimentos</x:v>
      </x:c>
      <x:c r="G98" s="32" t="n">
        <x:v>6483</x:v>
      </x:c>
      <x:c r="H98" s="32" t="n">
        <x:v>6110</x:v>
      </x:c>
      <x:c r="I98" s="32" t="n">
        <x:v>120</x:v>
      </x:c>
      <x:c r="J98" s="32" t="n">
        <x:v>12.39</x:v>
      </x:c>
      <x:c r="K98" s="32" t="n">
        <x:v>56.98</x:v>
      </x:c>
      <x:c r="L98" s="32" t="n">
        <x:v>62</x:v>
      </x:c>
      <x:c r="M98" s="36" t="n">
        <x:v>0.8968</x:v>
      </x:c>
      <x:c r="N98" s="36" t="n">
        <x:v>0.919</x:v>
      </x:c>
    </x:row>
    <x:row r="99">
      <x:c r="A99" s="34" t="n">
        <x:v>45404</x:v>
      </x:c>
      <x:c r="B99" s="28" t="str">
        <x:v>Grupo Industrial S.A.</x:v>
      </x:c>
      <x:c r="C99" s="28" t="str">
        <x:v>Planta São Paulo</x:v>
      </x:c>
      <x:c r="D99" s="28" t="str">
        <x:v>Linha 2 - Montagem</x:v>
      </x:c>
      <x:c r="E99" s="28" t="str">
        <x:v>SKU-002</x:v>
      </x:c>
      <x:c r="F99" s="28" t="str">
        <x:v>Alimentos</x:v>
      </x:c>
      <x:c r="G99" s="32" t="n">
        <x:v>5121</x:v>
      </x:c>
      <x:c r="H99" s="32" t="n">
        <x:v>4924</x:v>
      </x:c>
      <x:c r="I99" s="32" t="n">
        <x:v>120</x:v>
      </x:c>
      <x:c r="J99" s="32" t="n">
        <x:v>17.28</x:v>
      </x:c>
      <x:c r="K99" s="32" t="n">
        <x:v>54.1</x:v>
      </x:c>
      <x:c r="L99" s="32" t="n">
        <x:v>58</x:v>
      </x:c>
      <x:c r="M99" s="36" t="n">
        <x:v>0.856</x:v>
      </x:c>
      <x:c r="N99" s="36" t="n">
        <x:v>0.9328</x:v>
      </x:c>
    </x:row>
    <x:row r="100">
      <x:c r="A100" s="34" t="n">
        <x:v>45404</x:v>
      </x:c>
      <x:c r="B100" s="28" t="str">
        <x:v>Grupo Industrial S.A.</x:v>
      </x:c>
      <x:c r="C100" s="28" t="str">
        <x:v>Planta Campinas</x:v>
      </x:c>
      <x:c r="D100" s="28" t="str">
        <x:v>Linha 3 - Extrusão</x:v>
      </x:c>
      <x:c r="E100" s="28" t="str">
        <x:v>SKU-078</x:v>
      </x:c>
      <x:c r="F100" s="28" t="str">
        <x:v>Higiene e Limpeza</x:v>
      </x:c>
      <x:c r="G100" s="32" t="n">
        <x:v>4183</x:v>
      </x:c>
      <x:c r="H100" s="32" t="n">
        <x:v>3877</x:v>
      </x:c>
      <x:c r="I100" s="32" t="n">
        <x:v>120</x:v>
      </x:c>
      <x:c r="J100" s="32" t="n">
        <x:v>26.37</x:v>
      </x:c>
      <x:c r="K100" s="32" t="n">
        <x:v>46.65</x:v>
      </x:c>
      <x:c r="L100" s="32" t="n">
        <x:v>54</x:v>
      </x:c>
      <x:c r="M100" s="36" t="n">
        <x:v>0.7802</x:v>
      </x:c>
      <x:c r="N100" s="36" t="n">
        <x:v>0.8639</x:v>
      </x:c>
    </x:row>
    <x:row r="101">
      <x:c r="A101" s="34" t="n">
        <x:v>45404</x:v>
      </x:c>
      <x:c r="B101" s="28" t="str">
        <x:v>Grupo Industrial S.A.</x:v>
      </x:c>
      <x:c r="C101" s="28" t="str">
        <x:v>Planta Campinas</x:v>
      </x:c>
      <x:c r="D101" s="28" t="str">
        <x:v>Linha 4 - Embalagem</x:v>
      </x:c>
      <x:c r="E101" s="28" t="str">
        <x:v>SKU-105</x:v>
      </x:c>
      <x:c r="F101" s="28" t="str">
        <x:v>Embalagens</x:v>
      </x:c>
      <x:c r="G101" s="32" t="n">
        <x:v>3798</x:v>
      </x:c>
      <x:c r="H101" s="32" t="n">
        <x:v>3491</x:v>
      </x:c>
      <x:c r="I101" s="32" t="n">
        <x:v>120</x:v>
      </x:c>
      <x:c r="J101" s="32" t="n">
        <x:v>23.34</x:v>
      </x:c>
      <x:c r="K101" s="32" t="n">
        <x:v>43.68</x:v>
      </x:c>
      <x:c r="L101" s="32" t="n">
        <x:v>50</x:v>
      </x:c>
      <x:c r="M101" s="36" t="n">
        <x:v>0.8055</x:v>
      </x:c>
      <x:c r="N101" s="36" t="n">
        <x:v>0.8735</x:v>
      </x:c>
    </x:row>
    <x:row r="102">
      <x:c r="A102" s="34" t="n">
        <x:v>45404</x:v>
      </x:c>
      <x:c r="B102" s="28" t="str">
        <x:v>Grupo Industrial S.A.</x:v>
      </x:c>
      <x:c r="C102" s="28" t="str">
        <x:v>Planta Curitiba</x:v>
      </x:c>
      <x:c r="D102" s="28" t="str">
        <x:v>Linha 5 - Usinagem</x:v>
      </x:c>
      <x:c r="E102" s="28" t="str">
        <x:v>SKU-223</x:v>
      </x:c>
      <x:c r="F102" s="28" t="str">
        <x:v>Bebidas</x:v>
      </x:c>
      <x:c r="G102" s="32" t="n">
        <x:v>4489</x:v>
      </x:c>
      <x:c r="H102" s="32" t="n">
        <x:v>4222</x:v>
      </x:c>
      <x:c r="I102" s="32" t="n">
        <x:v>120</x:v>
      </x:c>
      <x:c r="J102" s="32" t="n">
        <x:v>19.2</x:v>
      </x:c>
      <x:c r="K102" s="32" t="n">
        <x:v>48.81</x:v>
      </x:c>
      <x:c r="L102" s="32" t="n">
        <x:v>56</x:v>
      </x:c>
      <x:c r="M102" s="36" t="n">
        <x:v>0.84</x:v>
      </x:c>
      <x:c r="N102" s="36" t="n">
        <x:v>0.8716</x:v>
      </x:c>
    </x:row>
    <x:row r="103">
      <x:c r="A103" s="34" t="n">
        <x:v>45404</x:v>
      </x:c>
      <x:c r="B103" s="28" t="str">
        <x:v>Grupo Industrial S.A.</x:v>
      </x:c>
      <x:c r="C103" s="28" t="str">
        <x:v>Planta Curitiba</x:v>
      </x:c>
      <x:c r="D103" s="28" t="str">
        <x:v>Linha 6 - Finalização</x:v>
      </x:c>
      <x:c r="E103" s="28" t="str">
        <x:v>SKU-432</x:v>
      </x:c>
      <x:c r="F103" s="28" t="str">
        <x:v>Alimentos</x:v>
      </x:c>
      <x:c r="G103" s="32" t="n">
        <x:v>3862</x:v>
      </x:c>
      <x:c r="H103" s="32" t="n">
        <x:v>3609</x:v>
      </x:c>
      <x:c r="I103" s="32" t="n">
        <x:v>120</x:v>
      </x:c>
      <x:c r="J103" s="32" t="n">
        <x:v>18.27</x:v>
      </x:c>
      <x:c r="K103" s="32" t="n">
        <x:v>41.06</x:v>
      </x:c>
      <x:c r="L103" s="32" t="n">
        <x:v>48</x:v>
      </x:c>
      <x:c r="M103" s="36" t="n">
        <x:v>0.8478</x:v>
      </x:c>
      <x:c r="N103" s="36" t="n">
        <x:v>0.8555</x:v>
      </x:c>
    </x:row>
    <x:row r="104">
      <x:c r="A104" s="34" t="n">
        <x:v>45411</x:v>
      </x:c>
      <x:c r="B104" s="28" t="str">
        <x:v>Grupo Industrial S.A.</x:v>
      </x:c>
      <x:c r="C104" s="28" t="str">
        <x:v>Planta São Paulo</x:v>
      </x:c>
      <x:c r="D104" s="28" t="str">
        <x:v>Linha 1 - Corte</x:v>
      </x:c>
      <x:c r="E104" s="28" t="str">
        <x:v>SKU-001</x:v>
      </x:c>
      <x:c r="F104" s="28" t="str">
        <x:v>Alimentos</x:v>
      </x:c>
      <x:c r="G104" s="32" t="n">
        <x:v>5951</x:v>
      </x:c>
      <x:c r="H104" s="32" t="n">
        <x:v>5732</x:v>
      </x:c>
      <x:c r="I104" s="32" t="n">
        <x:v>120</x:v>
      </x:c>
      <x:c r="J104" s="32" t="n">
        <x:v>13.21</x:v>
      </x:c>
      <x:c r="K104" s="32" t="n">
        <x:v>56.45</x:v>
      </x:c>
      <x:c r="L104" s="32" t="n">
        <x:v>62</x:v>
      </x:c>
      <x:c r="M104" s="36" t="n">
        <x:v>0.8899</x:v>
      </x:c>
      <x:c r="N104" s="36" t="n">
        <x:v>0.9104</x:v>
      </x:c>
    </x:row>
    <x:row r="105">
      <x:c r="A105" s="34" t="n">
        <x:v>45411</x:v>
      </x:c>
      <x:c r="B105" s="28" t="str">
        <x:v>Grupo Industrial S.A.</x:v>
      </x:c>
      <x:c r="C105" s="28" t="str">
        <x:v>Planta São Paulo</x:v>
      </x:c>
      <x:c r="D105" s="28" t="str">
        <x:v>Linha 2 - Montagem</x:v>
      </x:c>
      <x:c r="E105" s="28" t="str">
        <x:v>SKU-002</x:v>
      </x:c>
      <x:c r="F105" s="28" t="str">
        <x:v>Alimentos</x:v>
      </x:c>
      <x:c r="G105" s="32" t="n">
        <x:v>5637</x:v>
      </x:c>
      <x:c r="H105" s="32" t="n">
        <x:v>5199</x:v>
      </x:c>
      <x:c r="I105" s="32" t="n">
        <x:v>120</x:v>
      </x:c>
      <x:c r="J105" s="32" t="n">
        <x:v>17.11</x:v>
      </x:c>
      <x:c r="K105" s="32" t="n">
        <x:v>54.68</x:v>
      </x:c>
      <x:c r="L105" s="32" t="n">
        <x:v>58</x:v>
      </x:c>
      <x:c r="M105" s="36" t="n">
        <x:v>0.8574</x:v>
      </x:c>
      <x:c r="N105" s="36" t="n">
        <x:v>0.9427</x:v>
      </x:c>
    </x:row>
    <x:row r="106">
      <x:c r="A106" s="34" t="n">
        <x:v>45411</x:v>
      </x:c>
      <x:c r="B106" s="28" t="str">
        <x:v>Grupo Industrial S.A.</x:v>
      </x:c>
      <x:c r="C106" s="28" t="str">
        <x:v>Planta Campinas</x:v>
      </x:c>
      <x:c r="D106" s="28" t="str">
        <x:v>Linha 3 - Extrusão</x:v>
      </x:c>
      <x:c r="E106" s="28" t="str">
        <x:v>SKU-078</x:v>
      </x:c>
      <x:c r="F106" s="28" t="str">
        <x:v>Higiene e Limpeza</x:v>
      </x:c>
      <x:c r="G106" s="32" t="n">
        <x:v>4296</x:v>
      </x:c>
      <x:c r="H106" s="32" t="n">
        <x:v>4088</x:v>
      </x:c>
      <x:c r="I106" s="32" t="n">
        <x:v>120</x:v>
      </x:c>
      <x:c r="J106" s="32" t="n">
        <x:v>23.6</x:v>
      </x:c>
      <x:c r="K106" s="32" t="n">
        <x:v>46.77</x:v>
      </x:c>
      <x:c r="L106" s="32" t="n">
        <x:v>54</x:v>
      </x:c>
      <x:c r="M106" s="36" t="n">
        <x:v>0.8034</x:v>
      </x:c>
      <x:c r="N106" s="36" t="n">
        <x:v>0.866</x:v>
      </x:c>
    </x:row>
    <x:row r="107">
      <x:c r="A107" s="34" t="n">
        <x:v>45411</x:v>
      </x:c>
      <x:c r="B107" s="28" t="str">
        <x:v>Grupo Industrial S.A.</x:v>
      </x:c>
      <x:c r="C107" s="28" t="str">
        <x:v>Planta Campinas</x:v>
      </x:c>
      <x:c r="D107" s="28" t="str">
        <x:v>Linha 4 - Embalagem</x:v>
      </x:c>
      <x:c r="E107" s="28" t="str">
        <x:v>SKU-105</x:v>
      </x:c>
      <x:c r="F107" s="28" t="str">
        <x:v>Embalagens</x:v>
      </x:c>
      <x:c r="G107" s="32" t="n">
        <x:v>3606</x:v>
      </x:c>
      <x:c r="H107" s="32" t="n">
        <x:v>3310</x:v>
      </x:c>
      <x:c r="I107" s="32" t="n">
        <x:v>120</x:v>
      </x:c>
      <x:c r="J107" s="32" t="n">
        <x:v>25.96</x:v>
      </x:c>
      <x:c r="K107" s="32" t="n">
        <x:v>43.84</x:v>
      </x:c>
      <x:c r="L107" s="32" t="n">
        <x:v>50</x:v>
      </x:c>
      <x:c r="M107" s="36" t="n">
        <x:v>0.7837</x:v>
      </x:c>
      <x:c r="N107" s="36" t="n">
        <x:v>0.8768</x:v>
      </x:c>
    </x:row>
    <x:row r="108">
      <x:c r="A108" s="34" t="n">
        <x:v>45411</x:v>
      </x:c>
      <x:c r="B108" s="28" t="str">
        <x:v>Grupo Industrial S.A.</x:v>
      </x:c>
      <x:c r="C108" s="28" t="str">
        <x:v>Planta Curitiba</x:v>
      </x:c>
      <x:c r="D108" s="28" t="str">
        <x:v>Linha 5 - Usinagem</x:v>
      </x:c>
      <x:c r="E108" s="28" t="str">
        <x:v>SKU-223</x:v>
      </x:c>
      <x:c r="F108" s="28" t="str">
        <x:v>Bebidas</x:v>
      </x:c>
      <x:c r="G108" s="32" t="n">
        <x:v>4462</x:v>
      </x:c>
      <x:c r="H108" s="32" t="n">
        <x:v>4153</x:v>
      </x:c>
      <x:c r="I108" s="32" t="n">
        <x:v>120</x:v>
      </x:c>
      <x:c r="J108" s="32" t="n">
        <x:v>20.83</x:v>
      </x:c>
      <x:c r="K108" s="32" t="n">
        <x:v>50.36</x:v>
      </x:c>
      <x:c r="L108" s="32" t="n">
        <x:v>56</x:v>
      </x:c>
      <x:c r="M108" s="36" t="n">
        <x:v>0.8264</x:v>
      </x:c>
      <x:c r="N108" s="36" t="n">
        <x:v>0.8993</x:v>
      </x:c>
    </x:row>
    <x:row r="109">
      <x:c r="A109" s="34" t="n">
        <x:v>45411</x:v>
      </x:c>
      <x:c r="B109" s="28" t="str">
        <x:v>Grupo Industrial S.A.</x:v>
      </x:c>
      <x:c r="C109" s="28" t="str">
        <x:v>Planta Curitiba</x:v>
      </x:c>
      <x:c r="D109" s="28" t="str">
        <x:v>Linha 6 - Finalização</x:v>
      </x:c>
      <x:c r="E109" s="28" t="str">
        <x:v>SKU-432</x:v>
      </x:c>
      <x:c r="F109" s="28" t="str">
        <x:v>Alimentos</x:v>
      </x:c>
      <x:c r="G109" s="32" t="n">
        <x:v>3979</x:v>
      </x:c>
      <x:c r="H109" s="32" t="n">
        <x:v>3652</x:v>
      </x:c>
      <x:c r="I109" s="32" t="n">
        <x:v>120</x:v>
      </x:c>
      <x:c r="J109" s="32" t="n">
        <x:v>18.72</x:v>
      </x:c>
      <x:c r="K109" s="32" t="n">
        <x:v>41.83</x:v>
      </x:c>
      <x:c r="L109" s="32" t="n">
        <x:v>48</x:v>
      </x:c>
      <x:c r="M109" s="36" t="n">
        <x:v>0.844</x:v>
      </x:c>
      <x:c r="N109" s="36" t="n">
        <x:v>0.8715</x:v>
      </x:c>
    </x:row>
    <x:row r="110">
      <x:c r="A110" s="34" t="n">
        <x:v>45418</x:v>
      </x:c>
      <x:c r="B110" s="28" t="str">
        <x:v>Grupo Industrial S.A.</x:v>
      </x:c>
      <x:c r="C110" s="28" t="str">
        <x:v>Planta São Paulo</x:v>
      </x:c>
      <x:c r="D110" s="28" t="str">
        <x:v>Linha 1 - Corte</x:v>
      </x:c>
      <x:c r="E110" s="28" t="str">
        <x:v>SKU-001</x:v>
      </x:c>
      <x:c r="F110" s="28" t="str">
        <x:v>Alimentos</x:v>
      </x:c>
      <x:c r="G110" s="32" t="n">
        <x:v>6659</x:v>
      </x:c>
      <x:c r="H110" s="32" t="n">
        <x:v>6055</x:v>
      </x:c>
      <x:c r="I110" s="32" t="n">
        <x:v>120</x:v>
      </x:c>
      <x:c r="J110" s="32" t="n">
        <x:v>15.83</x:v>
      </x:c>
      <x:c r="K110" s="32" t="n">
        <x:v>58.13</x:v>
      </x:c>
      <x:c r="L110" s="32" t="n">
        <x:v>62</x:v>
      </x:c>
      <x:c r="M110" s="36" t="n">
        <x:v>0.8681</x:v>
      </x:c>
      <x:c r="N110" s="36" t="n">
        <x:v>0.9376</x:v>
      </x:c>
    </x:row>
    <x:row r="111">
      <x:c r="A111" s="34" t="n">
        <x:v>45418</x:v>
      </x:c>
      <x:c r="B111" s="28" t="str">
        <x:v>Grupo Industrial S.A.</x:v>
      </x:c>
      <x:c r="C111" s="28" t="str">
        <x:v>Planta São Paulo</x:v>
      </x:c>
      <x:c r="D111" s="28" t="str">
        <x:v>Linha 2 - Montagem</x:v>
      </x:c>
      <x:c r="E111" s="28" t="str">
        <x:v>SKU-002</x:v>
      </x:c>
      <x:c r="F111" s="28" t="str">
        <x:v>Alimentos</x:v>
      </x:c>
      <x:c r="G111" s="32" t="n">
        <x:v>5805</x:v>
      </x:c>
      <x:c r="H111" s="32" t="n">
        <x:v>5445</x:v>
      </x:c>
      <x:c r="I111" s="32" t="n">
        <x:v>120</x:v>
      </x:c>
      <x:c r="J111" s="32" t="n">
        <x:v>12.78</x:v>
      </x:c>
      <x:c r="K111" s="32" t="n">
        <x:v>53.73</x:v>
      </x:c>
      <x:c r="L111" s="32" t="n">
        <x:v>58</x:v>
      </x:c>
      <x:c r="M111" s="36" t="n">
        <x:v>0.8935</x:v>
      </x:c>
      <x:c r="N111" s="36" t="n">
        <x:v>0.9264</x:v>
      </x:c>
    </x:row>
    <x:row r="112">
      <x:c r="A112" s="34" t="n">
        <x:v>45418</x:v>
      </x:c>
      <x:c r="B112" s="28" t="str">
        <x:v>Grupo Industrial S.A.</x:v>
      </x:c>
      <x:c r="C112" s="28" t="str">
        <x:v>Planta Campinas</x:v>
      </x:c>
      <x:c r="D112" s="28" t="str">
        <x:v>Linha 3 - Extrusão</x:v>
      </x:c>
      <x:c r="E112" s="28" t="str">
        <x:v>SKU-078</x:v>
      </x:c>
      <x:c r="F112" s="28" t="str">
        <x:v>Higiene e Limpeza</x:v>
      </x:c>
      <x:c r="G112" s="32" t="n">
        <x:v>4543</x:v>
      </x:c>
      <x:c r="H112" s="32" t="n">
        <x:v>4220</x:v>
      </x:c>
      <x:c r="I112" s="32" t="n">
        <x:v>120</x:v>
      </x:c>
      <x:c r="J112" s="32" t="n">
        <x:v>22.61</x:v>
      </x:c>
      <x:c r="K112" s="32" t="n">
        <x:v>45.09</x:v>
      </x:c>
      <x:c r="L112" s="32" t="n">
        <x:v>54</x:v>
      </x:c>
      <x:c r="M112" s="36" t="n">
        <x:v>0.8116</x:v>
      </x:c>
      <x:c r="N112" s="36" t="n">
        <x:v>0.8351</x:v>
      </x:c>
    </x:row>
    <x:row r="113">
      <x:c r="A113" s="34" t="n">
        <x:v>45418</x:v>
      </x:c>
      <x:c r="B113" s="28" t="str">
        <x:v>Grupo Industrial S.A.</x:v>
      </x:c>
      <x:c r="C113" s="28" t="str">
        <x:v>Planta Campinas</x:v>
      </x:c>
      <x:c r="D113" s="28" t="str">
        <x:v>Linha 4 - Embalagem</x:v>
      </x:c>
      <x:c r="E113" s="28" t="str">
        <x:v>SKU-105</x:v>
      </x:c>
      <x:c r="F113" s="28" t="str">
        <x:v>Embalagens</x:v>
      </x:c>
      <x:c r="G113" s="32" t="n">
        <x:v>4026</x:v>
      </x:c>
      <x:c r="H113" s="32" t="n">
        <x:v>3657</x:v>
      </x:c>
      <x:c r="I113" s="32" t="n">
        <x:v>120</x:v>
      </x:c>
      <x:c r="J113" s="32" t="n">
        <x:v>20.37</x:v>
      </x:c>
      <x:c r="K113" s="32" t="n">
        <x:v>42.08</x:v>
      </x:c>
      <x:c r="L113" s="32" t="n">
        <x:v>50</x:v>
      </x:c>
      <x:c r="M113" s="36" t="n">
        <x:v>0.8302</x:v>
      </x:c>
      <x:c r="N113" s="36" t="n">
        <x:v>0.8415</x:v>
      </x:c>
    </x:row>
    <x:row r="114">
      <x:c r="A114" s="34" t="n">
        <x:v>45418</x:v>
      </x:c>
      <x:c r="B114" s="28" t="str">
        <x:v>Grupo Industrial S.A.</x:v>
      </x:c>
      <x:c r="C114" s="28" t="str">
        <x:v>Planta Curitiba</x:v>
      </x:c>
      <x:c r="D114" s="28" t="str">
        <x:v>Linha 5 - Usinagem</x:v>
      </x:c>
      <x:c r="E114" s="28" t="str">
        <x:v>SKU-223</x:v>
      </x:c>
      <x:c r="F114" s="28" t="str">
        <x:v>Bebidas</x:v>
      </x:c>
      <x:c r="G114" s="32" t="n">
        <x:v>4605</x:v>
      </x:c>
      <x:c r="H114" s="32" t="n">
        <x:v>4307</x:v>
      </x:c>
      <x:c r="I114" s="32" t="n">
        <x:v>120</x:v>
      </x:c>
      <x:c r="J114" s="32" t="n">
        <x:v>20.56</x:v>
      </x:c>
      <x:c r="K114" s="32" t="n">
        <x:v>48.36</x:v>
      </x:c>
      <x:c r="L114" s="32" t="n">
        <x:v>56</x:v>
      </x:c>
      <x:c r="M114" s="36" t="n">
        <x:v>0.8287</x:v>
      </x:c>
      <x:c r="N114" s="36" t="n">
        <x:v>0.8635</x:v>
      </x:c>
    </x:row>
    <x:row r="115">
      <x:c r="A115" s="34" t="n">
        <x:v>45418</x:v>
      </x:c>
      <x:c r="B115" s="28" t="str">
        <x:v>Grupo Industrial S.A.</x:v>
      </x:c>
      <x:c r="C115" s="28" t="str">
        <x:v>Planta Curitiba</x:v>
      </x:c>
      <x:c r="D115" s="28" t="str">
        <x:v>Linha 6 - Finalização</x:v>
      </x:c>
      <x:c r="E115" s="28" t="str">
        <x:v>SKU-432</x:v>
      </x:c>
      <x:c r="F115" s="28" t="str">
        <x:v>Alimentos</x:v>
      </x:c>
      <x:c r="G115" s="32" t="n">
        <x:v>4157</x:v>
      </x:c>
      <x:c r="H115" s="32" t="n">
        <x:v>3909</x:v>
      </x:c>
      <x:c r="I115" s="32" t="n">
        <x:v>120</x:v>
      </x:c>
      <x:c r="J115" s="32" t="n">
        <x:v>16.81</x:v>
      </x:c>
      <x:c r="K115" s="32" t="n">
        <x:v>43.73</x:v>
      </x:c>
      <x:c r="L115" s="32" t="n">
        <x:v>48</x:v>
      </x:c>
      <x:c r="M115" s="36" t="n">
        <x:v>0.8599</x:v>
      </x:c>
      <x:c r="N115" s="36" t="n">
        <x:v>0.911</x:v>
      </x:c>
    </x:row>
    <x:row r="116">
      <x:c r="A116" s="34" t="n">
        <x:v>45425</x:v>
      </x:c>
      <x:c r="B116" s="28" t="str">
        <x:v>Grupo Industrial S.A.</x:v>
      </x:c>
      <x:c r="C116" s="28" t="str">
        <x:v>Planta São Paulo</x:v>
      </x:c>
      <x:c r="D116" s="28" t="str">
        <x:v>Linha 1 - Corte</x:v>
      </x:c>
      <x:c r="E116" s="28" t="str">
        <x:v>SKU-001</x:v>
      </x:c>
      <x:c r="F116" s="28" t="str">
        <x:v>Alimentos</x:v>
      </x:c>
      <x:c r="G116" s="32" t="n">
        <x:v>6330</x:v>
      </x:c>
      <x:c r="H116" s="32" t="n">
        <x:v>5786</x:v>
      </x:c>
      <x:c r="I116" s="32" t="n">
        <x:v>120</x:v>
      </x:c>
      <x:c r="J116" s="32" t="n">
        <x:v>14.82</x:v>
      </x:c>
      <x:c r="K116" s="32" t="n">
        <x:v>58.93</x:v>
      </x:c>
      <x:c r="L116" s="32" t="n">
        <x:v>62</x:v>
      </x:c>
      <x:c r="M116" s="36" t="n">
        <x:v>0.8765</x:v>
      </x:c>
      <x:c r="N116" s="36" t="n">
        <x:v>0.9505</x:v>
      </x:c>
    </x:row>
    <x:row r="117">
      <x:c r="A117" s="34" t="n">
        <x:v>45425</x:v>
      </x:c>
      <x:c r="B117" s="28" t="str">
        <x:v>Grupo Industrial S.A.</x:v>
      </x:c>
      <x:c r="C117" s="28" t="str">
        <x:v>Planta São Paulo</x:v>
      </x:c>
      <x:c r="D117" s="28" t="str">
        <x:v>Linha 2 - Montagem</x:v>
      </x:c>
      <x:c r="E117" s="28" t="str">
        <x:v>SKU-002</x:v>
      </x:c>
      <x:c r="F117" s="28" t="str">
        <x:v>Alimentos</x:v>
      </x:c>
      <x:c r="G117" s="32" t="n">
        <x:v>5934</x:v>
      </x:c>
      <x:c r="H117" s="32" t="n">
        <x:v>5654</x:v>
      </x:c>
      <x:c r="I117" s="32" t="n">
        <x:v>120</x:v>
      </x:c>
      <x:c r="J117" s="32" t="n">
        <x:v>13.86</x:v>
      </x:c>
      <x:c r="K117" s="32" t="n">
        <x:v>53.28</x:v>
      </x:c>
      <x:c r="L117" s="32" t="n">
        <x:v>58</x:v>
      </x:c>
      <x:c r="M117" s="36" t="n">
        <x:v>0.8845</x:v>
      </x:c>
      <x:c r="N117" s="36" t="n">
        <x:v>0.9186</x:v>
      </x:c>
    </x:row>
    <x:row r="118">
      <x:c r="A118" s="34" t="n">
        <x:v>45425</x:v>
      </x:c>
      <x:c r="B118" s="28" t="str">
        <x:v>Grupo Industrial S.A.</x:v>
      </x:c>
      <x:c r="C118" s="28" t="str">
        <x:v>Planta Campinas</x:v>
      </x:c>
      <x:c r="D118" s="28" t="str">
        <x:v>Linha 3 - Extrusão</x:v>
      </x:c>
      <x:c r="E118" s="28" t="str">
        <x:v>SKU-078</x:v>
      </x:c>
      <x:c r="F118" s="28" t="str">
        <x:v>Higiene e Limpeza</x:v>
      </x:c>
      <x:c r="G118" s="32" t="n">
        <x:v>4468</x:v>
      </x:c>
      <x:c r="H118" s="32" t="n">
        <x:v>4210</x:v>
      </x:c>
      <x:c r="I118" s="32" t="n">
        <x:v>120</x:v>
      </x:c>
      <x:c r="J118" s="32" t="n">
        <x:v>21.97</x:v>
      </x:c>
      <x:c r="K118" s="32" t="n">
        <x:v>44.87</x:v>
      </x:c>
      <x:c r="L118" s="32" t="n">
        <x:v>54</x:v>
      </x:c>
      <x:c r="M118" s="36" t="n">
        <x:v>0.8169</x:v>
      </x:c>
      <x:c r="N118" s="36" t="n">
        <x:v>0.831</x:v>
      </x:c>
    </x:row>
    <x:row r="119">
      <x:c r="A119" s="34" t="n">
        <x:v>45425</x:v>
      </x:c>
      <x:c r="B119" s="28" t="str">
        <x:v>Grupo Industrial S.A.</x:v>
      </x:c>
      <x:c r="C119" s="28" t="str">
        <x:v>Planta Campinas</x:v>
      </x:c>
      <x:c r="D119" s="28" t="str">
        <x:v>Linha 4 - Embalagem</x:v>
      </x:c>
      <x:c r="E119" s="28" t="str">
        <x:v>SKU-105</x:v>
      </x:c>
      <x:c r="F119" s="28" t="str">
        <x:v>Embalagens</x:v>
      </x:c>
      <x:c r="G119" s="32" t="n">
        <x:v>4032</x:v>
      </x:c>
      <x:c r="H119" s="32" t="n">
        <x:v>3874</x:v>
      </x:c>
      <x:c r="I119" s="32" t="n">
        <x:v>120</x:v>
      </x:c>
      <x:c r="J119" s="32" t="n">
        <x:v>20.57</x:v>
      </x:c>
      <x:c r="K119" s="32" t="n">
        <x:v>41.92</x:v>
      </x:c>
      <x:c r="L119" s="32" t="n">
        <x:v>50</x:v>
      </x:c>
      <x:c r="M119" s="36" t="n">
        <x:v>0.8286</x:v>
      </x:c>
      <x:c r="N119" s="36" t="n">
        <x:v>0.8384</x:v>
      </x:c>
    </x:row>
    <x:row r="120">
      <x:c r="A120" s="34" t="n">
        <x:v>45425</x:v>
      </x:c>
      <x:c r="B120" s="28" t="str">
        <x:v>Grupo Industrial S.A.</x:v>
      </x:c>
      <x:c r="C120" s="28" t="str">
        <x:v>Planta Curitiba</x:v>
      </x:c>
      <x:c r="D120" s="28" t="str">
        <x:v>Linha 5 - Usinagem</x:v>
      </x:c>
      <x:c r="E120" s="28" t="str">
        <x:v>SKU-223</x:v>
      </x:c>
      <x:c r="F120" s="28" t="str">
        <x:v>Bebidas</x:v>
      </x:c>
      <x:c r="G120" s="32" t="n">
        <x:v>4776</x:v>
      </x:c>
      <x:c r="H120" s="32" t="n">
        <x:v>4472</x:v>
      </x:c>
      <x:c r="I120" s="32" t="n">
        <x:v>120</x:v>
      </x:c>
      <x:c r="J120" s="32" t="n">
        <x:v>18.96</x:v>
      </x:c>
      <x:c r="K120" s="32" t="n">
        <x:v>48.4</x:v>
      </x:c>
      <x:c r="L120" s="32" t="n">
        <x:v>56</x:v>
      </x:c>
      <x:c r="M120" s="36" t="n">
        <x:v>0.842</x:v>
      </x:c>
      <x:c r="N120" s="36" t="n">
        <x:v>0.8642</x:v>
      </x:c>
    </x:row>
    <x:row r="121">
      <x:c r="A121" s="34" t="n">
        <x:v>45425</x:v>
      </x:c>
      <x:c r="B121" s="28" t="str">
        <x:v>Grupo Industrial S.A.</x:v>
      </x:c>
      <x:c r="C121" s="28" t="str">
        <x:v>Planta Curitiba</x:v>
      </x:c>
      <x:c r="D121" s="28" t="str">
        <x:v>Linha 6 - Finalização</x:v>
      </x:c>
      <x:c r="E121" s="28" t="str">
        <x:v>SKU-432</x:v>
      </x:c>
      <x:c r="F121" s="28" t="str">
        <x:v>Alimentos</x:v>
      </x:c>
      <x:c r="G121" s="32" t="n">
        <x:v>3985</x:v>
      </x:c>
      <x:c r="H121" s="32" t="n">
        <x:v>3646</x:v>
      </x:c>
      <x:c r="I121" s="32" t="n">
        <x:v>120</x:v>
      </x:c>
      <x:c r="J121" s="32" t="n">
        <x:v>16.48</x:v>
      </x:c>
      <x:c r="K121" s="32" t="n">
        <x:v>42.96</x:v>
      </x:c>
      <x:c r="L121" s="32" t="n">
        <x:v>48</x:v>
      </x:c>
      <x:c r="M121" s="36" t="n">
        <x:v>0.8627</x:v>
      </x:c>
      <x:c r="N121" s="36" t="n">
        <x:v>0.895</x:v>
      </x:c>
    </x:row>
    <x:row r="122">
      <x:c r="A122" s="34" t="n">
        <x:v>45432</x:v>
      </x:c>
      <x:c r="B122" s="28" t="str">
        <x:v>Grupo Industrial S.A.</x:v>
      </x:c>
      <x:c r="C122" s="28" t="str">
        <x:v>Planta São Paulo</x:v>
      </x:c>
      <x:c r="D122" s="28" t="str">
        <x:v>Linha 1 - Corte</x:v>
      </x:c>
      <x:c r="E122" s="28" t="str">
        <x:v>SKU-001</x:v>
      </x:c>
      <x:c r="F122" s="28" t="str">
        <x:v>Alimentos</x:v>
      </x:c>
      <x:c r="G122" s="32" t="n">
        <x:v>6347</x:v>
      </x:c>
      <x:c r="H122" s="32" t="n">
        <x:v>5820</x:v>
      </x:c>
      <x:c r="I122" s="32" t="n">
        <x:v>120</x:v>
      </x:c>
      <x:c r="J122" s="32" t="n">
        <x:v>12.58</x:v>
      </x:c>
      <x:c r="K122" s="32" t="n">
        <x:v>56.35</x:v>
      </x:c>
      <x:c r="L122" s="32" t="n">
        <x:v>62</x:v>
      </x:c>
      <x:c r="M122" s="36" t="n">
        <x:v>0.8952</x:v>
      </x:c>
      <x:c r="N122" s="36" t="n">
        <x:v>0.9089</x:v>
      </x:c>
    </x:row>
    <x:row r="123">
      <x:c r="A123" s="34" t="n">
        <x:v>45432</x:v>
      </x:c>
      <x:c r="B123" s="28" t="str">
        <x:v>Grupo Industrial S.A.</x:v>
      </x:c>
      <x:c r="C123" s="28" t="str">
        <x:v>Planta São Paulo</x:v>
      </x:c>
      <x:c r="D123" s="28" t="str">
        <x:v>Linha 2 - Montagem</x:v>
      </x:c>
      <x:c r="E123" s="28" t="str">
        <x:v>SKU-002</x:v>
      </x:c>
      <x:c r="F123" s="28" t="str">
        <x:v>Alimentos</x:v>
      </x:c>
      <x:c r="G123" s="32" t="n">
        <x:v>5768</x:v>
      </x:c>
      <x:c r="H123" s="32" t="n">
        <x:v>5327</x:v>
      </x:c>
      <x:c r="I123" s="32" t="n">
        <x:v>120</x:v>
      </x:c>
      <x:c r="J123" s="32" t="n">
        <x:v>14.14</x:v>
      </x:c>
      <x:c r="K123" s="32" t="n">
        <x:v>52.29</x:v>
      </x:c>
      <x:c r="L123" s="32" t="n">
        <x:v>58</x:v>
      </x:c>
      <x:c r="M123" s="36" t="n">
        <x:v>0.8822</x:v>
      </x:c>
      <x:c r="N123" s="36" t="n">
        <x:v>0.9015</x:v>
      </x:c>
    </x:row>
    <x:row r="124">
      <x:c r="A124" s="34" t="n">
        <x:v>45432</x:v>
      </x:c>
      <x:c r="B124" s="28" t="str">
        <x:v>Grupo Industrial S.A.</x:v>
      </x:c>
      <x:c r="C124" s="28" t="str">
        <x:v>Planta Campinas</x:v>
      </x:c>
      <x:c r="D124" s="28" t="str">
        <x:v>Linha 3 - Extrusão</x:v>
      </x:c>
      <x:c r="E124" s="28" t="str">
        <x:v>SKU-078</x:v>
      </x:c>
      <x:c r="F124" s="28" t="str">
        <x:v>Higiene e Limpeza</x:v>
      </x:c>
      <x:c r="G124" s="32" t="n">
        <x:v>4277</x:v>
      </x:c>
      <x:c r="H124" s="32" t="n">
        <x:v>4077</x:v>
      </x:c>
      <x:c r="I124" s="32" t="n">
        <x:v>120</x:v>
      </x:c>
      <x:c r="J124" s="32" t="n">
        <x:v>23.83</x:v>
      </x:c>
      <x:c r="K124" s="32" t="n">
        <x:v>44.8</x:v>
      </x:c>
      <x:c r="L124" s="32" t="n">
        <x:v>54</x:v>
      </x:c>
      <x:c r="M124" s="36" t="n">
        <x:v>0.8014</x:v>
      </x:c>
      <x:c r="N124" s="36" t="n">
        <x:v>0.8295</x:v>
      </x:c>
    </x:row>
    <x:row r="125">
      <x:c r="A125" s="34" t="n">
        <x:v>45432</x:v>
      </x:c>
      <x:c r="B125" s="28" t="str">
        <x:v>Grupo Industrial S.A.</x:v>
      </x:c>
      <x:c r="C125" s="28" t="str">
        <x:v>Planta Campinas</x:v>
      </x:c>
      <x:c r="D125" s="28" t="str">
        <x:v>Linha 4 - Embalagem</x:v>
      </x:c>
      <x:c r="E125" s="28" t="str">
        <x:v>SKU-105</x:v>
      </x:c>
      <x:c r="F125" s="28" t="str">
        <x:v>Embalagens</x:v>
      </x:c>
      <x:c r="G125" s="32" t="n">
        <x:v>3782</x:v>
      </x:c>
      <x:c r="H125" s="32" t="n">
        <x:v>3520</x:v>
      </x:c>
      <x:c r="I125" s="32" t="n">
        <x:v>120</x:v>
      </x:c>
      <x:c r="J125" s="32" t="n">
        <x:v>20.67</x:v>
      </x:c>
      <x:c r="K125" s="32" t="n">
        <x:v>41.48</x:v>
      </x:c>
      <x:c r="L125" s="32" t="n">
        <x:v>50</x:v>
      </x:c>
      <x:c r="M125" s="36" t="n">
        <x:v>0.8278</x:v>
      </x:c>
      <x:c r="N125" s="36" t="n">
        <x:v>0.8297</x:v>
      </x:c>
    </x:row>
    <x:row r="126">
      <x:c r="A126" s="34" t="n">
        <x:v>45432</x:v>
      </x:c>
      <x:c r="B126" s="28" t="str">
        <x:v>Grupo Industrial S.A.</x:v>
      </x:c>
      <x:c r="C126" s="28" t="str">
        <x:v>Planta Curitiba</x:v>
      </x:c>
      <x:c r="D126" s="28" t="str">
        <x:v>Linha 5 - Usinagem</x:v>
      </x:c>
      <x:c r="E126" s="28" t="str">
        <x:v>SKU-223</x:v>
      </x:c>
      <x:c r="F126" s="28" t="str">
        <x:v>Bebidas</x:v>
      </x:c>
      <x:c r="G126" s="32" t="n">
        <x:v>4600</x:v>
      </x:c>
      <x:c r="H126" s="32" t="n">
        <x:v>4267</x:v>
      </x:c>
      <x:c r="I126" s="32" t="n">
        <x:v>120</x:v>
      </x:c>
      <x:c r="J126" s="32" t="n">
        <x:v>17.73</x:v>
      </x:c>
      <x:c r="K126" s="32" t="n">
        <x:v>51</x:v>
      </x:c>
      <x:c r="L126" s="32" t="n">
        <x:v>56</x:v>
      </x:c>
      <x:c r="M126" s="36" t="n">
        <x:v>0.8523</x:v>
      </x:c>
      <x:c r="N126" s="36" t="n">
        <x:v>0.9107</x:v>
      </x:c>
    </x:row>
    <x:row r="127">
      <x:c r="A127" s="34" t="n">
        <x:v>45432</x:v>
      </x:c>
      <x:c r="B127" s="28" t="str">
        <x:v>Grupo Industrial S.A.</x:v>
      </x:c>
      <x:c r="C127" s="28" t="str">
        <x:v>Planta Curitiba</x:v>
      </x:c>
      <x:c r="D127" s="28" t="str">
        <x:v>Linha 6 - Finalização</x:v>
      </x:c>
      <x:c r="E127" s="28" t="str">
        <x:v>SKU-432</x:v>
      </x:c>
      <x:c r="F127" s="28" t="str">
        <x:v>Alimentos</x:v>
      </x:c>
      <x:c r="G127" s="32" t="n">
        <x:v>4142</x:v>
      </x:c>
      <x:c r="H127" s="32" t="n">
        <x:v>3917</x:v>
      </x:c>
      <x:c r="I127" s="32" t="n">
        <x:v>120</x:v>
      </x:c>
      <x:c r="J127" s="32" t="n">
        <x:v>15.74</x:v>
      </x:c>
      <x:c r="K127" s="32" t="n">
        <x:v>42.81</x:v>
      </x:c>
      <x:c r="L127" s="32" t="n">
        <x:v>48</x:v>
      </x:c>
      <x:c r="M127" s="36" t="n">
        <x:v>0.8689</x:v>
      </x:c>
      <x:c r="N127" s="36" t="n">
        <x:v>0.892</x:v>
      </x:c>
    </x:row>
    <x:row r="128">
      <x:c r="A128" s="34" t="n">
        <x:v>45439</x:v>
      </x:c>
      <x:c r="B128" s="28" t="str">
        <x:v>Grupo Industrial S.A.</x:v>
      </x:c>
      <x:c r="C128" s="28" t="str">
        <x:v>Planta São Paulo</x:v>
      </x:c>
      <x:c r="D128" s="28" t="str">
        <x:v>Linha 1 - Corte</x:v>
      </x:c>
      <x:c r="E128" s="28" t="str">
        <x:v>SKU-001</x:v>
      </x:c>
      <x:c r="F128" s="28" t="str">
        <x:v>Alimentos</x:v>
      </x:c>
      <x:c r="G128" s="32" t="n">
        <x:v>6206</x:v>
      </x:c>
      <x:c r="H128" s="32" t="n">
        <x:v>5650</x:v>
      </x:c>
      <x:c r="I128" s="32" t="n">
        <x:v>120</x:v>
      </x:c>
      <x:c r="J128" s="32" t="n">
        <x:v>17.93</x:v>
      </x:c>
      <x:c r="K128" s="32" t="n">
        <x:v>58.4</x:v>
      </x:c>
      <x:c r="L128" s="32" t="n">
        <x:v>62</x:v>
      </x:c>
      <x:c r="M128" s="36" t="n">
        <x:v>0.8506</x:v>
      </x:c>
      <x:c r="N128" s="36" t="n">
        <x:v>0.9419</x:v>
      </x:c>
    </x:row>
    <x:row r="129">
      <x:c r="A129" s="34" t="n">
        <x:v>45439</x:v>
      </x:c>
      <x:c r="B129" s="28" t="str">
        <x:v>Grupo Industrial S.A.</x:v>
      </x:c>
      <x:c r="C129" s="28" t="str">
        <x:v>Planta São Paulo</x:v>
      </x:c>
      <x:c r="D129" s="28" t="str">
        <x:v>Linha 2 - Montagem</x:v>
      </x:c>
      <x:c r="E129" s="28" t="str">
        <x:v>SKU-002</x:v>
      </x:c>
      <x:c r="F129" s="28" t="str">
        <x:v>Alimentos</x:v>
      </x:c>
      <x:c r="G129" s="32" t="n">
        <x:v>5645</x:v>
      </x:c>
      <x:c r="H129" s="32" t="n">
        <x:v>5116</x:v>
      </x:c>
      <x:c r="I129" s="32" t="n">
        <x:v>120</x:v>
      </x:c>
      <x:c r="J129" s="32" t="n">
        <x:v>12.68</x:v>
      </x:c>
      <x:c r="K129" s="32" t="n">
        <x:v>54.67</x:v>
      </x:c>
      <x:c r="L129" s="32" t="n">
        <x:v>58</x:v>
      </x:c>
      <x:c r="M129" s="36" t="n">
        <x:v>0.8944</x:v>
      </x:c>
      <x:c r="N129" s="36" t="n">
        <x:v>0.9426</x:v>
      </x:c>
    </x:row>
    <x:row r="130">
      <x:c r="A130" s="34" t="n">
        <x:v>45439</x:v>
      </x:c>
      <x:c r="B130" s="28" t="str">
        <x:v>Grupo Industrial S.A.</x:v>
      </x:c>
      <x:c r="C130" s="28" t="str">
        <x:v>Planta Campinas</x:v>
      </x:c>
      <x:c r="D130" s="28" t="str">
        <x:v>Linha 3 - Extrusão</x:v>
      </x:c>
      <x:c r="E130" s="28" t="str">
        <x:v>SKU-078</x:v>
      </x:c>
      <x:c r="F130" s="28" t="str">
        <x:v>Higiene e Limpeza</x:v>
      </x:c>
      <x:c r="G130" s="32" t="n">
        <x:v>4409</x:v>
      </x:c>
      <x:c r="H130" s="32" t="n">
        <x:v>4029</x:v>
      </x:c>
      <x:c r="I130" s="32" t="n">
        <x:v>120</x:v>
      </x:c>
      <x:c r="J130" s="32" t="n">
        <x:v>21.27</x:v>
      </x:c>
      <x:c r="K130" s="32" t="n">
        <x:v>45.53</x:v>
      </x:c>
      <x:c r="L130" s="32" t="n">
        <x:v>54</x:v>
      </x:c>
      <x:c r="M130" s="36" t="n">
        <x:v>0.8227</x:v>
      </x:c>
      <x:c r="N130" s="36" t="n">
        <x:v>0.8432</x:v>
      </x:c>
    </x:row>
    <x:row r="131">
      <x:c r="A131" s="34" t="n">
        <x:v>45439</x:v>
      </x:c>
      <x:c r="B131" s="28" t="str">
        <x:v>Grupo Industrial S.A.</x:v>
      </x:c>
      <x:c r="C131" s="28" t="str">
        <x:v>Planta Campinas</x:v>
      </x:c>
      <x:c r="D131" s="28" t="str">
        <x:v>Linha 4 - Embalagem</x:v>
      </x:c>
      <x:c r="E131" s="28" t="str">
        <x:v>SKU-105</x:v>
      </x:c>
      <x:c r="F131" s="28" t="str">
        <x:v>Embalagens</x:v>
      </x:c>
      <x:c r="G131" s="32" t="n">
        <x:v>4041</x:v>
      </x:c>
      <x:c r="H131" s="32" t="n">
        <x:v>3668</x:v>
      </x:c>
      <x:c r="I131" s="32" t="n">
        <x:v>120</x:v>
      </x:c>
      <x:c r="J131" s="32" t="n">
        <x:v>24.97</x:v>
      </x:c>
      <x:c r="K131" s="32" t="n">
        <x:v>44.34</x:v>
      </x:c>
      <x:c r="L131" s="32" t="n">
        <x:v>50</x:v>
      </x:c>
      <x:c r="M131" s="36" t="n">
        <x:v>0.7919</x:v>
      </x:c>
      <x:c r="N131" s="36" t="n">
        <x:v>0.8867</x:v>
      </x:c>
    </x:row>
    <x:row r="132">
      <x:c r="A132" s="34" t="n">
        <x:v>45439</x:v>
      </x:c>
      <x:c r="B132" s="28" t="str">
        <x:v>Grupo Industrial S.A.</x:v>
      </x:c>
      <x:c r="C132" s="28" t="str">
        <x:v>Planta Curitiba</x:v>
      </x:c>
      <x:c r="D132" s="28" t="str">
        <x:v>Linha 5 - Usinagem</x:v>
      </x:c>
      <x:c r="E132" s="28" t="str">
        <x:v>SKU-223</x:v>
      </x:c>
      <x:c r="F132" s="28" t="str">
        <x:v>Bebidas</x:v>
      </x:c>
      <x:c r="G132" s="32" t="n">
        <x:v>4852</x:v>
      </x:c>
      <x:c r="H132" s="32" t="n">
        <x:v>4574</x:v>
      </x:c>
      <x:c r="I132" s="32" t="n">
        <x:v>120</x:v>
      </x:c>
      <x:c r="J132" s="32" t="n">
        <x:v>17.48</x:v>
      </x:c>
      <x:c r="K132" s="32" t="n">
        <x:v>51.16</x:v>
      </x:c>
      <x:c r="L132" s="32" t="n">
        <x:v>56</x:v>
      </x:c>
      <x:c r="M132" s="36" t="n">
        <x:v>0.8544</x:v>
      </x:c>
      <x:c r="N132" s="36" t="n">
        <x:v>0.9136</x:v>
      </x:c>
    </x:row>
    <x:row r="133">
      <x:c r="A133" s="34" t="n">
        <x:v>45439</x:v>
      </x:c>
      <x:c r="B133" s="28" t="str">
        <x:v>Grupo Industrial S.A.</x:v>
      </x:c>
      <x:c r="C133" s="28" t="str">
        <x:v>Planta Curitiba</x:v>
      </x:c>
      <x:c r="D133" s="28" t="str">
        <x:v>Linha 6 - Finalização</x:v>
      </x:c>
      <x:c r="E133" s="28" t="str">
        <x:v>SKU-432</x:v>
      </x:c>
      <x:c r="F133" s="28" t="str">
        <x:v>Alimentos</x:v>
      </x:c>
      <x:c r="G133" s="32" t="n">
        <x:v>4068</x:v>
      </x:c>
      <x:c r="H133" s="32" t="n">
        <x:v>3746</x:v>
      </x:c>
      <x:c r="I133" s="32" t="n">
        <x:v>120</x:v>
      </x:c>
      <x:c r="J133" s="32" t="n">
        <x:v>20.42</x:v>
      </x:c>
      <x:c r="K133" s="32" t="n">
        <x:v>42.78</x:v>
      </x:c>
      <x:c r="L133" s="32" t="n">
        <x:v>48</x:v>
      </x:c>
      <x:c r="M133" s="36" t="n">
        <x:v>0.8298</x:v>
      </x:c>
      <x:c r="N133" s="36" t="n">
        <x:v>0.8913</x:v>
      </x:c>
    </x:row>
    <x:row r="134">
      <x:c r="A134" s="34" t="n">
        <x:v>45446</x:v>
      </x:c>
      <x:c r="B134" s="28" t="str">
        <x:v>Grupo Industrial S.A.</x:v>
      </x:c>
      <x:c r="C134" s="28" t="str">
        <x:v>Planta São Paulo</x:v>
      </x:c>
      <x:c r="D134" s="28" t="str">
        <x:v>Linha 1 - Corte</x:v>
      </x:c>
      <x:c r="E134" s="28" t="str">
        <x:v>SKU-001</x:v>
      </x:c>
      <x:c r="F134" s="28" t="str">
        <x:v>Alimentos</x:v>
      </x:c>
      <x:c r="G134" s="32" t="n">
        <x:v>6251</x:v>
      </x:c>
      <x:c r="H134" s="32" t="n">
        <x:v>5733</x:v>
      </x:c>
      <x:c r="I134" s="32" t="n">
        <x:v>120</x:v>
      </x:c>
      <x:c r="J134" s="32" t="n">
        <x:v>12.31</x:v>
      </x:c>
      <x:c r="K134" s="32" t="n">
        <x:v>57.03</x:v>
      </x:c>
      <x:c r="L134" s="32" t="n">
        <x:v>62</x:v>
      </x:c>
      <x:c r="M134" s="36" t="n">
        <x:v>0.8974</x:v>
      </x:c>
      <x:c r="N134" s="36" t="n">
        <x:v>0.9198</x:v>
      </x:c>
    </x:row>
    <x:row r="135">
      <x:c r="A135" s="34" t="n">
        <x:v>45446</x:v>
      </x:c>
      <x:c r="B135" s="28" t="str">
        <x:v>Grupo Industrial S.A.</x:v>
      </x:c>
      <x:c r="C135" s="28" t="str">
        <x:v>Planta São Paulo</x:v>
      </x:c>
      <x:c r="D135" s="28" t="str">
        <x:v>Linha 2 - Montagem</x:v>
      </x:c>
      <x:c r="E135" s="28" t="str">
        <x:v>SKU-002</x:v>
      </x:c>
      <x:c r="F135" s="28" t="str">
        <x:v>Alimentos</x:v>
      </x:c>
      <x:c r="G135" s="32" t="n">
        <x:v>5523</x:v>
      </x:c>
      <x:c r="H135" s="32" t="n">
        <x:v>5258</x:v>
      </x:c>
      <x:c r="I135" s="32" t="n">
        <x:v>120</x:v>
      </x:c>
      <x:c r="J135" s="32" t="n">
        <x:v>14.67</x:v>
      </x:c>
      <x:c r="K135" s="32" t="n">
        <x:v>53.26</x:v>
      </x:c>
      <x:c r="L135" s="32" t="n">
        <x:v>58</x:v>
      </x:c>
      <x:c r="M135" s="36" t="n">
        <x:v>0.8778</x:v>
      </x:c>
      <x:c r="N135" s="36" t="n">
        <x:v>0.9183</x:v>
      </x:c>
    </x:row>
    <x:row r="136">
      <x:c r="A136" s="34" t="n">
        <x:v>45446</x:v>
      </x:c>
      <x:c r="B136" s="28" t="str">
        <x:v>Grupo Industrial S.A.</x:v>
      </x:c>
      <x:c r="C136" s="28" t="str">
        <x:v>Planta Campinas</x:v>
      </x:c>
      <x:c r="D136" s="28" t="str">
        <x:v>Linha 3 - Extrusão</x:v>
      </x:c>
      <x:c r="E136" s="28" t="str">
        <x:v>SKU-078</x:v>
      </x:c>
      <x:c r="F136" s="28" t="str">
        <x:v>Higiene e Limpeza</x:v>
      </x:c>
      <x:c r="G136" s="32" t="n">
        <x:v>4334</x:v>
      </x:c>
      <x:c r="H136" s="32" t="n">
        <x:v>4080</x:v>
      </x:c>
      <x:c r="I136" s="32" t="n">
        <x:v>120</x:v>
      </x:c>
      <x:c r="J136" s="32" t="n">
        <x:v>21.78</x:v>
      </x:c>
      <x:c r="K136" s="32" t="n">
        <x:v>46.1</x:v>
      </x:c>
      <x:c r="L136" s="32" t="n">
        <x:v>54</x:v>
      </x:c>
      <x:c r="M136" s="36" t="n">
        <x:v>0.8185</x:v>
      </x:c>
      <x:c r="N136" s="36" t="n">
        <x:v>0.8536</x:v>
      </x:c>
    </x:row>
    <x:row r="137">
      <x:c r="A137" s="34" t="n">
        <x:v>45446</x:v>
      </x:c>
      <x:c r="B137" s="28" t="str">
        <x:v>Grupo Industrial S.A.</x:v>
      </x:c>
      <x:c r="C137" s="28" t="str">
        <x:v>Planta Campinas</x:v>
      </x:c>
      <x:c r="D137" s="28" t="str">
        <x:v>Linha 4 - Embalagem</x:v>
      </x:c>
      <x:c r="E137" s="28" t="str">
        <x:v>SKU-105</x:v>
      </x:c>
      <x:c r="F137" s="28" t="str">
        <x:v>Embalagens</x:v>
      </x:c>
      <x:c r="G137" s="32" t="n">
        <x:v>3659</x:v>
      </x:c>
      <x:c r="H137" s="32" t="n">
        <x:v>3354</x:v>
      </x:c>
      <x:c r="I137" s="32" t="n">
        <x:v>120</x:v>
      </x:c>
      <x:c r="J137" s="32" t="n">
        <x:v>21.53</x:v>
      </x:c>
      <x:c r="K137" s="32" t="n">
        <x:v>42.25</x:v>
      </x:c>
      <x:c r="L137" s="32" t="n">
        <x:v>50</x:v>
      </x:c>
      <x:c r="M137" s="36" t="n">
        <x:v>0.8206</x:v>
      </x:c>
      <x:c r="N137" s="36" t="n">
        <x:v>0.8451</x:v>
      </x:c>
    </x:row>
    <x:row r="138">
      <x:c r="A138" s="34" t="n">
        <x:v>45446</x:v>
      </x:c>
      <x:c r="B138" s="28" t="str">
        <x:v>Grupo Industrial S.A.</x:v>
      </x:c>
      <x:c r="C138" s="28" t="str">
        <x:v>Planta Curitiba</x:v>
      </x:c>
      <x:c r="D138" s="28" t="str">
        <x:v>Linha 5 - Usinagem</x:v>
      </x:c>
      <x:c r="E138" s="28" t="str">
        <x:v>SKU-223</x:v>
      </x:c>
      <x:c r="F138" s="28" t="str">
        <x:v>Bebidas</x:v>
      </x:c>
      <x:c r="G138" s="32" t="n">
        <x:v>4488</x:v>
      </x:c>
      <x:c r="H138" s="32" t="n">
        <x:v>4226</x:v>
      </x:c>
      <x:c r="I138" s="32" t="n">
        <x:v>120</x:v>
      </x:c>
      <x:c r="J138" s="32" t="n">
        <x:v>18.25</x:v>
      </x:c>
      <x:c r="K138" s="32" t="n">
        <x:v>51.52</x:v>
      </x:c>
      <x:c r="L138" s="32" t="n">
        <x:v>56</x:v>
      </x:c>
      <x:c r="M138" s="36" t="n">
        <x:v>0.8479</x:v>
      </x:c>
      <x:c r="N138" s="36" t="n">
        <x:v>0.9201</x:v>
      </x:c>
    </x:row>
    <x:row r="139">
      <x:c r="A139" s="34" t="n">
        <x:v>45446</x:v>
      </x:c>
      <x:c r="B139" s="28" t="str">
        <x:v>Grupo Industrial S.A.</x:v>
      </x:c>
      <x:c r="C139" s="28" t="str">
        <x:v>Planta Curitiba</x:v>
      </x:c>
      <x:c r="D139" s="28" t="str">
        <x:v>Linha 6 - Finalização</x:v>
      </x:c>
      <x:c r="E139" s="28" t="str">
        <x:v>SKU-432</x:v>
      </x:c>
      <x:c r="F139" s="28" t="str">
        <x:v>Alimentos</x:v>
      </x:c>
      <x:c r="G139" s="32" t="n">
        <x:v>3938</x:v>
      </x:c>
      <x:c r="H139" s="32" t="n">
        <x:v>3748</x:v>
      </x:c>
      <x:c r="I139" s="32" t="n">
        <x:v>120</x:v>
      </x:c>
      <x:c r="J139" s="32" t="n">
        <x:v>15.78</x:v>
      </x:c>
      <x:c r="K139" s="32" t="n">
        <x:v>43.53</x:v>
      </x:c>
      <x:c r="L139" s="32" t="n">
        <x:v>48</x:v>
      </x:c>
      <x:c r="M139" s="36" t="n">
        <x:v>0.8685</x:v>
      </x:c>
      <x:c r="N139" s="36" t="n">
        <x:v>0.9069</x:v>
      </x:c>
    </x:row>
    <x:row r="140">
      <x:c r="A140" s="34" t="n">
        <x:v>45453</x:v>
      </x:c>
      <x:c r="B140" s="28" t="str">
        <x:v>Grupo Industrial S.A.</x:v>
      </x:c>
      <x:c r="C140" s="28" t="str">
        <x:v>Planta São Paulo</x:v>
      </x:c>
      <x:c r="D140" s="28" t="str">
        <x:v>Linha 1 - Corte</x:v>
      </x:c>
      <x:c r="E140" s="28" t="str">
        <x:v>SKU-001</x:v>
      </x:c>
      <x:c r="F140" s="28" t="str">
        <x:v>Alimentos</x:v>
      </x:c>
      <x:c r="G140" s="32" t="n">
        <x:v>6066</x:v>
      </x:c>
      <x:c r="H140" s="32" t="n">
        <x:v>5765</x:v>
      </x:c>
      <x:c r="I140" s="32" t="n">
        <x:v>120</x:v>
      </x:c>
      <x:c r="J140" s="32" t="n">
        <x:v>16.93</x:v>
      </x:c>
      <x:c r="K140" s="32" t="n">
        <x:v>58.18</x:v>
      </x:c>
      <x:c r="L140" s="32" t="n">
        <x:v>62</x:v>
      </x:c>
      <x:c r="M140" s="36" t="n">
        <x:v>0.8589</x:v>
      </x:c>
      <x:c r="N140" s="36" t="n">
        <x:v>0.9383</x:v>
      </x:c>
    </x:row>
    <x:row r="141">
      <x:c r="A141" s="34" t="n">
        <x:v>45453</x:v>
      </x:c>
      <x:c r="B141" s="28" t="str">
        <x:v>Grupo Industrial S.A.</x:v>
      </x:c>
      <x:c r="C141" s="28" t="str">
        <x:v>Planta São Paulo</x:v>
      </x:c>
      <x:c r="D141" s="28" t="str">
        <x:v>Linha 2 - Montagem</x:v>
      </x:c>
      <x:c r="E141" s="28" t="str">
        <x:v>SKU-002</x:v>
      </x:c>
      <x:c r="F141" s="28" t="str">
        <x:v>Alimentos</x:v>
      </x:c>
      <x:c r="G141" s="32" t="n">
        <x:v>5802</x:v>
      </x:c>
      <x:c r="H141" s="32" t="n">
        <x:v>5357</x:v>
      </x:c>
      <x:c r="I141" s="32" t="n">
        <x:v>120</x:v>
      </x:c>
      <x:c r="J141" s="32" t="n">
        <x:v>14.86</x:v>
      </x:c>
      <x:c r="K141" s="32" t="n">
        <x:v>53.7</x:v>
      </x:c>
      <x:c r="L141" s="32" t="n">
        <x:v>58</x:v>
      </x:c>
      <x:c r="M141" s="36" t="n">
        <x:v>0.8762</x:v>
      </x:c>
      <x:c r="N141" s="36" t="n">
        <x:v>0.9258</x:v>
      </x:c>
    </x:row>
    <x:row r="142">
      <x:c r="A142" s="34" t="n">
        <x:v>45453</x:v>
      </x:c>
      <x:c r="B142" s="28" t="str">
        <x:v>Grupo Industrial S.A.</x:v>
      </x:c>
      <x:c r="C142" s="28" t="str">
        <x:v>Planta Campinas</x:v>
      </x:c>
      <x:c r="D142" s="28" t="str">
        <x:v>Linha 3 - Extrusão</x:v>
      </x:c>
      <x:c r="E142" s="28" t="str">
        <x:v>SKU-078</x:v>
      </x:c>
      <x:c r="F142" s="28" t="str">
        <x:v>Higiene e Limpeza</x:v>
      </x:c>
      <x:c r="G142" s="32" t="n">
        <x:v>4337</x:v>
      </x:c>
      <x:c r="H142" s="32" t="n">
        <x:v>4084</x:v>
      </x:c>
      <x:c r="I142" s="32" t="n">
        <x:v>120</x:v>
      </x:c>
      <x:c r="J142" s="32" t="n">
        <x:v>25.62</x:v>
      </x:c>
      <x:c r="K142" s="32" t="n">
        <x:v>45.21</x:v>
      </x:c>
      <x:c r="L142" s="32" t="n">
        <x:v>54</x:v>
      </x:c>
      <x:c r="M142" s="36" t="n">
        <x:v>0.7865</x:v>
      </x:c>
      <x:c r="N142" s="36" t="n">
        <x:v>0.8371</x:v>
      </x:c>
    </x:row>
    <x:row r="143">
      <x:c r="A143" s="34" t="n">
        <x:v>45453</x:v>
      </x:c>
      <x:c r="B143" s="28" t="str">
        <x:v>Grupo Industrial S.A.</x:v>
      </x:c>
      <x:c r="C143" s="28" t="str">
        <x:v>Planta Campinas</x:v>
      </x:c>
      <x:c r="D143" s="28" t="str">
        <x:v>Linha 4 - Embalagem</x:v>
      </x:c>
      <x:c r="E143" s="28" t="str">
        <x:v>SKU-105</x:v>
      </x:c>
      <x:c r="F143" s="28" t="str">
        <x:v>Embalagens</x:v>
      </x:c>
      <x:c r="G143" s="32" t="n">
        <x:v>3616</x:v>
      </x:c>
      <x:c r="H143" s="32" t="n">
        <x:v>3335</x:v>
      </x:c>
      <x:c r="I143" s="32" t="n">
        <x:v>120</x:v>
      </x:c>
      <x:c r="J143" s="32" t="n">
        <x:v>25.18</x:v>
      </x:c>
      <x:c r="K143" s="32" t="n">
        <x:v>43.68</x:v>
      </x:c>
      <x:c r="L143" s="32" t="n">
        <x:v>50</x:v>
      </x:c>
      <x:c r="M143" s="36" t="n">
        <x:v>0.7902</x:v>
      </x:c>
      <x:c r="N143" s="36" t="n">
        <x:v>0.8736</x:v>
      </x:c>
    </x:row>
    <x:row r="144">
      <x:c r="A144" s="34" t="n">
        <x:v>45453</x:v>
      </x:c>
      <x:c r="B144" s="28" t="str">
        <x:v>Grupo Industrial S.A.</x:v>
      </x:c>
      <x:c r="C144" s="28" t="str">
        <x:v>Planta Curitiba</x:v>
      </x:c>
      <x:c r="D144" s="28" t="str">
        <x:v>Linha 5 - Usinagem</x:v>
      </x:c>
      <x:c r="E144" s="28" t="str">
        <x:v>SKU-223</x:v>
      </x:c>
      <x:c r="F144" s="28" t="str">
        <x:v>Bebidas</x:v>
      </x:c>
      <x:c r="G144" s="32" t="n">
        <x:v>4417</x:v>
      </x:c>
      <x:c r="H144" s="32" t="n">
        <x:v>4176</x:v>
      </x:c>
      <x:c r="I144" s="32" t="n">
        <x:v>120</x:v>
      </x:c>
      <x:c r="J144" s="32" t="n">
        <x:v>16.04</x:v>
      </x:c>
      <x:c r="K144" s="32" t="n">
        <x:v>50.07</x:v>
      </x:c>
      <x:c r="L144" s="32" t="n">
        <x:v>56</x:v>
      </x:c>
      <x:c r="M144" s="36" t="n">
        <x:v>0.8663</x:v>
      </x:c>
      <x:c r="N144" s="36" t="n">
        <x:v>0.894</x:v>
      </x:c>
    </x:row>
    <x:row r="145">
      <x:c r="A145" s="34" t="n">
        <x:v>45453</x:v>
      </x:c>
      <x:c r="B145" s="28" t="str">
        <x:v>Grupo Industrial S.A.</x:v>
      </x:c>
      <x:c r="C145" s="28" t="str">
        <x:v>Planta Curitiba</x:v>
      </x:c>
      <x:c r="D145" s="28" t="str">
        <x:v>Linha 6 - Finalização</x:v>
      </x:c>
      <x:c r="E145" s="28" t="str">
        <x:v>SKU-432</x:v>
      </x:c>
      <x:c r="F145" s="28" t="str">
        <x:v>Alimentos</x:v>
      </x:c>
      <x:c r="G145" s="32" t="n">
        <x:v>3864</x:v>
      </x:c>
      <x:c r="H145" s="32" t="n">
        <x:v>3670</x:v>
      </x:c>
      <x:c r="I145" s="32" t="n">
        <x:v>120</x:v>
      </x:c>
      <x:c r="J145" s="32" t="n">
        <x:v>18.41</x:v>
      </x:c>
      <x:c r="K145" s="32" t="n">
        <x:v>42.4</x:v>
      </x:c>
      <x:c r="L145" s="32" t="n">
        <x:v>48</x:v>
      </x:c>
      <x:c r="M145" s="36" t="n">
        <x:v>0.8465</x:v>
      </x:c>
      <x:c r="N145" s="36" t="n">
        <x:v>0.8834</x:v>
      </x:c>
    </x:row>
    <x:row r="146">
      <x:c r="A146" s="34" t="n">
        <x:v>45460</x:v>
      </x:c>
      <x:c r="B146" s="28" t="str">
        <x:v>Grupo Industrial S.A.</x:v>
      </x:c>
      <x:c r="C146" s="28" t="str">
        <x:v>Planta São Paulo</x:v>
      </x:c>
      <x:c r="D146" s="28" t="str">
        <x:v>Linha 1 - Corte</x:v>
      </x:c>
      <x:c r="E146" s="28" t="str">
        <x:v>SKU-001</x:v>
      </x:c>
      <x:c r="F146" s="28" t="str">
        <x:v>Alimentos</x:v>
      </x:c>
      <x:c r="G146" s="32" t="n">
        <x:v>6149</x:v>
      </x:c>
      <x:c r="H146" s="32" t="n">
        <x:v>5623</x:v>
      </x:c>
      <x:c r="I146" s="32" t="n">
        <x:v>120</x:v>
      </x:c>
      <x:c r="J146" s="32" t="n">
        <x:v>16.05</x:v>
      </x:c>
      <x:c r="K146" s="32" t="n">
        <x:v>58.61</x:v>
      </x:c>
      <x:c r="L146" s="32" t="n">
        <x:v>62</x:v>
      </x:c>
      <x:c r="M146" s="36" t="n">
        <x:v>0.8662</x:v>
      </x:c>
      <x:c r="N146" s="36" t="n">
        <x:v>0.9453</x:v>
      </x:c>
    </x:row>
    <x:row r="147">
      <x:c r="A147" s="34" t="n">
        <x:v>45460</x:v>
      </x:c>
      <x:c r="B147" s="28" t="str">
        <x:v>Grupo Industrial S.A.</x:v>
      </x:c>
      <x:c r="C147" s="28" t="str">
        <x:v>Planta São Paulo</x:v>
      </x:c>
      <x:c r="D147" s="28" t="str">
        <x:v>Linha 2 - Montagem</x:v>
      </x:c>
      <x:c r="E147" s="28" t="str">
        <x:v>SKU-002</x:v>
      </x:c>
      <x:c r="F147" s="28" t="str">
        <x:v>Alimentos</x:v>
      </x:c>
      <x:c r="G147" s="32" t="n">
        <x:v>5699</x:v>
      </x:c>
      <x:c r="H147" s="32" t="n">
        <x:v>5268</x:v>
      </x:c>
      <x:c r="I147" s="32" t="n">
        <x:v>120</x:v>
      </x:c>
      <x:c r="J147" s="32" t="n">
        <x:v>13.46</x:v>
      </x:c>
      <x:c r="K147" s="32" t="n">
        <x:v>54.16</x:v>
      </x:c>
      <x:c r="L147" s="32" t="n">
        <x:v>58</x:v>
      </x:c>
      <x:c r="M147" s="36" t="n">
        <x:v>0.8878</x:v>
      </x:c>
      <x:c r="N147" s="36" t="n">
        <x:v>0.9338</x:v>
      </x:c>
    </x:row>
    <x:row r="148">
      <x:c r="A148" s="34" t="n">
        <x:v>45460</x:v>
      </x:c>
      <x:c r="B148" s="28" t="str">
        <x:v>Grupo Industrial S.A.</x:v>
      </x:c>
      <x:c r="C148" s="28" t="str">
        <x:v>Planta Campinas</x:v>
      </x:c>
      <x:c r="D148" s="28" t="str">
        <x:v>Linha 3 - Extrusão</x:v>
      </x:c>
      <x:c r="E148" s="28" t="str">
        <x:v>SKU-078</x:v>
      </x:c>
      <x:c r="F148" s="28" t="str">
        <x:v>Higiene e Limpeza</x:v>
      </x:c>
      <x:c r="G148" s="32" t="n">
        <x:v>4284</x:v>
      </x:c>
      <x:c r="H148" s="32" t="n">
        <x:v>3991</x:v>
      </x:c>
      <x:c r="I148" s="32" t="n">
        <x:v>120</x:v>
      </x:c>
      <x:c r="J148" s="32" t="n">
        <x:v>21.12</x:v>
      </x:c>
      <x:c r="K148" s="32" t="n">
        <x:v>47.14</x:v>
      </x:c>
      <x:c r="L148" s="32" t="n">
        <x:v>54</x:v>
      </x:c>
      <x:c r="M148" s="36" t="n">
        <x:v>0.824</x:v>
      </x:c>
      <x:c r="N148" s="36" t="n">
        <x:v>0.873</x:v>
      </x:c>
    </x:row>
    <x:row r="149">
      <x:c r="A149" s="34" t="n">
        <x:v>45460</x:v>
      </x:c>
      <x:c r="B149" s="28" t="str">
        <x:v>Grupo Industrial S.A.</x:v>
      </x:c>
      <x:c r="C149" s="28" t="str">
        <x:v>Planta Campinas</x:v>
      </x:c>
      <x:c r="D149" s="28" t="str">
        <x:v>Linha 4 - Embalagem</x:v>
      </x:c>
      <x:c r="E149" s="28" t="str">
        <x:v>SKU-105</x:v>
      </x:c>
      <x:c r="F149" s="28" t="str">
        <x:v>Embalagens</x:v>
      </x:c>
      <x:c r="G149" s="32" t="n">
        <x:v>4002</x:v>
      </x:c>
      <x:c r="H149" s="32" t="n">
        <x:v>3700</x:v>
      </x:c>
      <x:c r="I149" s="32" t="n">
        <x:v>120</x:v>
      </x:c>
      <x:c r="J149" s="32" t="n">
        <x:v>21.21</x:v>
      </x:c>
      <x:c r="K149" s="32" t="n">
        <x:v>41.59</x:v>
      </x:c>
      <x:c r="L149" s="32" t="n">
        <x:v>50</x:v>
      </x:c>
      <x:c r="M149" s="36" t="n">
        <x:v>0.8232</x:v>
      </x:c>
      <x:c r="N149" s="36" t="n">
        <x:v>0.8318</x:v>
      </x:c>
    </x:row>
    <x:row r="150">
      <x:c r="A150" s="34" t="n">
        <x:v>45460</x:v>
      </x:c>
      <x:c r="B150" s="28" t="str">
        <x:v>Grupo Industrial S.A.</x:v>
      </x:c>
      <x:c r="C150" s="28" t="str">
        <x:v>Planta Curitiba</x:v>
      </x:c>
      <x:c r="D150" s="28" t="str">
        <x:v>Linha 5 - Usinagem</x:v>
      </x:c>
      <x:c r="E150" s="28" t="str">
        <x:v>SKU-223</x:v>
      </x:c>
      <x:c r="F150" s="28" t="str">
        <x:v>Bebidas</x:v>
      </x:c>
      <x:c r="G150" s="32" t="n">
        <x:v>4617</x:v>
      </x:c>
      <x:c r="H150" s="32" t="n">
        <x:v>4433</x:v>
      </x:c>
      <x:c r="I150" s="32" t="n">
        <x:v>120</x:v>
      </x:c>
      <x:c r="J150" s="32" t="n">
        <x:v>18.89</x:v>
      </x:c>
      <x:c r="K150" s="32" t="n">
        <x:v>51.4</x:v>
      </x:c>
      <x:c r="L150" s="32" t="n">
        <x:v>56</x:v>
      </x:c>
      <x:c r="M150" s="36" t="n">
        <x:v>0.8426</x:v>
      </x:c>
      <x:c r="N150" s="36" t="n">
        <x:v>0.9178</x:v>
      </x:c>
    </x:row>
    <x:row r="151">
      <x:c r="A151" s="34" t="n">
        <x:v>45460</x:v>
      </x:c>
      <x:c r="B151" s="28" t="str">
        <x:v>Grupo Industrial S.A.</x:v>
      </x:c>
      <x:c r="C151" s="28" t="str">
        <x:v>Planta Curitiba</x:v>
      </x:c>
      <x:c r="D151" s="28" t="str">
        <x:v>Linha 6 - Finalização</x:v>
      </x:c>
      <x:c r="E151" s="28" t="str">
        <x:v>SKU-432</x:v>
      </x:c>
      <x:c r="F151" s="28" t="str">
        <x:v>Alimentos</x:v>
      </x:c>
      <x:c r="G151" s="32" t="n">
        <x:v>3916</x:v>
      </x:c>
      <x:c r="H151" s="32" t="n">
        <x:v>3762</x:v>
      </x:c>
      <x:c r="I151" s="32" t="n">
        <x:v>120</x:v>
      </x:c>
      <x:c r="J151" s="32" t="n">
        <x:v>15.85</x:v>
      </x:c>
      <x:c r="K151" s="32" t="n">
        <x:v>43.12</x:v>
      </x:c>
      <x:c r="L151" s="32" t="n">
        <x:v>48</x:v>
      </x:c>
      <x:c r="M151" s="36" t="n">
        <x:v>0.8679</x:v>
      </x:c>
      <x:c r="N151" s="36" t="n">
        <x:v>0.8983</x:v>
      </x:c>
    </x:row>
    <x:row r="152">
      <x:c r="A152" s="34" t="n">
        <x:v>45467</x:v>
      </x:c>
      <x:c r="B152" s="28" t="str">
        <x:v>Grupo Industrial S.A.</x:v>
      </x:c>
      <x:c r="C152" s="28" t="str">
        <x:v>Planta São Paulo</x:v>
      </x:c>
      <x:c r="D152" s="28" t="str">
        <x:v>Linha 1 - Corte</x:v>
      </x:c>
      <x:c r="E152" s="28" t="str">
        <x:v>SKU-001</x:v>
      </x:c>
      <x:c r="F152" s="28" t="str">
        <x:v>Alimentos</x:v>
      </x:c>
      <x:c r="G152" s="32" t="n">
        <x:v>6380</x:v>
      </x:c>
      <x:c r="H152" s="32" t="n">
        <x:v>5937</x:v>
      </x:c>
      <x:c r="I152" s="32" t="n">
        <x:v>120</x:v>
      </x:c>
      <x:c r="J152" s="32" t="n">
        <x:v>17.56</x:v>
      </x:c>
      <x:c r="K152" s="32" t="n">
        <x:v>58.92</x:v>
      </x:c>
      <x:c r="L152" s="32" t="n">
        <x:v>62</x:v>
      </x:c>
      <x:c r="M152" s="36" t="n">
        <x:v>0.8537</x:v>
      </x:c>
      <x:c r="N152" s="36" t="n">
        <x:v>0.9504</x:v>
      </x:c>
    </x:row>
    <x:row r="153">
      <x:c r="A153" s="34" t="n">
        <x:v>45467</x:v>
      </x:c>
      <x:c r="B153" s="28" t="str">
        <x:v>Grupo Industrial S.A.</x:v>
      </x:c>
      <x:c r="C153" s="28" t="str">
        <x:v>Planta São Paulo</x:v>
      </x:c>
      <x:c r="D153" s="28" t="str">
        <x:v>Linha 2 - Montagem</x:v>
      </x:c>
      <x:c r="E153" s="28" t="str">
        <x:v>SKU-002</x:v>
      </x:c>
      <x:c r="F153" s="28" t="str">
        <x:v>Alimentos</x:v>
      </x:c>
      <x:c r="G153" s="32" t="n">
        <x:v>5732</x:v>
      </x:c>
      <x:c r="H153" s="32" t="n">
        <x:v>5382</x:v>
      </x:c>
      <x:c r="I153" s="32" t="n">
        <x:v>120</x:v>
      </x:c>
      <x:c r="J153" s="32" t="n">
        <x:v>15.35</x:v>
      </x:c>
      <x:c r="K153" s="32" t="n">
        <x:v>51.43</x:v>
      </x:c>
      <x:c r="L153" s="32" t="n">
        <x:v>58</x:v>
      </x:c>
      <x:c r="M153" s="36" t="n">
        <x:v>0.8721</x:v>
      </x:c>
      <x:c r="N153" s="36" t="n">
        <x:v>0.8868</x:v>
      </x:c>
    </x:row>
    <x:row r="154">
      <x:c r="A154" s="34" t="n">
        <x:v>45467</x:v>
      </x:c>
      <x:c r="B154" s="28" t="str">
        <x:v>Grupo Industrial S.A.</x:v>
      </x:c>
      <x:c r="C154" s="28" t="str">
        <x:v>Planta Campinas</x:v>
      </x:c>
      <x:c r="D154" s="28" t="str">
        <x:v>Linha 3 - Extrusão</x:v>
      </x:c>
      <x:c r="E154" s="28" t="str">
        <x:v>SKU-078</x:v>
      </x:c>
      <x:c r="F154" s="28" t="str">
        <x:v>Higiene e Limpeza</x:v>
      </x:c>
      <x:c r="G154" s="32" t="n">
        <x:v>4120</x:v>
      </x:c>
      <x:c r="H154" s="32" t="n">
        <x:v>3904</x:v>
      </x:c>
      <x:c r="I154" s="32" t="n">
        <x:v>120</x:v>
      </x:c>
      <x:c r="J154" s="32" t="n">
        <x:v>21.75</x:v>
      </x:c>
      <x:c r="K154" s="32" t="n">
        <x:v>46.28</x:v>
      </x:c>
      <x:c r="L154" s="32" t="n">
        <x:v>54</x:v>
      </x:c>
      <x:c r="M154" s="36" t="n">
        <x:v>0.8188</x:v>
      </x:c>
      <x:c r="N154" s="36" t="n">
        <x:v>0.857</x:v>
      </x:c>
    </x:row>
    <x:row r="155">
      <x:c r="A155" s="34" t="n">
        <x:v>45467</x:v>
      </x:c>
      <x:c r="B155" s="28" t="str">
        <x:v>Grupo Industrial S.A.</x:v>
      </x:c>
      <x:c r="C155" s="28" t="str">
        <x:v>Planta Campinas</x:v>
      </x:c>
      <x:c r="D155" s="28" t="str">
        <x:v>Linha 4 - Embalagem</x:v>
      </x:c>
      <x:c r="E155" s="28" t="str">
        <x:v>SKU-105</x:v>
      </x:c>
      <x:c r="F155" s="28" t="str">
        <x:v>Embalagens</x:v>
      </x:c>
      <x:c r="G155" s="32" t="n">
        <x:v>3771</x:v>
      </x:c>
      <x:c r="H155" s="32" t="n">
        <x:v>3560</x:v>
      </x:c>
      <x:c r="I155" s="32" t="n">
        <x:v>120</x:v>
      </x:c>
      <x:c r="J155" s="32" t="n">
        <x:v>22.11</x:v>
      </x:c>
      <x:c r="K155" s="32" t="n">
        <x:v>43.37</x:v>
      </x:c>
      <x:c r="L155" s="32" t="n">
        <x:v>50</x:v>
      </x:c>
      <x:c r="M155" s="36" t="n">
        <x:v>0.8158</x:v>
      </x:c>
      <x:c r="N155" s="36" t="n">
        <x:v>0.8673</x:v>
      </x:c>
    </x:row>
    <x:row r="156">
      <x:c r="A156" s="34" t="n">
        <x:v>45467</x:v>
      </x:c>
      <x:c r="B156" s="28" t="str">
        <x:v>Grupo Industrial S.A.</x:v>
      </x:c>
      <x:c r="C156" s="28" t="str">
        <x:v>Planta Curitiba</x:v>
      </x:c>
      <x:c r="D156" s="28" t="str">
        <x:v>Linha 5 - Usinagem</x:v>
      </x:c>
      <x:c r="E156" s="28" t="str">
        <x:v>SKU-223</x:v>
      </x:c>
      <x:c r="F156" s="28" t="str">
        <x:v>Bebidas</x:v>
      </x:c>
      <x:c r="G156" s="32" t="n">
        <x:v>4818</x:v>
      </x:c>
      <x:c r="H156" s="32" t="n">
        <x:v>4489</x:v>
      </x:c>
      <x:c r="I156" s="32" t="n">
        <x:v>120</x:v>
      </x:c>
      <x:c r="J156" s="32" t="n">
        <x:v>16.21</x:v>
      </x:c>
      <x:c r="K156" s="32" t="n">
        <x:v>47.96</x:v>
      </x:c>
      <x:c r="L156" s="32" t="n">
        <x:v>56</x:v>
      </x:c>
      <x:c r="M156" s="36" t="n">
        <x:v>0.8649</x:v>
      </x:c>
      <x:c r="N156" s="36" t="n">
        <x:v>0.8565</x:v>
      </x:c>
    </x:row>
    <x:row r="157">
      <x:c r="A157" s="34" t="n">
        <x:v>45467</x:v>
      </x:c>
      <x:c r="B157" s="28" t="str">
        <x:v>Grupo Industrial S.A.</x:v>
      </x:c>
      <x:c r="C157" s="28" t="str">
        <x:v>Planta Curitiba</x:v>
      </x:c>
      <x:c r="D157" s="28" t="str">
        <x:v>Linha 6 - Finalização</x:v>
      </x:c>
      <x:c r="E157" s="28" t="str">
        <x:v>SKU-432</x:v>
      </x:c>
      <x:c r="F157" s="28" t="str">
        <x:v>Alimentos</x:v>
      </x:c>
      <x:c r="G157" s="32" t="n">
        <x:v>4007</x:v>
      </x:c>
      <x:c r="H157" s="32" t="n">
        <x:v>3771</x:v>
      </x:c>
      <x:c r="I157" s="32" t="n">
        <x:v>120</x:v>
      </x:c>
      <x:c r="J157" s="32" t="n">
        <x:v>20.47</x:v>
      </x:c>
      <x:c r="K157" s="32" t="n">
        <x:v>42.14</x:v>
      </x:c>
      <x:c r="L157" s="32" t="n">
        <x:v>48</x:v>
      </x:c>
      <x:c r="M157" s="36" t="n">
        <x:v>0.8295</x:v>
      </x:c>
      <x:c r="N157" s="36" t="n">
        <x:v>0.8779</x:v>
      </x:c>
    </x:row>
    <x:row r="158">
      <x:c r="A158" s="34" t="n">
        <x:v>45474</x:v>
      </x:c>
      <x:c r="B158" s="28" t="str">
        <x:v>Grupo Industrial S.A.</x:v>
      </x:c>
      <x:c r="C158" s="28" t="str">
        <x:v>Planta São Paulo</x:v>
      </x:c>
      <x:c r="D158" s="28" t="str">
        <x:v>Linha 1 - Corte</x:v>
      </x:c>
      <x:c r="E158" s="28" t="str">
        <x:v>SKU-001</x:v>
      </x:c>
      <x:c r="F158" s="28" t="str">
        <x:v>Alimentos</x:v>
      </x:c>
      <x:c r="G158" s="32" t="n">
        <x:v>6090</x:v>
      </x:c>
      <x:c r="H158" s="32" t="n">
        <x:v>5765</x:v>
      </x:c>
      <x:c r="I158" s="32" t="n">
        <x:v>120</x:v>
      </x:c>
      <x:c r="J158" s="32" t="n">
        <x:v>16.27</x:v>
      </x:c>
      <x:c r="K158" s="32" t="n">
        <x:v>58.21</x:v>
      </x:c>
      <x:c r="L158" s="32" t="n">
        <x:v>62</x:v>
      </x:c>
      <x:c r="M158" s="36" t="n">
        <x:v>0.8644</x:v>
      </x:c>
      <x:c r="N158" s="36" t="n">
        <x:v>0.9388</x:v>
      </x:c>
    </x:row>
    <x:row r="159">
      <x:c r="A159" s="34" t="n">
        <x:v>45474</x:v>
      </x:c>
      <x:c r="B159" s="28" t="str">
        <x:v>Grupo Industrial S.A.</x:v>
      </x:c>
      <x:c r="C159" s="28" t="str">
        <x:v>Planta São Paulo</x:v>
      </x:c>
      <x:c r="D159" s="28" t="str">
        <x:v>Linha 2 - Montagem</x:v>
      </x:c>
      <x:c r="E159" s="28" t="str">
        <x:v>SKU-002</x:v>
      </x:c>
      <x:c r="F159" s="28" t="str">
        <x:v>Alimentos</x:v>
      </x:c>
      <x:c r="G159" s="32" t="n">
        <x:v>5282</x:v>
      </x:c>
      <x:c r="H159" s="32" t="n">
        <x:v>5095</x:v>
      </x:c>
      <x:c r="I159" s="32" t="n">
        <x:v>120</x:v>
      </x:c>
      <x:c r="J159" s="32" t="n">
        <x:v>12.43</x:v>
      </x:c>
      <x:c r="K159" s="32" t="n">
        <x:v>53.85</x:v>
      </x:c>
      <x:c r="L159" s="32" t="n">
        <x:v>58</x:v>
      </x:c>
      <x:c r="M159" s="36" t="n">
        <x:v>0.8964</x:v>
      </x:c>
      <x:c r="N159" s="36" t="n">
        <x:v>0.9284</x:v>
      </x:c>
    </x:row>
    <x:row r="160">
      <x:c r="A160" s="34" t="n">
        <x:v>45474</x:v>
      </x:c>
      <x:c r="B160" s="28" t="str">
        <x:v>Grupo Industrial S.A.</x:v>
      </x:c>
      <x:c r="C160" s="28" t="str">
        <x:v>Planta Campinas</x:v>
      </x:c>
      <x:c r="D160" s="28" t="str">
        <x:v>Linha 3 - Extrusão</x:v>
      </x:c>
      <x:c r="E160" s="28" t="str">
        <x:v>SKU-078</x:v>
      </x:c>
      <x:c r="F160" s="28" t="str">
        <x:v>Higiene e Limpeza</x:v>
      </x:c>
      <x:c r="G160" s="32" t="n">
        <x:v>4320</x:v>
      </x:c>
      <x:c r="H160" s="32" t="n">
        <x:v>3980</x:v>
      </x:c>
      <x:c r="I160" s="32" t="n">
        <x:v>120</x:v>
      </x:c>
      <x:c r="J160" s="32" t="n">
        <x:v>20.75</x:v>
      </x:c>
      <x:c r="K160" s="32" t="n">
        <x:v>47.42</x:v>
      </x:c>
      <x:c r="L160" s="32" t="n">
        <x:v>54</x:v>
      </x:c>
      <x:c r="M160" s="36" t="n">
        <x:v>0.8271</x:v>
      </x:c>
      <x:c r="N160" s="36" t="n">
        <x:v>0.8781</x:v>
      </x:c>
    </x:row>
    <x:row r="161">
      <x:c r="A161" s="34" t="n">
        <x:v>45474</x:v>
      </x:c>
      <x:c r="B161" s="28" t="str">
        <x:v>Grupo Industrial S.A.</x:v>
      </x:c>
      <x:c r="C161" s="28" t="str">
        <x:v>Planta Campinas</x:v>
      </x:c>
      <x:c r="D161" s="28" t="str">
        <x:v>Linha 4 - Embalagem</x:v>
      </x:c>
      <x:c r="E161" s="28" t="str">
        <x:v>SKU-105</x:v>
      </x:c>
      <x:c r="F161" s="28" t="str">
        <x:v>Embalagens</x:v>
      </x:c>
      <x:c r="G161" s="32" t="n">
        <x:v>3646</x:v>
      </x:c>
      <x:c r="H161" s="32" t="n">
        <x:v>3317</x:v>
      </x:c>
      <x:c r="I161" s="32" t="n">
        <x:v>120</x:v>
      </x:c>
      <x:c r="J161" s="32" t="n">
        <x:v>20.79</x:v>
      </x:c>
      <x:c r="K161" s="32" t="n">
        <x:v>41.02</x:v>
      </x:c>
      <x:c r="L161" s="32" t="n">
        <x:v>50</x:v>
      </x:c>
      <x:c r="M161" s="36" t="n">
        <x:v>0.8268</x:v>
      </x:c>
      <x:c r="N161" s="36" t="n">
        <x:v>0.8205</x:v>
      </x:c>
    </x:row>
    <x:row r="162">
      <x:c r="A162" s="34" t="n">
        <x:v>45474</x:v>
      </x:c>
      <x:c r="B162" s="28" t="str">
        <x:v>Grupo Industrial S.A.</x:v>
      </x:c>
      <x:c r="C162" s="28" t="str">
        <x:v>Planta Curitiba</x:v>
      </x:c>
      <x:c r="D162" s="28" t="str">
        <x:v>Linha 5 - Usinagem</x:v>
      </x:c>
      <x:c r="E162" s="28" t="str">
        <x:v>SKU-223</x:v>
      </x:c>
      <x:c r="F162" s="28" t="str">
        <x:v>Bebidas</x:v>
      </x:c>
      <x:c r="G162" s="32" t="n">
        <x:v>4247</x:v>
      </x:c>
      <x:c r="H162" s="32" t="n">
        <x:v>3866</x:v>
      </x:c>
      <x:c r="I162" s="32" t="n">
        <x:v>120</x:v>
      </x:c>
      <x:c r="J162" s="32" t="n">
        <x:v>17.69</x:v>
      </x:c>
      <x:c r="K162" s="32" t="n">
        <x:v>49.58</x:v>
      </x:c>
      <x:c r="L162" s="32" t="n">
        <x:v>56</x:v>
      </x:c>
      <x:c r="M162" s="36" t="n">
        <x:v>0.8526</x:v>
      </x:c>
      <x:c r="N162" s="36" t="n">
        <x:v>0.8853</x:v>
      </x:c>
    </x:row>
    <x:row r="163">
      <x:c r="A163" s="34" t="n">
        <x:v>45474</x:v>
      </x:c>
      <x:c r="B163" s="28" t="str">
        <x:v>Grupo Industrial S.A.</x:v>
      </x:c>
      <x:c r="C163" s="28" t="str">
        <x:v>Planta Curitiba</x:v>
      </x:c>
      <x:c r="D163" s="28" t="str">
        <x:v>Linha 6 - Finalização</x:v>
      </x:c>
      <x:c r="E163" s="28" t="str">
        <x:v>SKU-432</x:v>
      </x:c>
      <x:c r="F163" s="28" t="str">
        <x:v>Alimentos</x:v>
      </x:c>
      <x:c r="G163" s="32" t="n">
        <x:v>3806</x:v>
      </x:c>
      <x:c r="H163" s="32" t="n">
        <x:v>3585</x:v>
      </x:c>
      <x:c r="I163" s="32" t="n">
        <x:v>120</x:v>
      </x:c>
      <x:c r="J163" s="32" t="n">
        <x:v>18.97</x:v>
      </x:c>
      <x:c r="K163" s="32" t="n">
        <x:v>43.71</x:v>
      </x:c>
      <x:c r="L163" s="32" t="n">
        <x:v>48</x:v>
      </x:c>
      <x:c r="M163" s="36" t="n">
        <x:v>0.8419</x:v>
      </x:c>
      <x:c r="N163" s="36" t="n">
        <x:v>0.9106</x:v>
      </x:c>
    </x:row>
    <x:row r="164">
      <x:c r="A164" s="34" t="n">
        <x:v>45481</x:v>
      </x:c>
      <x:c r="B164" s="28" t="str">
        <x:v>Grupo Industrial S.A.</x:v>
      </x:c>
      <x:c r="C164" s="28" t="str">
        <x:v>Planta São Paulo</x:v>
      </x:c>
      <x:c r="D164" s="28" t="str">
        <x:v>Linha 1 - Corte</x:v>
      </x:c>
      <x:c r="E164" s="28" t="str">
        <x:v>SKU-001</x:v>
      </x:c>
      <x:c r="F164" s="28" t="str">
        <x:v>Alimentos</x:v>
      </x:c>
      <x:c r="G164" s="32" t="n">
        <x:v>6398</x:v>
      </x:c>
      <x:c r="H164" s="32" t="n">
        <x:v>5973</x:v>
      </x:c>
      <x:c r="I164" s="32" t="n">
        <x:v>120</x:v>
      </x:c>
      <x:c r="J164" s="32" t="n">
        <x:v>16.6</x:v>
      </x:c>
      <x:c r="K164" s="32" t="n">
        <x:v>58.84</x:v>
      </x:c>
      <x:c r="L164" s="32" t="n">
        <x:v>62</x:v>
      </x:c>
      <x:c r="M164" s="36" t="n">
        <x:v>0.8616</x:v>
      </x:c>
      <x:c r="N164" s="36" t="n">
        <x:v>0.9491</x:v>
      </x:c>
    </x:row>
    <x:row r="165">
      <x:c r="A165" s="34" t="n">
        <x:v>45481</x:v>
      </x:c>
      <x:c r="B165" s="28" t="str">
        <x:v>Grupo Industrial S.A.</x:v>
      </x:c>
      <x:c r="C165" s="28" t="str">
        <x:v>Planta São Paulo</x:v>
      </x:c>
      <x:c r="D165" s="28" t="str">
        <x:v>Linha 2 - Montagem</x:v>
      </x:c>
      <x:c r="E165" s="28" t="str">
        <x:v>SKU-002</x:v>
      </x:c>
      <x:c r="F165" s="28" t="str">
        <x:v>Alimentos</x:v>
      </x:c>
      <x:c r="G165" s="32" t="n">
        <x:v>5249</x:v>
      </x:c>
      <x:c r="H165" s="32" t="n">
        <x:v>4904</x:v>
      </x:c>
      <x:c r="I165" s="32" t="n">
        <x:v>120</x:v>
      </x:c>
      <x:c r="J165" s="32" t="n">
        <x:v>17.03</x:v>
      </x:c>
      <x:c r="K165" s="32" t="n">
        <x:v>52.45</x:v>
      </x:c>
      <x:c r="L165" s="32" t="n">
        <x:v>58</x:v>
      </x:c>
      <x:c r="M165" s="36" t="n">
        <x:v>0.8581</x:v>
      </x:c>
      <x:c r="N165" s="36" t="n">
        <x:v>0.9043</x:v>
      </x:c>
    </x:row>
    <x:row r="166">
      <x:c r="A166" s="34" t="n">
        <x:v>45481</x:v>
      </x:c>
      <x:c r="B166" s="28" t="str">
        <x:v>Grupo Industrial S.A.</x:v>
      </x:c>
      <x:c r="C166" s="28" t="str">
        <x:v>Planta Campinas</x:v>
      </x:c>
      <x:c r="D166" s="28" t="str">
        <x:v>Linha 3 - Extrusão</x:v>
      </x:c>
      <x:c r="E166" s="28" t="str">
        <x:v>SKU-078</x:v>
      </x:c>
      <x:c r="F166" s="28" t="str">
        <x:v>Higiene e Limpeza</x:v>
      </x:c>
      <x:c r="G166" s="32" t="n">
        <x:v>4020</x:v>
      </x:c>
      <x:c r="H166" s="32" t="n">
        <x:v>3789</x:v>
      </x:c>
      <x:c r="I166" s="32" t="n">
        <x:v>120</x:v>
      </x:c>
      <x:c r="J166" s="32" t="n">
        <x:v>24.41</x:v>
      </x:c>
      <x:c r="K166" s="32" t="n">
        <x:v>44.69</x:v>
      </x:c>
      <x:c r="L166" s="32" t="n">
        <x:v>54</x:v>
      </x:c>
      <x:c r="M166" s="36" t="n">
        <x:v>0.7966</x:v>
      </x:c>
      <x:c r="N166" s="36" t="n">
        <x:v>0.8276</x:v>
      </x:c>
    </x:row>
    <x:row r="167">
      <x:c r="A167" s="34" t="n">
        <x:v>45481</x:v>
      </x:c>
      <x:c r="B167" s="28" t="str">
        <x:v>Grupo Industrial S.A.</x:v>
      </x:c>
      <x:c r="C167" s="28" t="str">
        <x:v>Planta Campinas</x:v>
      </x:c>
      <x:c r="D167" s="28" t="str">
        <x:v>Linha 4 - Embalagem</x:v>
      </x:c>
      <x:c r="E167" s="28" t="str">
        <x:v>SKU-105</x:v>
      </x:c>
      <x:c r="F167" s="28" t="str">
        <x:v>Embalagens</x:v>
      </x:c>
      <x:c r="G167" s="32" t="n">
        <x:v>3636</x:v>
      </x:c>
      <x:c r="H167" s="32" t="n">
        <x:v>3434</x:v>
      </x:c>
      <x:c r="I167" s="32" t="n">
        <x:v>120</x:v>
      </x:c>
      <x:c r="J167" s="32" t="n">
        <x:v>20.83</x:v>
      </x:c>
      <x:c r="K167" s="32" t="n">
        <x:v>44.15</x:v>
      </x:c>
      <x:c r="L167" s="32" t="n">
        <x:v>50</x:v>
      </x:c>
      <x:c r="M167" s="36" t="n">
        <x:v>0.8264</x:v>
      </x:c>
      <x:c r="N167" s="36" t="n">
        <x:v>0.883</x:v>
      </x:c>
    </x:row>
    <x:row r="168">
      <x:c r="A168" s="34" t="n">
        <x:v>45481</x:v>
      </x:c>
      <x:c r="B168" s="28" t="str">
        <x:v>Grupo Industrial S.A.</x:v>
      </x:c>
      <x:c r="C168" s="28" t="str">
        <x:v>Planta Curitiba</x:v>
      </x:c>
      <x:c r="D168" s="28" t="str">
        <x:v>Linha 5 - Usinagem</x:v>
      </x:c>
      <x:c r="E168" s="28" t="str">
        <x:v>SKU-223</x:v>
      </x:c>
      <x:c r="F168" s="28" t="str">
        <x:v>Bebidas</x:v>
      </x:c>
      <x:c r="G168" s="32" t="n">
        <x:v>4421</x:v>
      </x:c>
      <x:c r="H168" s="32" t="n">
        <x:v>4120</x:v>
      </x:c>
      <x:c r="I168" s="32" t="n">
        <x:v>120</x:v>
      </x:c>
      <x:c r="J168" s="32" t="n">
        <x:v>16.74</x:v>
      </x:c>
      <x:c r="K168" s="32" t="n">
        <x:v>50.98</x:v>
      </x:c>
      <x:c r="L168" s="32" t="n">
        <x:v>56</x:v>
      </x:c>
      <x:c r="M168" s="36" t="n">
        <x:v>0.8605</x:v>
      </x:c>
      <x:c r="N168" s="36" t="n">
        <x:v>0.9104</x:v>
      </x:c>
    </x:row>
    <x:row r="169">
      <x:c r="A169" s="34" t="n">
        <x:v>45481</x:v>
      </x:c>
      <x:c r="B169" s="28" t="str">
        <x:v>Grupo Industrial S.A.</x:v>
      </x:c>
      <x:c r="C169" s="28" t="str">
        <x:v>Planta Curitiba</x:v>
      </x:c>
      <x:c r="D169" s="28" t="str">
        <x:v>Linha 6 - Finalização</x:v>
      </x:c>
      <x:c r="E169" s="28" t="str">
        <x:v>SKU-432</x:v>
      </x:c>
      <x:c r="F169" s="28" t="str">
        <x:v>Alimentos</x:v>
      </x:c>
      <x:c r="G169" s="32" t="n">
        <x:v>4080</x:v>
      </x:c>
      <x:c r="H169" s="32" t="n">
        <x:v>3703</x:v>
      </x:c>
      <x:c r="I169" s="32" t="n">
        <x:v>120</x:v>
      </x:c>
      <x:c r="J169" s="32" t="n">
        <x:v>19.24</x:v>
      </x:c>
      <x:c r="K169" s="32" t="n">
        <x:v>43.84</x:v>
      </x:c>
      <x:c r="L169" s="32" t="n">
        <x:v>48</x:v>
      </x:c>
      <x:c r="M169" s="36" t="n">
        <x:v>0.8397</x:v>
      </x:c>
      <x:c r="N169" s="36" t="n">
        <x:v>0.9133</x:v>
      </x:c>
    </x:row>
    <x:row r="170">
      <x:c r="A170" s="34" t="n">
        <x:v>45488</x:v>
      </x:c>
      <x:c r="B170" s="28" t="str">
        <x:v>Grupo Industrial S.A.</x:v>
      </x:c>
      <x:c r="C170" s="28" t="str">
        <x:v>Planta São Paulo</x:v>
      </x:c>
      <x:c r="D170" s="28" t="str">
        <x:v>Linha 1 - Corte</x:v>
      </x:c>
      <x:c r="E170" s="28" t="str">
        <x:v>SKU-001</x:v>
      </x:c>
      <x:c r="F170" s="28" t="str">
        <x:v>Alimentos</x:v>
      </x:c>
      <x:c r="G170" s="32" t="n">
        <x:v>6185</x:v>
      </x:c>
      <x:c r="H170" s="32" t="n">
        <x:v>5959</x:v>
      </x:c>
      <x:c r="I170" s="32" t="n">
        <x:v>120</x:v>
      </x:c>
      <x:c r="J170" s="32" t="n">
        <x:v>16.75</x:v>
      </x:c>
      <x:c r="K170" s="32" t="n">
        <x:v>59.14</x:v>
      </x:c>
      <x:c r="L170" s="32" t="n">
        <x:v>62</x:v>
      </x:c>
      <x:c r="M170" s="36" t="n">
        <x:v>0.8604</x:v>
      </x:c>
      <x:c r="N170" s="36" t="n">
        <x:v>0.9539</x:v>
      </x:c>
    </x:row>
    <x:row r="171">
      <x:c r="A171" s="34" t="n">
        <x:v>45488</x:v>
      </x:c>
      <x:c r="B171" s="28" t="str">
        <x:v>Grupo Industrial S.A.</x:v>
      </x:c>
      <x:c r="C171" s="28" t="str">
        <x:v>Planta São Paulo</x:v>
      </x:c>
      <x:c r="D171" s="28" t="str">
        <x:v>Linha 2 - Montagem</x:v>
      </x:c>
      <x:c r="E171" s="28" t="str">
        <x:v>SKU-002</x:v>
      </x:c>
      <x:c r="F171" s="28" t="str">
        <x:v>Alimentos</x:v>
      </x:c>
      <x:c r="G171" s="32" t="n">
        <x:v>5152</x:v>
      </x:c>
      <x:c r="H171" s="32" t="n">
        <x:v>4971</x:v>
      </x:c>
      <x:c r="I171" s="32" t="n">
        <x:v>120</x:v>
      </x:c>
      <x:c r="J171" s="32" t="n">
        <x:v>12.11</x:v>
      </x:c>
      <x:c r="K171" s="32" t="n">
        <x:v>54.87</x:v>
      </x:c>
      <x:c r="L171" s="32" t="n">
        <x:v>58</x:v>
      </x:c>
      <x:c r="M171" s="36" t="n">
        <x:v>0.8991</x:v>
      </x:c>
      <x:c r="N171" s="36" t="n">
        <x:v>0.9461</x:v>
      </x:c>
    </x:row>
    <x:row r="172">
      <x:c r="A172" s="34" t="n">
        <x:v>45488</x:v>
      </x:c>
      <x:c r="B172" s="28" t="str">
        <x:v>Grupo Industrial S.A.</x:v>
      </x:c>
      <x:c r="C172" s="28" t="str">
        <x:v>Planta Campinas</x:v>
      </x:c>
      <x:c r="D172" s="28" t="str">
        <x:v>Linha 3 - Extrusão</x:v>
      </x:c>
      <x:c r="E172" s="28" t="str">
        <x:v>SKU-078</x:v>
      </x:c>
      <x:c r="F172" s="28" t="str">
        <x:v>Higiene e Limpeza</x:v>
      </x:c>
      <x:c r="G172" s="32" t="n">
        <x:v>4116</x:v>
      </x:c>
      <x:c r="H172" s="32" t="n">
        <x:v>3798</x:v>
      </x:c>
      <x:c r="I172" s="32" t="n">
        <x:v>120</x:v>
      </x:c>
      <x:c r="J172" s="32" t="n">
        <x:v>21.25</x:v>
      </x:c>
      <x:c r="K172" s="32" t="n">
        <x:v>47.69</x:v>
      </x:c>
      <x:c r="L172" s="32" t="n">
        <x:v>54</x:v>
      </x:c>
      <x:c r="M172" s="36" t="n">
        <x:v>0.8229</x:v>
      </x:c>
      <x:c r="N172" s="36" t="n">
        <x:v>0.8831</x:v>
      </x:c>
    </x:row>
    <x:row r="173">
      <x:c r="A173" s="34" t="n">
        <x:v>45488</x:v>
      </x:c>
      <x:c r="B173" s="28" t="str">
        <x:v>Grupo Industrial S.A.</x:v>
      </x:c>
      <x:c r="C173" s="28" t="str">
        <x:v>Planta Campinas</x:v>
      </x:c>
      <x:c r="D173" s="28" t="str">
        <x:v>Linha 4 - Embalagem</x:v>
      </x:c>
      <x:c r="E173" s="28" t="str">
        <x:v>SKU-105</x:v>
      </x:c>
      <x:c r="F173" s="28" t="str">
        <x:v>Embalagens</x:v>
      </x:c>
      <x:c r="G173" s="32" t="n">
        <x:v>3732</x:v>
      </x:c>
      <x:c r="H173" s="32" t="n">
        <x:v>3458</x:v>
      </x:c>
      <x:c r="I173" s="32" t="n">
        <x:v>120</x:v>
      </x:c>
      <x:c r="J173" s="32" t="n">
        <x:v>21.59</x:v>
      </x:c>
      <x:c r="K173" s="32" t="n">
        <x:v>42.94</x:v>
      </x:c>
      <x:c r="L173" s="32" t="n">
        <x:v>50</x:v>
      </x:c>
      <x:c r="M173" s="36" t="n">
        <x:v>0.8201</x:v>
      </x:c>
      <x:c r="N173" s="36" t="n">
        <x:v>0.8589</x:v>
      </x:c>
    </x:row>
    <x:row r="174">
      <x:c r="A174" s="34" t="n">
        <x:v>45488</x:v>
      </x:c>
      <x:c r="B174" s="28" t="str">
        <x:v>Grupo Industrial S.A.</x:v>
      </x:c>
      <x:c r="C174" s="28" t="str">
        <x:v>Planta Curitiba</x:v>
      </x:c>
      <x:c r="D174" s="28" t="str">
        <x:v>Linha 5 - Usinagem</x:v>
      </x:c>
      <x:c r="E174" s="28" t="str">
        <x:v>SKU-223</x:v>
      </x:c>
      <x:c r="F174" s="28" t="str">
        <x:v>Bebidas</x:v>
      </x:c>
      <x:c r="G174" s="32" t="n">
        <x:v>4334</x:v>
      </x:c>
      <x:c r="H174" s="32" t="n">
        <x:v>4131</x:v>
      </x:c>
      <x:c r="I174" s="32" t="n">
        <x:v>120</x:v>
      </x:c>
      <x:c r="J174" s="32" t="n">
        <x:v>18.19</x:v>
      </x:c>
      <x:c r="K174" s="32" t="n">
        <x:v>48.48</x:v>
      </x:c>
      <x:c r="L174" s="32" t="n">
        <x:v>56</x:v>
      </x:c>
      <x:c r="M174" s="36" t="n">
        <x:v>0.8484</x:v>
      </x:c>
      <x:c r="N174" s="36" t="n">
        <x:v>0.8658</x:v>
      </x:c>
    </x:row>
    <x:row r="175">
      <x:c r="A175" s="34" t="n">
        <x:v>45488</x:v>
      </x:c>
      <x:c r="B175" s="28" t="str">
        <x:v>Grupo Industrial S.A.</x:v>
      </x:c>
      <x:c r="C175" s="28" t="str">
        <x:v>Planta Curitiba</x:v>
      </x:c>
      <x:c r="D175" s="28" t="str">
        <x:v>Linha 6 - Finalização</x:v>
      </x:c>
      <x:c r="E175" s="28" t="str">
        <x:v>SKU-432</x:v>
      </x:c>
      <x:c r="F175" s="28" t="str">
        <x:v>Alimentos</x:v>
      </x:c>
      <x:c r="G175" s="32" t="n">
        <x:v>3828</x:v>
      </x:c>
      <x:c r="H175" s="32" t="n">
        <x:v>3571</x:v>
      </x:c>
      <x:c r="I175" s="32" t="n">
        <x:v>120</x:v>
      </x:c>
      <x:c r="J175" s="32" t="n">
        <x:v>21.06</x:v>
      </x:c>
      <x:c r="K175" s="32" t="n">
        <x:v>41.78</x:v>
      </x:c>
      <x:c r="L175" s="32" t="n">
        <x:v>48</x:v>
      </x:c>
      <x:c r="M175" s="36" t="n">
        <x:v>0.8245</x:v>
      </x:c>
      <x:c r="N175" s="36" t="n">
        <x:v>0.8705</x:v>
      </x:c>
    </x:row>
    <x:row r="176">
      <x:c r="A176" s="34" t="n">
        <x:v>45495</x:v>
      </x:c>
      <x:c r="B176" s="28" t="str">
        <x:v>Grupo Industrial S.A.</x:v>
      </x:c>
      <x:c r="C176" s="28" t="str">
        <x:v>Planta São Paulo</x:v>
      </x:c>
      <x:c r="D176" s="28" t="str">
        <x:v>Linha 1 - Corte</x:v>
      </x:c>
      <x:c r="E176" s="28" t="str">
        <x:v>SKU-001</x:v>
      </x:c>
      <x:c r="F176" s="28" t="str">
        <x:v>Alimentos</x:v>
      </x:c>
      <x:c r="G176" s="32" t="n">
        <x:v>5705</x:v>
      </x:c>
      <x:c r="H176" s="32" t="n">
        <x:v>5379</x:v>
      </x:c>
      <x:c r="I176" s="32" t="n">
        <x:v>120</x:v>
      </x:c>
      <x:c r="J176" s="32" t="n">
        <x:v>12.3</x:v>
      </x:c>
      <x:c r="K176" s="32" t="n">
        <x:v>56.76</x:v>
      </x:c>
      <x:c r="L176" s="32" t="n">
        <x:v>62</x:v>
      </x:c>
      <x:c r="M176" s="36" t="n">
        <x:v>0.8975</x:v>
      </x:c>
      <x:c r="N176" s="36" t="n">
        <x:v>0.9154</x:v>
      </x:c>
    </x:row>
    <x:row r="177">
      <x:c r="A177" s="34" t="n">
        <x:v>45495</x:v>
      </x:c>
      <x:c r="B177" s="28" t="str">
        <x:v>Grupo Industrial S.A.</x:v>
      </x:c>
      <x:c r="C177" s="28" t="str">
        <x:v>Planta São Paulo</x:v>
      </x:c>
      <x:c r="D177" s="28" t="str">
        <x:v>Linha 2 - Montagem</x:v>
      </x:c>
      <x:c r="E177" s="28" t="str">
        <x:v>SKU-002</x:v>
      </x:c>
      <x:c r="F177" s="28" t="str">
        <x:v>Alimentos</x:v>
      </x:c>
      <x:c r="G177" s="32" t="n">
        <x:v>5311</x:v>
      </x:c>
      <x:c r="H177" s="32" t="n">
        <x:v>4902</x:v>
      </x:c>
      <x:c r="I177" s="32" t="n">
        <x:v>120</x:v>
      </x:c>
      <x:c r="J177" s="32" t="n">
        <x:v>16.31</x:v>
      </x:c>
      <x:c r="K177" s="32" t="n">
        <x:v>54.84</x:v>
      </x:c>
      <x:c r="L177" s="32" t="n">
        <x:v>58</x:v>
      </x:c>
      <x:c r="M177" s="36" t="n">
        <x:v>0.8641</x:v>
      </x:c>
      <x:c r="N177" s="36" t="n">
        <x:v>0.9455</x:v>
      </x:c>
    </x:row>
    <x:row r="178">
      <x:c r="A178" s="34" t="n">
        <x:v>45495</x:v>
      </x:c>
      <x:c r="B178" s="28" t="str">
        <x:v>Grupo Industrial S.A.</x:v>
      </x:c>
      <x:c r="C178" s="28" t="str">
        <x:v>Planta Campinas</x:v>
      </x:c>
      <x:c r="D178" s="28" t="str">
        <x:v>Linha 3 - Extrusão</x:v>
      </x:c>
      <x:c r="E178" s="28" t="str">
        <x:v>SKU-078</x:v>
      </x:c>
      <x:c r="F178" s="28" t="str">
        <x:v>Higiene e Limpeza</x:v>
      </x:c>
      <x:c r="G178" s="32" t="n">
        <x:v>4349</x:v>
      </x:c>
      <x:c r="H178" s="32" t="n">
        <x:v>4138</x:v>
      </x:c>
      <x:c r="I178" s="32" t="n">
        <x:v>120</x:v>
      </x:c>
      <x:c r="J178" s="32" t="n">
        <x:v>22.77</x:v>
      </x:c>
      <x:c r="K178" s="32" t="n">
        <x:v>44.68</x:v>
      </x:c>
      <x:c r="L178" s="32" t="n">
        <x:v>54</x:v>
      </x:c>
      <x:c r="M178" s="36" t="n">
        <x:v>0.8102</x:v>
      </x:c>
      <x:c r="N178" s="36" t="n">
        <x:v>0.8274</x:v>
      </x:c>
    </x:row>
    <x:row r="179">
      <x:c r="A179" s="34" t="n">
        <x:v>45495</x:v>
      </x:c>
      <x:c r="B179" s="28" t="str">
        <x:v>Grupo Industrial S.A.</x:v>
      </x:c>
      <x:c r="C179" s="28" t="str">
        <x:v>Planta Campinas</x:v>
      </x:c>
      <x:c r="D179" s="28" t="str">
        <x:v>Linha 4 - Embalagem</x:v>
      </x:c>
      <x:c r="E179" s="28" t="str">
        <x:v>SKU-105</x:v>
      </x:c>
      <x:c r="F179" s="28" t="str">
        <x:v>Embalagens</x:v>
      </x:c>
      <x:c r="G179" s="32" t="n">
        <x:v>3718</x:v>
      </x:c>
      <x:c r="H179" s="32" t="n">
        <x:v>3549</x:v>
      </x:c>
      <x:c r="I179" s="32" t="n">
        <x:v>120</x:v>
      </x:c>
      <x:c r="J179" s="32" t="n">
        <x:v>25.84</x:v>
      </x:c>
      <x:c r="K179" s="32" t="n">
        <x:v>42.47</x:v>
      </x:c>
      <x:c r="L179" s="32" t="n">
        <x:v>50</x:v>
      </x:c>
      <x:c r="M179" s="36" t="n">
        <x:v>0.7847</x:v>
      </x:c>
      <x:c r="N179" s="36" t="n">
        <x:v>0.8495</x:v>
      </x:c>
    </x:row>
    <x:row r="180">
      <x:c r="A180" s="34" t="n">
        <x:v>45495</x:v>
      </x:c>
      <x:c r="B180" s="28" t="str">
        <x:v>Grupo Industrial S.A.</x:v>
      </x:c>
      <x:c r="C180" s="28" t="str">
        <x:v>Planta Curitiba</x:v>
      </x:c>
      <x:c r="D180" s="28" t="str">
        <x:v>Linha 5 - Usinagem</x:v>
      </x:c>
      <x:c r="E180" s="28" t="str">
        <x:v>SKU-223</x:v>
      </x:c>
      <x:c r="F180" s="28" t="str">
        <x:v>Bebidas</x:v>
      </x:c>
      <x:c r="G180" s="32" t="n">
        <x:v>4562</x:v>
      </x:c>
      <x:c r="H180" s="32" t="n">
        <x:v>4182</x:v>
      </x:c>
      <x:c r="I180" s="32" t="n">
        <x:v>120</x:v>
      </x:c>
      <x:c r="J180" s="32" t="n">
        <x:v>19.65</x:v>
      </x:c>
      <x:c r="K180" s="32" t="n">
        <x:v>49.45</x:v>
      </x:c>
      <x:c r="L180" s="32" t="n">
        <x:v>56</x:v>
      </x:c>
      <x:c r="M180" s="36" t="n">
        <x:v>0.8362</x:v>
      </x:c>
      <x:c r="N180" s="36" t="n">
        <x:v>0.8831</x:v>
      </x:c>
    </x:row>
    <x:row r="181">
      <x:c r="A181" s="34" t="n">
        <x:v>45495</x:v>
      </x:c>
      <x:c r="B181" s="28" t="str">
        <x:v>Grupo Industrial S.A.</x:v>
      </x:c>
      <x:c r="C181" s="28" t="str">
        <x:v>Planta Curitiba</x:v>
      </x:c>
      <x:c r="D181" s="28" t="str">
        <x:v>Linha 6 - Finalização</x:v>
      </x:c>
      <x:c r="E181" s="28" t="str">
        <x:v>SKU-432</x:v>
      </x:c>
      <x:c r="F181" s="28" t="str">
        <x:v>Alimentos</x:v>
      </x:c>
      <x:c r="G181" s="32" t="n">
        <x:v>3658</x:v>
      </x:c>
      <x:c r="H181" s="32" t="n">
        <x:v>3427</x:v>
      </x:c>
      <x:c r="I181" s="32" t="n">
        <x:v>120</x:v>
      </x:c>
      <x:c r="J181" s="32" t="n">
        <x:v>16.62</x:v>
      </x:c>
      <x:c r="K181" s="32" t="n">
        <x:v>41.34</x:v>
      </x:c>
      <x:c r="L181" s="32" t="n">
        <x:v>48</x:v>
      </x:c>
      <x:c r="M181" s="36" t="n">
        <x:v>0.8615</x:v>
      </x:c>
      <x:c r="N181" s="36" t="n">
        <x:v>0.8613</x:v>
      </x:c>
    </x:row>
    <x:row r="182">
      <x:c r="A182" s="34" t="n">
        <x:v>45502</x:v>
      </x:c>
      <x:c r="B182" s="28" t="str">
        <x:v>Grupo Industrial S.A.</x:v>
      </x:c>
      <x:c r="C182" s="28" t="str">
        <x:v>Planta São Paulo</x:v>
      </x:c>
      <x:c r="D182" s="28" t="str">
        <x:v>Linha 1 - Corte</x:v>
      </x:c>
      <x:c r="E182" s="28" t="str">
        <x:v>SKU-001</x:v>
      </x:c>
      <x:c r="F182" s="28" t="str">
        <x:v>Alimentos</x:v>
      </x:c>
      <x:c r="G182" s="32" t="n">
        <x:v>5845</x:v>
      </x:c>
      <x:c r="H182" s="32" t="n">
        <x:v>5528</x:v>
      </x:c>
      <x:c r="I182" s="32" t="n">
        <x:v>120</x:v>
      </x:c>
      <x:c r="J182" s="32" t="n">
        <x:v>14.83</x:v>
      </x:c>
      <x:c r="K182" s="32" t="n">
        <x:v>56.64</x:v>
      </x:c>
      <x:c r="L182" s="32" t="n">
        <x:v>62</x:v>
      </x:c>
      <x:c r="M182" s="36" t="n">
        <x:v>0.8764</x:v>
      </x:c>
      <x:c r="N182" s="36" t="n">
        <x:v>0.9136</x:v>
      </x:c>
    </x:row>
    <x:row r="183">
      <x:c r="A183" s="34" t="n">
        <x:v>45502</x:v>
      </x:c>
      <x:c r="B183" s="28" t="str">
        <x:v>Grupo Industrial S.A.</x:v>
      </x:c>
      <x:c r="C183" s="28" t="str">
        <x:v>Planta São Paulo</x:v>
      </x:c>
      <x:c r="D183" s="28" t="str">
        <x:v>Linha 2 - Montagem</x:v>
      </x:c>
      <x:c r="E183" s="28" t="str">
        <x:v>SKU-002</x:v>
      </x:c>
      <x:c r="F183" s="28" t="str">
        <x:v>Alimentos</x:v>
      </x:c>
      <x:c r="G183" s="32" t="n">
        <x:v>5420</x:v>
      </x:c>
      <x:c r="H183" s="32" t="n">
        <x:v>5130</x:v>
      </x:c>
      <x:c r="I183" s="32" t="n">
        <x:v>120</x:v>
      </x:c>
      <x:c r="J183" s="32" t="n">
        <x:v>16.58</x:v>
      </x:c>
      <x:c r="K183" s="32" t="n">
        <x:v>54.63</x:v>
      </x:c>
      <x:c r="L183" s="32" t="n">
        <x:v>58</x:v>
      </x:c>
      <x:c r="M183" s="36" t="n">
        <x:v>0.8618</x:v>
      </x:c>
      <x:c r="N183" s="36" t="n">
        <x:v>0.9419</x:v>
      </x:c>
    </x:row>
    <x:row r="184">
      <x:c r="A184" s="34" t="n">
        <x:v>45502</x:v>
      </x:c>
      <x:c r="B184" s="28" t="str">
        <x:v>Grupo Industrial S.A.</x:v>
      </x:c>
      <x:c r="C184" s="28" t="str">
        <x:v>Planta Campinas</x:v>
      </x:c>
      <x:c r="D184" s="28" t="str">
        <x:v>Linha 3 - Extrusão</x:v>
      </x:c>
      <x:c r="E184" s="28" t="str">
        <x:v>SKU-078</x:v>
      </x:c>
      <x:c r="F184" s="28" t="str">
        <x:v>Higiene e Limpeza</x:v>
      </x:c>
      <x:c r="G184" s="32" t="n">
        <x:v>4202</x:v>
      </x:c>
      <x:c r="H184" s="32" t="n">
        <x:v>3806</x:v>
      </x:c>
      <x:c r="I184" s="32" t="n">
        <x:v>120</x:v>
      </x:c>
      <x:c r="J184" s="32" t="n">
        <x:v>22.63</x:v>
      </x:c>
      <x:c r="K184" s="32" t="n">
        <x:v>46.11</x:v>
      </x:c>
      <x:c r="L184" s="32" t="n">
        <x:v>54</x:v>
      </x:c>
      <x:c r="M184" s="36" t="n">
        <x:v>0.8114</x:v>
      </x:c>
      <x:c r="N184" s="36" t="n">
        <x:v>0.854</x:v>
      </x:c>
    </x:row>
    <x:row r="185">
      <x:c r="A185" s="34" t="n">
        <x:v>45502</x:v>
      </x:c>
      <x:c r="B185" s="28" t="str">
        <x:v>Grupo Industrial S.A.</x:v>
      </x:c>
      <x:c r="C185" s="28" t="str">
        <x:v>Planta Campinas</x:v>
      </x:c>
      <x:c r="D185" s="28" t="str">
        <x:v>Linha 4 - Embalagem</x:v>
      </x:c>
      <x:c r="E185" s="28" t="str">
        <x:v>SKU-105</x:v>
      </x:c>
      <x:c r="F185" s="28" t="str">
        <x:v>Embalagens</x:v>
      </x:c>
      <x:c r="G185" s="32" t="n">
        <x:v>3676</x:v>
      </x:c>
      <x:c r="H185" s="32" t="n">
        <x:v>3374</x:v>
      </x:c>
      <x:c r="I185" s="32" t="n">
        <x:v>120</x:v>
      </x:c>
      <x:c r="J185" s="32" t="n">
        <x:v>25.74</x:v>
      </x:c>
      <x:c r="K185" s="32" t="n">
        <x:v>42.8</x:v>
      </x:c>
      <x:c r="L185" s="32" t="n">
        <x:v>50</x:v>
      </x:c>
      <x:c r="M185" s="36" t="n">
        <x:v>0.7855</x:v>
      </x:c>
      <x:c r="N185" s="36" t="n">
        <x:v>0.856</x:v>
      </x:c>
    </x:row>
    <x:row r="186">
      <x:c r="A186" s="34" t="n">
        <x:v>45502</x:v>
      </x:c>
      <x:c r="B186" s="28" t="str">
        <x:v>Grupo Industrial S.A.</x:v>
      </x:c>
      <x:c r="C186" s="28" t="str">
        <x:v>Planta Curitiba</x:v>
      </x:c>
      <x:c r="D186" s="28" t="str">
        <x:v>Linha 5 - Usinagem</x:v>
      </x:c>
      <x:c r="E186" s="28" t="str">
        <x:v>SKU-223</x:v>
      </x:c>
      <x:c r="F186" s="28" t="str">
        <x:v>Bebidas</x:v>
      </x:c>
      <x:c r="G186" s="32" t="n">
        <x:v>4407</x:v>
      </x:c>
      <x:c r="H186" s="32" t="n">
        <x:v>4082</x:v>
      </x:c>
      <x:c r="I186" s="32" t="n">
        <x:v>120</x:v>
      </x:c>
      <x:c r="J186" s="32" t="n">
        <x:v>17.4</x:v>
      </x:c>
      <x:c r="K186" s="32" t="n">
        <x:v>51.31</x:v>
      </x:c>
      <x:c r="L186" s="32" t="n">
        <x:v>56</x:v>
      </x:c>
      <x:c r="M186" s="36" t="n">
        <x:v>0.855</x:v>
      </x:c>
      <x:c r="N186" s="36" t="n">
        <x:v>0.9162</x:v>
      </x:c>
    </x:row>
    <x:row r="187">
      <x:c r="A187" s="34" t="n">
        <x:v>45502</x:v>
      </x:c>
      <x:c r="B187" s="28" t="str">
        <x:v>Grupo Industrial S.A.</x:v>
      </x:c>
      <x:c r="C187" s="28" t="str">
        <x:v>Planta Curitiba</x:v>
      </x:c>
      <x:c r="D187" s="28" t="str">
        <x:v>Linha 6 - Finalização</x:v>
      </x:c>
      <x:c r="E187" s="28" t="str">
        <x:v>SKU-432</x:v>
      </x:c>
      <x:c r="F187" s="28" t="str">
        <x:v>Alimentos</x:v>
      </x:c>
      <x:c r="G187" s="32" t="n">
        <x:v>3969</x:v>
      </x:c>
      <x:c r="H187" s="32" t="n">
        <x:v>3657</x:v>
      </x:c>
      <x:c r="I187" s="32" t="n">
        <x:v>120</x:v>
      </x:c>
      <x:c r="J187" s="32" t="n">
        <x:v>17.66</x:v>
      </x:c>
      <x:c r="K187" s="32" t="n">
        <x:v>43.34</x:v>
      </x:c>
      <x:c r="L187" s="32" t="n">
        <x:v>48</x:v>
      </x:c>
      <x:c r="M187" s="36" t="n">
        <x:v>0.8528</x:v>
      </x:c>
      <x:c r="N187" s="36" t="n">
        <x:v>0.9029</x:v>
      </x:c>
    </x:row>
    <x:row r="188">
      <x:c r="A188" s="34" t="n">
        <x:v>45509</x:v>
      </x:c>
      <x:c r="B188" s="28" t="str">
        <x:v>Grupo Industrial S.A.</x:v>
      </x:c>
      <x:c r="C188" s="28" t="str">
        <x:v>Planta São Paulo</x:v>
      </x:c>
      <x:c r="D188" s="28" t="str">
        <x:v>Linha 1 - Corte</x:v>
      </x:c>
      <x:c r="E188" s="28" t="str">
        <x:v>SKU-001</x:v>
      </x:c>
      <x:c r="F188" s="28" t="str">
        <x:v>Alimentos</x:v>
      </x:c>
      <x:c r="G188" s="32" t="n">
        <x:v>6313</x:v>
      </x:c>
      <x:c r="H188" s="32" t="n">
        <x:v>5797</x:v>
      </x:c>
      <x:c r="I188" s="32" t="n">
        <x:v>120</x:v>
      </x:c>
      <x:c r="J188" s="32" t="n">
        <x:v>12.26</x:v>
      </x:c>
      <x:c r="K188" s="32" t="n">
        <x:v>57.28</x:v>
      </x:c>
      <x:c r="L188" s="32" t="n">
        <x:v>62</x:v>
      </x:c>
      <x:c r="M188" s="36" t="n">
        <x:v>0.8979</x:v>
      </x:c>
      <x:c r="N188" s="36" t="n">
        <x:v>0.9239</x:v>
      </x:c>
    </x:row>
    <x:row r="189">
      <x:c r="A189" s="34" t="n">
        <x:v>45509</x:v>
      </x:c>
      <x:c r="B189" s="28" t="str">
        <x:v>Grupo Industrial S.A.</x:v>
      </x:c>
      <x:c r="C189" s="28" t="str">
        <x:v>Planta São Paulo</x:v>
      </x:c>
      <x:c r="D189" s="28" t="str">
        <x:v>Linha 2 - Montagem</x:v>
      </x:c>
      <x:c r="E189" s="28" t="str">
        <x:v>SKU-002</x:v>
      </x:c>
      <x:c r="F189" s="28" t="str">
        <x:v>Alimentos</x:v>
      </x:c>
      <x:c r="G189" s="32" t="n">
        <x:v>5633</x:v>
      </x:c>
      <x:c r="H189" s="32" t="n">
        <x:v>5165</x:v>
      </x:c>
      <x:c r="I189" s="32" t="n">
        <x:v>120</x:v>
      </x:c>
      <x:c r="J189" s="32" t="n">
        <x:v>13.53</x:v>
      </x:c>
      <x:c r="K189" s="32" t="n">
        <x:v>51.42</x:v>
      </x:c>
      <x:c r="L189" s="32" t="n">
        <x:v>58</x:v>
      </x:c>
      <x:c r="M189" s="36" t="n">
        <x:v>0.8872</x:v>
      </x:c>
      <x:c r="N189" s="36" t="n">
        <x:v>0.8865</x:v>
      </x:c>
    </x:row>
    <x:row r="190">
      <x:c r="A190" s="34" t="n">
        <x:v>45509</x:v>
      </x:c>
      <x:c r="B190" s="28" t="str">
        <x:v>Grupo Industrial S.A.</x:v>
      </x:c>
      <x:c r="C190" s="28" t="str">
        <x:v>Planta Campinas</x:v>
      </x:c>
      <x:c r="D190" s="28" t="str">
        <x:v>Linha 3 - Extrusão</x:v>
      </x:c>
      <x:c r="E190" s="28" t="str">
        <x:v>SKU-078</x:v>
      </x:c>
      <x:c r="F190" s="28" t="str">
        <x:v>Higiene e Limpeza</x:v>
      </x:c>
      <x:c r="G190" s="32" t="n">
        <x:v>4341</x:v>
      </x:c>
      <x:c r="H190" s="32" t="n">
        <x:v>4094</x:v>
      </x:c>
      <x:c r="I190" s="32" t="n">
        <x:v>120</x:v>
      </x:c>
      <x:c r="J190" s="32" t="n">
        <x:v>22.23</x:v>
      </x:c>
      <x:c r="K190" s="32" t="n">
        <x:v>44.87</x:v>
      </x:c>
      <x:c r="L190" s="32" t="n">
        <x:v>54</x:v>
      </x:c>
      <x:c r="M190" s="36" t="n">
        <x:v>0.8148</x:v>
      </x:c>
      <x:c r="N190" s="36" t="n">
        <x:v>0.831</x:v>
      </x:c>
    </x:row>
    <x:row r="191">
      <x:c r="A191" s="34" t="n">
        <x:v>45509</x:v>
      </x:c>
      <x:c r="B191" s="28" t="str">
        <x:v>Grupo Industrial S.A.</x:v>
      </x:c>
      <x:c r="C191" s="28" t="str">
        <x:v>Planta Campinas</x:v>
      </x:c>
      <x:c r="D191" s="28" t="str">
        <x:v>Linha 4 - Embalagem</x:v>
      </x:c>
      <x:c r="E191" s="28" t="str">
        <x:v>SKU-105</x:v>
      </x:c>
      <x:c r="F191" s="28" t="str">
        <x:v>Embalagens</x:v>
      </x:c>
      <x:c r="G191" s="32" t="n">
        <x:v>3791</x:v>
      </x:c>
      <x:c r="H191" s="32" t="n">
        <x:v>3460</x:v>
      </x:c>
      <x:c r="I191" s="32" t="n">
        <x:v>120</x:v>
      </x:c>
      <x:c r="J191" s="32" t="n">
        <x:v>20.4</x:v>
      </x:c>
      <x:c r="K191" s="32" t="n">
        <x:v>43.76</x:v>
      </x:c>
      <x:c r="L191" s="32" t="n">
        <x:v>50</x:v>
      </x:c>
      <x:c r="M191" s="36" t="n">
        <x:v>0.83</x:v>
      </x:c>
      <x:c r="N191" s="36" t="n">
        <x:v>0.8751</x:v>
      </x:c>
    </x:row>
    <x:row r="192">
      <x:c r="A192" s="34" t="n">
        <x:v>45509</x:v>
      </x:c>
      <x:c r="B192" s="28" t="str">
        <x:v>Grupo Industrial S.A.</x:v>
      </x:c>
      <x:c r="C192" s="28" t="str">
        <x:v>Planta Curitiba</x:v>
      </x:c>
      <x:c r="D192" s="28" t="str">
        <x:v>Linha 5 - Usinagem</x:v>
      </x:c>
      <x:c r="E192" s="28" t="str">
        <x:v>SKU-223</x:v>
      </x:c>
      <x:c r="F192" s="28" t="str">
        <x:v>Bebidas</x:v>
      </x:c>
      <x:c r="G192" s="32" t="n">
        <x:v>4748</x:v>
      </x:c>
      <x:c r="H192" s="32" t="n">
        <x:v>4442</x:v>
      </x:c>
      <x:c r="I192" s="32" t="n">
        <x:v>120</x:v>
      </x:c>
      <x:c r="J192" s="32" t="n">
        <x:v>16.48</x:v>
      </x:c>
      <x:c r="K192" s="32" t="n">
        <x:v>48.87</x:v>
      </x:c>
      <x:c r="L192" s="32" t="n">
        <x:v>56</x:v>
      </x:c>
      <x:c r="M192" s="36" t="n">
        <x:v>0.8626</x:v>
      </x:c>
      <x:c r="N192" s="36" t="n">
        <x:v>0.8727</x:v>
      </x:c>
    </x:row>
    <x:row r="193">
      <x:c r="A193" s="34" t="n">
        <x:v>45509</x:v>
      </x:c>
      <x:c r="B193" s="28" t="str">
        <x:v>Grupo Industrial S.A.</x:v>
      </x:c>
      <x:c r="C193" s="28" t="str">
        <x:v>Planta Curitiba</x:v>
      </x:c>
      <x:c r="D193" s="28" t="str">
        <x:v>Linha 6 - Finalização</x:v>
      </x:c>
      <x:c r="E193" s="28" t="str">
        <x:v>SKU-432</x:v>
      </x:c>
      <x:c r="F193" s="28" t="str">
        <x:v>Alimentos</x:v>
      </x:c>
      <x:c r="G193" s="32" t="n">
        <x:v>4065</x:v>
      </x:c>
      <x:c r="H193" s="32" t="n">
        <x:v>3844</x:v>
      </x:c>
      <x:c r="I193" s="32" t="n">
        <x:v>120</x:v>
      </x:c>
      <x:c r="J193" s="32" t="n">
        <x:v>21.01</x:v>
      </x:c>
      <x:c r="K193" s="32" t="n">
        <x:v>42.32</x:v>
      </x:c>
      <x:c r="L193" s="32" t="n">
        <x:v>48</x:v>
      </x:c>
      <x:c r="M193" s="36" t="n">
        <x:v>0.825</x:v>
      </x:c>
      <x:c r="N193" s="36" t="n">
        <x:v>0.8817</x:v>
      </x:c>
    </x:row>
    <x:row r="194">
      <x:c r="A194" s="34" t="n">
        <x:v>45516</x:v>
      </x:c>
      <x:c r="B194" s="28" t="str">
        <x:v>Grupo Industrial S.A.</x:v>
      </x:c>
      <x:c r="C194" s="28" t="str">
        <x:v>Planta São Paulo</x:v>
      </x:c>
      <x:c r="D194" s="28" t="str">
        <x:v>Linha 1 - Corte</x:v>
      </x:c>
      <x:c r="E194" s="28" t="str">
        <x:v>SKU-001</x:v>
      </x:c>
      <x:c r="F194" s="28" t="str">
        <x:v>Alimentos</x:v>
      </x:c>
      <x:c r="G194" s="32" t="n">
        <x:v>6368</x:v>
      </x:c>
      <x:c r="H194" s="32" t="n">
        <x:v>5826</x:v>
      </x:c>
      <x:c r="I194" s="32" t="n">
        <x:v>120</x:v>
      </x:c>
      <x:c r="J194" s="32" t="n">
        <x:v>16.61</x:v>
      </x:c>
      <x:c r="K194" s="32" t="n">
        <x:v>57.12</x:v>
      </x:c>
      <x:c r="L194" s="32" t="n">
        <x:v>62</x:v>
      </x:c>
      <x:c r="M194" s="36" t="n">
        <x:v>0.8616</x:v>
      </x:c>
      <x:c r="N194" s="36" t="n">
        <x:v>0.9213</x:v>
      </x:c>
    </x:row>
    <x:row r="195">
      <x:c r="A195" s="34" t="n">
        <x:v>45516</x:v>
      </x:c>
      <x:c r="B195" s="28" t="str">
        <x:v>Grupo Industrial S.A.</x:v>
      </x:c>
      <x:c r="C195" s="28" t="str">
        <x:v>Planta São Paulo</x:v>
      </x:c>
      <x:c r="D195" s="28" t="str">
        <x:v>Linha 2 - Montagem</x:v>
      </x:c>
      <x:c r="E195" s="28" t="str">
        <x:v>SKU-002</x:v>
      </x:c>
      <x:c r="F195" s="28" t="str">
        <x:v>Alimentos</x:v>
      </x:c>
      <x:c r="G195" s="32" t="n">
        <x:v>5462</x:v>
      </x:c>
      <x:c r="H195" s="32" t="n">
        <x:v>5126</x:v>
      </x:c>
      <x:c r="I195" s="32" t="n">
        <x:v>120</x:v>
      </x:c>
      <x:c r="J195" s="32" t="n">
        <x:v>16.98</x:v>
      </x:c>
      <x:c r="K195" s="32" t="n">
        <x:v>52.39</x:v>
      </x:c>
      <x:c r="L195" s="32" t="n">
        <x:v>58</x:v>
      </x:c>
      <x:c r="M195" s="36" t="n">
        <x:v>0.8585</x:v>
      </x:c>
      <x:c r="N195" s="36" t="n">
        <x:v>0.9033</x:v>
      </x:c>
    </x:row>
    <x:row r="196">
      <x:c r="A196" s="34" t="n">
        <x:v>45516</x:v>
      </x:c>
      <x:c r="B196" s="28" t="str">
        <x:v>Grupo Industrial S.A.</x:v>
      </x:c>
      <x:c r="C196" s="28" t="str">
        <x:v>Planta Campinas</x:v>
      </x:c>
      <x:c r="D196" s="28" t="str">
        <x:v>Linha 3 - Extrusão</x:v>
      </x:c>
      <x:c r="E196" s="28" t="str">
        <x:v>SKU-078</x:v>
      </x:c>
      <x:c r="F196" s="28" t="str">
        <x:v>Higiene e Limpeza</x:v>
      </x:c>
      <x:c r="G196" s="32" t="n">
        <x:v>4187</x:v>
      </x:c>
      <x:c r="H196" s="32" t="n">
        <x:v>3960</x:v>
      </x:c>
      <x:c r="I196" s="32" t="n">
        <x:v>120</x:v>
      </x:c>
      <x:c r="J196" s="32" t="n">
        <x:v>20.67</x:v>
      </x:c>
      <x:c r="K196" s="32" t="n">
        <x:v>47.32</x:v>
      </x:c>
      <x:c r="L196" s="32" t="n">
        <x:v>54</x:v>
      </x:c>
      <x:c r="M196" s="36" t="n">
        <x:v>0.8278</x:v>
      </x:c>
      <x:c r="N196" s="36" t="n">
        <x:v>0.8764</x:v>
      </x:c>
    </x:row>
    <x:row r="197">
      <x:c r="A197" s="34" t="n">
        <x:v>45516</x:v>
      </x:c>
      <x:c r="B197" s="28" t="str">
        <x:v>Grupo Industrial S.A.</x:v>
      </x:c>
      <x:c r="C197" s="28" t="str">
        <x:v>Planta Campinas</x:v>
      </x:c>
      <x:c r="D197" s="28" t="str">
        <x:v>Linha 4 - Embalagem</x:v>
      </x:c>
      <x:c r="E197" s="28" t="str">
        <x:v>SKU-105</x:v>
      </x:c>
      <x:c r="F197" s="28" t="str">
        <x:v>Embalagens</x:v>
      </x:c>
      <x:c r="G197" s="32" t="n">
        <x:v>4115</x:v>
      </x:c>
      <x:c r="H197" s="32" t="n">
        <x:v>3758</x:v>
      </x:c>
      <x:c r="I197" s="32" t="n">
        <x:v>120</x:v>
      </x:c>
      <x:c r="J197" s="32" t="n">
        <x:v>21.77</x:v>
      </x:c>
      <x:c r="K197" s="32" t="n">
        <x:v>43.21</x:v>
      </x:c>
      <x:c r="L197" s="32" t="n">
        <x:v>50</x:v>
      </x:c>
      <x:c r="M197" s="36" t="n">
        <x:v>0.8186</x:v>
      </x:c>
      <x:c r="N197" s="36" t="n">
        <x:v>0.8642</x:v>
      </x:c>
    </x:row>
    <x:row r="198">
      <x:c r="A198" s="34" t="n">
        <x:v>45516</x:v>
      </x:c>
      <x:c r="B198" s="28" t="str">
        <x:v>Grupo Industrial S.A.</x:v>
      </x:c>
      <x:c r="C198" s="28" t="str">
        <x:v>Planta Curitiba</x:v>
      </x:c>
      <x:c r="D198" s="28" t="str">
        <x:v>Linha 5 - Usinagem</x:v>
      </x:c>
      <x:c r="E198" s="28" t="str">
        <x:v>SKU-223</x:v>
      </x:c>
      <x:c r="F198" s="28" t="str">
        <x:v>Bebidas</x:v>
      </x:c>
      <x:c r="G198" s="32" t="n">
        <x:v>4402</x:v>
      </x:c>
      <x:c r="H198" s="32" t="n">
        <x:v>4113</x:v>
      </x:c>
      <x:c r="I198" s="32" t="n">
        <x:v>120</x:v>
      </x:c>
      <x:c r="J198" s="32" t="n">
        <x:v>20.07</x:v>
      </x:c>
      <x:c r="K198" s="32" t="n">
        <x:v>50.43</x:v>
      </x:c>
      <x:c r="L198" s="32" t="n">
        <x:v>56</x:v>
      </x:c>
      <x:c r="M198" s="36" t="n">
        <x:v>0.8327</x:v>
      </x:c>
      <x:c r="N198" s="36" t="n">
        <x:v>0.9006</x:v>
      </x:c>
    </x:row>
    <x:row r="199">
      <x:c r="A199" s="34" t="n">
        <x:v>45516</x:v>
      </x:c>
      <x:c r="B199" s="28" t="str">
        <x:v>Grupo Industrial S.A.</x:v>
      </x:c>
      <x:c r="C199" s="28" t="str">
        <x:v>Planta Curitiba</x:v>
      </x:c>
      <x:c r="D199" s="28" t="str">
        <x:v>Linha 6 - Finalização</x:v>
      </x:c>
      <x:c r="E199" s="28" t="str">
        <x:v>SKU-432</x:v>
      </x:c>
      <x:c r="F199" s="28" t="str">
        <x:v>Alimentos</x:v>
      </x:c>
      <x:c r="G199" s="32" t="n">
        <x:v>4042</x:v>
      </x:c>
      <x:c r="H199" s="32" t="n">
        <x:v>3734</x:v>
      </x:c>
      <x:c r="I199" s="32" t="n">
        <x:v>120</x:v>
      </x:c>
      <x:c r="J199" s="32" t="n">
        <x:v>20.96</x:v>
      </x:c>
      <x:c r="K199" s="32" t="n">
        <x:v>44.32</x:v>
      </x:c>
      <x:c r="L199" s="32" t="n">
        <x:v>48</x:v>
      </x:c>
      <x:c r="M199" s="36" t="n">
        <x:v>0.8254</x:v>
      </x:c>
      <x:c r="N199" s="36" t="n">
        <x:v>0.9233</x:v>
      </x:c>
    </x:row>
    <x:row r="200">
      <x:c r="A200" s="34" t="n">
        <x:v>45523</x:v>
      </x:c>
      <x:c r="B200" s="28" t="str">
        <x:v>Grupo Industrial S.A.</x:v>
      </x:c>
      <x:c r="C200" s="28" t="str">
        <x:v>Planta São Paulo</x:v>
      </x:c>
      <x:c r="D200" s="28" t="str">
        <x:v>Linha 1 - Corte</x:v>
      </x:c>
      <x:c r="E200" s="28" t="str">
        <x:v>SKU-001</x:v>
      </x:c>
      <x:c r="F200" s="28" t="str">
        <x:v>Alimentos</x:v>
      </x:c>
      <x:c r="G200" s="32" t="n">
        <x:v>6302</x:v>
      </x:c>
      <x:c r="H200" s="32" t="n">
        <x:v>5925</x:v>
      </x:c>
      <x:c r="I200" s="32" t="n">
        <x:v>120</x:v>
      </x:c>
      <x:c r="J200" s="32" t="n">
        <x:v>13.59</x:v>
      </x:c>
      <x:c r="K200" s="32" t="n">
        <x:v>55.68</x:v>
      </x:c>
      <x:c r="L200" s="32" t="n">
        <x:v>62</x:v>
      </x:c>
      <x:c r="M200" s="36" t="n">
        <x:v>0.8867</x:v>
      </x:c>
      <x:c r="N200" s="36" t="n">
        <x:v>0.8981</x:v>
      </x:c>
    </x:row>
    <x:row r="201">
      <x:c r="A201" s="34" t="n">
        <x:v>45523</x:v>
      </x:c>
      <x:c r="B201" s="28" t="str">
        <x:v>Grupo Industrial S.A.</x:v>
      </x:c>
      <x:c r="C201" s="28" t="str">
        <x:v>Planta São Paulo</x:v>
      </x:c>
      <x:c r="D201" s="28" t="str">
        <x:v>Linha 2 - Montagem</x:v>
      </x:c>
      <x:c r="E201" s="28" t="str">
        <x:v>SKU-002</x:v>
      </x:c>
      <x:c r="F201" s="28" t="str">
        <x:v>Alimentos</x:v>
      </x:c>
      <x:c r="G201" s="32" t="n">
        <x:v>5309</x:v>
      </x:c>
      <x:c r="H201" s="32" t="n">
        <x:v>4980</x:v>
      </x:c>
      <x:c r="I201" s="32" t="n">
        <x:v>120</x:v>
      </x:c>
      <x:c r="J201" s="32" t="n">
        <x:v>17.56</x:v>
      </x:c>
      <x:c r="K201" s="32" t="n">
        <x:v>52.63</x:v>
      </x:c>
      <x:c r="L201" s="32" t="n">
        <x:v>58</x:v>
      </x:c>
      <x:c r="M201" s="36" t="n">
        <x:v>0.8537</x:v>
      </x:c>
      <x:c r="N201" s="36" t="n">
        <x:v>0.9074</x:v>
      </x:c>
    </x:row>
    <x:row r="202">
      <x:c r="A202" s="34" t="n">
        <x:v>45523</x:v>
      </x:c>
      <x:c r="B202" s="28" t="str">
        <x:v>Grupo Industrial S.A.</x:v>
      </x:c>
      <x:c r="C202" s="28" t="str">
        <x:v>Planta Campinas</x:v>
      </x:c>
      <x:c r="D202" s="28" t="str">
        <x:v>Linha 3 - Extrusão</x:v>
      </x:c>
      <x:c r="E202" s="28" t="str">
        <x:v>SKU-078</x:v>
      </x:c>
      <x:c r="F202" s="28" t="str">
        <x:v>Higiene e Limpeza</x:v>
      </x:c>
      <x:c r="G202" s="32" t="n">
        <x:v>4248</x:v>
      </x:c>
      <x:c r="H202" s="32" t="n">
        <x:v>4095</x:v>
      </x:c>
      <x:c r="I202" s="32" t="n">
        <x:v>120</x:v>
      </x:c>
      <x:c r="J202" s="32" t="n">
        <x:v>25.57</x:v>
      </x:c>
      <x:c r="K202" s="32" t="n">
        <x:v>46.48</x:v>
      </x:c>
      <x:c r="L202" s="32" t="n">
        <x:v>54</x:v>
      </x:c>
      <x:c r="M202" s="36" t="n">
        <x:v>0.7869</x:v>
      </x:c>
      <x:c r="N202" s="36" t="n">
        <x:v>0.8608</x:v>
      </x:c>
    </x:row>
    <x:row r="203">
      <x:c r="A203" s="34" t="n">
        <x:v>45523</x:v>
      </x:c>
      <x:c r="B203" s="28" t="str">
        <x:v>Grupo Industrial S.A.</x:v>
      </x:c>
      <x:c r="C203" s="28" t="str">
        <x:v>Planta Campinas</x:v>
      </x:c>
      <x:c r="D203" s="28" t="str">
        <x:v>Linha 4 - Embalagem</x:v>
      </x:c>
      <x:c r="E203" s="28" t="str">
        <x:v>SKU-105</x:v>
      </x:c>
      <x:c r="F203" s="28" t="str">
        <x:v>Embalagens</x:v>
      </x:c>
      <x:c r="G203" s="32" t="n">
        <x:v>4009</x:v>
      </x:c>
      <x:c r="H203" s="32" t="n">
        <x:v>3732</x:v>
      </x:c>
      <x:c r="I203" s="32" t="n">
        <x:v>120</x:v>
      </x:c>
      <x:c r="J203" s="32" t="n">
        <x:v>25</x:v>
      </x:c>
      <x:c r="K203" s="32" t="n">
        <x:v>43.35</x:v>
      </x:c>
      <x:c r="L203" s="32" t="n">
        <x:v>50</x:v>
      </x:c>
      <x:c r="M203" s="36" t="n">
        <x:v>0.7917</x:v>
      </x:c>
      <x:c r="N203" s="36" t="n">
        <x:v>0.8669</x:v>
      </x:c>
    </x:row>
    <x:row r="204">
      <x:c r="A204" s="34" t="n">
        <x:v>45523</x:v>
      </x:c>
      <x:c r="B204" s="28" t="str">
        <x:v>Grupo Industrial S.A.</x:v>
      </x:c>
      <x:c r="C204" s="28" t="str">
        <x:v>Planta Curitiba</x:v>
      </x:c>
      <x:c r="D204" s="28" t="str">
        <x:v>Linha 5 - Usinagem</x:v>
      </x:c>
      <x:c r="E204" s="28" t="str">
        <x:v>SKU-223</x:v>
      </x:c>
      <x:c r="F204" s="28" t="str">
        <x:v>Bebidas</x:v>
      </x:c>
      <x:c r="G204" s="32" t="n">
        <x:v>4513</x:v>
      </x:c>
      <x:c r="H204" s="32" t="n">
        <x:v>4308</x:v>
      </x:c>
      <x:c r="I204" s="32" t="n">
        <x:v>120</x:v>
      </x:c>
      <x:c r="J204" s="32" t="n">
        <x:v>20.77</x:v>
      </x:c>
      <x:c r="K204" s="32" t="n">
        <x:v>49.72</x:v>
      </x:c>
      <x:c r="L204" s="32" t="n">
        <x:v>56</x:v>
      </x:c>
      <x:c r="M204" s="36" t="n">
        <x:v>0.8269</x:v>
      </x:c>
      <x:c r="N204" s="36" t="n">
        <x:v>0.8878</x:v>
      </x:c>
    </x:row>
    <x:row r="205">
      <x:c r="A205" s="34" t="n">
        <x:v>45523</x:v>
      </x:c>
      <x:c r="B205" s="28" t="str">
        <x:v>Grupo Industrial S.A.</x:v>
      </x:c>
      <x:c r="C205" s="28" t="str">
        <x:v>Planta Curitiba</x:v>
      </x:c>
      <x:c r="D205" s="28" t="str">
        <x:v>Linha 6 - Finalização</x:v>
      </x:c>
      <x:c r="E205" s="28" t="str">
        <x:v>SKU-432</x:v>
      </x:c>
      <x:c r="F205" s="28" t="str">
        <x:v>Alimentos</x:v>
      </x:c>
      <x:c r="G205" s="32" t="n">
        <x:v>4089</x:v>
      </x:c>
      <x:c r="H205" s="32" t="n">
        <x:v>3823</x:v>
      </x:c>
      <x:c r="I205" s="32" t="n">
        <x:v>120</x:v>
      </x:c>
      <x:c r="J205" s="32" t="n">
        <x:v>17.04</x:v>
      </x:c>
      <x:c r="K205" s="32" t="n">
        <x:v>42.72</x:v>
      </x:c>
      <x:c r="L205" s="32" t="n">
        <x:v>48</x:v>
      </x:c>
      <x:c r="M205" s="36" t="n">
        <x:v>0.858</x:v>
      </x:c>
      <x:c r="N205" s="36" t="n">
        <x:v>0.8901</x:v>
      </x:c>
    </x:row>
    <x:row r="206">
      <x:c r="A206" s="34" t="n">
        <x:v>45530</x:v>
      </x:c>
      <x:c r="B206" s="28" t="str">
        <x:v>Grupo Industrial S.A.</x:v>
      </x:c>
      <x:c r="C206" s="28" t="str">
        <x:v>Planta São Paulo</x:v>
      </x:c>
      <x:c r="D206" s="28" t="str">
        <x:v>Linha 1 - Corte</x:v>
      </x:c>
      <x:c r="E206" s="28" t="str">
        <x:v>SKU-001</x:v>
      </x:c>
      <x:c r="F206" s="28" t="str">
        <x:v>Alimentos</x:v>
      </x:c>
      <x:c r="G206" s="32" t="n">
        <x:v>6231</x:v>
      </x:c>
      <x:c r="H206" s="32" t="n">
        <x:v>5849</x:v>
      </x:c>
      <x:c r="I206" s="32" t="n">
        <x:v>120</x:v>
      </x:c>
      <x:c r="J206" s="32" t="n">
        <x:v>17.15</x:v>
      </x:c>
      <x:c r="K206" s="32" t="n">
        <x:v>56.88</x:v>
      </x:c>
      <x:c r="L206" s="32" t="n">
        <x:v>62</x:v>
      </x:c>
      <x:c r="M206" s="36" t="n">
        <x:v>0.8571</x:v>
      </x:c>
      <x:c r="N206" s="36" t="n">
        <x:v>0.9174</x:v>
      </x:c>
    </x:row>
    <x:row r="207">
      <x:c r="A207" s="34" t="n">
        <x:v>45530</x:v>
      </x:c>
      <x:c r="B207" s="28" t="str">
        <x:v>Grupo Industrial S.A.</x:v>
      </x:c>
      <x:c r="C207" s="28" t="str">
        <x:v>Planta São Paulo</x:v>
      </x:c>
      <x:c r="D207" s="28" t="str">
        <x:v>Linha 2 - Montagem</x:v>
      </x:c>
      <x:c r="E207" s="28" t="str">
        <x:v>SKU-002</x:v>
      </x:c>
      <x:c r="F207" s="28" t="str">
        <x:v>Alimentos</x:v>
      </x:c>
      <x:c r="G207" s="32" t="n">
        <x:v>5201</x:v>
      </x:c>
      <x:c r="H207" s="32" t="n">
        <x:v>4709</x:v>
      </x:c>
      <x:c r="I207" s="32" t="n">
        <x:v>120</x:v>
      </x:c>
      <x:c r="J207" s="32" t="n">
        <x:v>14</x:v>
      </x:c>
      <x:c r="K207" s="32" t="n">
        <x:v>52.04</x:v>
      </x:c>
      <x:c r="L207" s="32" t="n">
        <x:v>58</x:v>
      </x:c>
      <x:c r="M207" s="36" t="n">
        <x:v>0.8833</x:v>
      </x:c>
      <x:c r="N207" s="36" t="n">
        <x:v>0.8972</x:v>
      </x:c>
    </x:row>
    <x:row r="208">
      <x:c r="A208" s="34" t="n">
        <x:v>45530</x:v>
      </x:c>
      <x:c r="B208" s="28" t="str">
        <x:v>Grupo Industrial S.A.</x:v>
      </x:c>
      <x:c r="C208" s="28" t="str">
        <x:v>Planta Campinas</x:v>
      </x:c>
      <x:c r="D208" s="28" t="str">
        <x:v>Linha 3 - Extrusão</x:v>
      </x:c>
      <x:c r="E208" s="28" t="str">
        <x:v>SKU-078</x:v>
      </x:c>
      <x:c r="F208" s="28" t="str">
        <x:v>Higiene e Limpeza</x:v>
      </x:c>
      <x:c r="G208" s="32" t="n">
        <x:v>4194</x:v>
      </x:c>
      <x:c r="H208" s="32" t="n">
        <x:v>3811</x:v>
      </x:c>
      <x:c r="I208" s="32" t="n">
        <x:v>120</x:v>
      </x:c>
      <x:c r="J208" s="32" t="n">
        <x:v>23.92</x:v>
      </x:c>
      <x:c r="K208" s="32" t="n">
        <x:v>45.66</x:v>
      </x:c>
      <x:c r="L208" s="32" t="n">
        <x:v>54</x:v>
      </x:c>
      <x:c r="M208" s="36" t="n">
        <x:v>0.8006</x:v>
      </x:c>
      <x:c r="N208" s="36" t="n">
        <x:v>0.8455</x:v>
      </x:c>
    </x:row>
    <x:row r="209">
      <x:c r="A209" s="34" t="n">
        <x:v>45530</x:v>
      </x:c>
      <x:c r="B209" s="28" t="str">
        <x:v>Grupo Industrial S.A.</x:v>
      </x:c>
      <x:c r="C209" s="28" t="str">
        <x:v>Planta Campinas</x:v>
      </x:c>
      <x:c r="D209" s="28" t="str">
        <x:v>Linha 4 - Embalagem</x:v>
      </x:c>
      <x:c r="E209" s="28" t="str">
        <x:v>SKU-105</x:v>
      </x:c>
      <x:c r="F209" s="28" t="str">
        <x:v>Embalagens</x:v>
      </x:c>
      <x:c r="G209" s="32" t="n">
        <x:v>3873</x:v>
      </x:c>
      <x:c r="H209" s="32" t="n">
        <x:v>3540</x:v>
      </x:c>
      <x:c r="I209" s="32" t="n">
        <x:v>120</x:v>
      </x:c>
      <x:c r="J209" s="32" t="n">
        <x:v>21.5</x:v>
      </x:c>
      <x:c r="K209" s="32" t="n">
        <x:v>44.23</x:v>
      </x:c>
      <x:c r="L209" s="32" t="n">
        <x:v>50</x:v>
      </x:c>
      <x:c r="M209" s="36" t="n">
        <x:v>0.8208</x:v>
      </x:c>
      <x:c r="N209" s="36" t="n">
        <x:v>0.8846</x:v>
      </x:c>
    </x:row>
    <x:row r="210">
      <x:c r="A210" s="34" t="n">
        <x:v>45530</x:v>
      </x:c>
      <x:c r="B210" s="28" t="str">
        <x:v>Grupo Industrial S.A.</x:v>
      </x:c>
      <x:c r="C210" s="28" t="str">
        <x:v>Planta Curitiba</x:v>
      </x:c>
      <x:c r="D210" s="28" t="str">
        <x:v>Linha 5 - Usinagem</x:v>
      </x:c>
      <x:c r="E210" s="28" t="str">
        <x:v>SKU-223</x:v>
      </x:c>
      <x:c r="F210" s="28" t="str">
        <x:v>Bebidas</x:v>
      </x:c>
      <x:c r="G210" s="32" t="n">
        <x:v>4600</x:v>
      </x:c>
      <x:c r="H210" s="32" t="n">
        <x:v>4214</x:v>
      </x:c>
      <x:c r="I210" s="32" t="n">
        <x:v>120</x:v>
      </x:c>
      <x:c r="J210" s="32" t="n">
        <x:v>18.09</x:v>
      </x:c>
      <x:c r="K210" s="32" t="n">
        <x:v>48.2</x:v>
      </x:c>
      <x:c r="L210" s="32" t="n">
        <x:v>56</x:v>
      </x:c>
      <x:c r="M210" s="36" t="n">
        <x:v>0.8492</x:v>
      </x:c>
      <x:c r="N210" s="36" t="n">
        <x:v>0.8607</x:v>
      </x:c>
    </x:row>
    <x:row r="211">
      <x:c r="A211" s="34" t="n">
        <x:v>45530</x:v>
      </x:c>
      <x:c r="B211" s="28" t="str">
        <x:v>Grupo Industrial S.A.</x:v>
      </x:c>
      <x:c r="C211" s="28" t="str">
        <x:v>Planta Curitiba</x:v>
      </x:c>
      <x:c r="D211" s="28" t="str">
        <x:v>Linha 6 - Finalização</x:v>
      </x:c>
      <x:c r="E211" s="28" t="str">
        <x:v>SKU-432</x:v>
      </x:c>
      <x:c r="F211" s="28" t="str">
        <x:v>Alimentos</x:v>
      </x:c>
      <x:c r="G211" s="32" t="n">
        <x:v>3928</x:v>
      </x:c>
      <x:c r="H211" s="32" t="n">
        <x:v>3762</x:v>
      </x:c>
      <x:c r="I211" s="32" t="n">
        <x:v>120</x:v>
      </x:c>
      <x:c r="J211" s="32" t="n">
        <x:v>18.06</x:v>
      </x:c>
      <x:c r="K211" s="32" t="n">
        <x:v>43.02</x:v>
      </x:c>
      <x:c r="L211" s="32" t="n">
        <x:v>48</x:v>
      </x:c>
      <x:c r="M211" s="36" t="n">
        <x:v>0.8495</x:v>
      </x:c>
      <x:c r="N211" s="36" t="n">
        <x:v>0.8962</x:v>
      </x:c>
    </x:row>
    <x:row r="212">
      <x:c r="A212" s="34" t="n">
        <x:v>45537</x:v>
      </x:c>
      <x:c r="B212" s="28" t="str">
        <x:v>Grupo Industrial S.A.</x:v>
      </x:c>
      <x:c r="C212" s="28" t="str">
        <x:v>Planta São Paulo</x:v>
      </x:c>
      <x:c r="D212" s="28" t="str">
        <x:v>Linha 1 - Corte</x:v>
      </x:c>
      <x:c r="E212" s="28" t="str">
        <x:v>SKU-001</x:v>
      </x:c>
      <x:c r="F212" s="28" t="str">
        <x:v>Alimentos</x:v>
      </x:c>
      <x:c r="G212" s="32" t="n">
        <x:v>6284</x:v>
      </x:c>
      <x:c r="H212" s="32" t="n">
        <x:v>5953</x:v>
      </x:c>
      <x:c r="I212" s="32" t="n">
        <x:v>120</x:v>
      </x:c>
      <x:c r="J212" s="32" t="n">
        <x:v>17.13</x:v>
      </x:c>
      <x:c r="K212" s="32" t="n">
        <x:v>57.88</x:v>
      </x:c>
      <x:c r="L212" s="32" t="n">
        <x:v>62</x:v>
      </x:c>
      <x:c r="M212" s="36" t="n">
        <x:v>0.8573</x:v>
      </x:c>
      <x:c r="N212" s="36" t="n">
        <x:v>0.9335</x:v>
      </x:c>
    </x:row>
    <x:row r="213">
      <x:c r="A213" s="34" t="n">
        <x:v>45537</x:v>
      </x:c>
      <x:c r="B213" s="28" t="str">
        <x:v>Grupo Industrial S.A.</x:v>
      </x:c>
      <x:c r="C213" s="28" t="str">
        <x:v>Planta São Paulo</x:v>
      </x:c>
      <x:c r="D213" s="28" t="str">
        <x:v>Linha 2 - Montagem</x:v>
      </x:c>
      <x:c r="E213" s="28" t="str">
        <x:v>SKU-002</x:v>
      </x:c>
      <x:c r="F213" s="28" t="str">
        <x:v>Alimentos</x:v>
      </x:c>
      <x:c r="G213" s="32" t="n">
        <x:v>5193</x:v>
      </x:c>
      <x:c r="H213" s="32" t="n">
        <x:v>4954</x:v>
      </x:c>
      <x:c r="I213" s="32" t="n">
        <x:v>120</x:v>
      </x:c>
      <x:c r="J213" s="32" t="n">
        <x:v>12.6</x:v>
      </x:c>
      <x:c r="K213" s="32" t="n">
        <x:v>53.65</x:v>
      </x:c>
      <x:c r="L213" s="32" t="n">
        <x:v>58</x:v>
      </x:c>
      <x:c r="M213" s="36" t="n">
        <x:v>0.895</x:v>
      </x:c>
      <x:c r="N213" s="36" t="n">
        <x:v>0.9251</x:v>
      </x:c>
    </x:row>
    <x:row r="214">
      <x:c r="A214" s="34" t="n">
        <x:v>45537</x:v>
      </x:c>
      <x:c r="B214" s="28" t="str">
        <x:v>Grupo Industrial S.A.</x:v>
      </x:c>
      <x:c r="C214" s="28" t="str">
        <x:v>Planta Campinas</x:v>
      </x:c>
      <x:c r="D214" s="28" t="str">
        <x:v>Linha 3 - Extrusão</x:v>
      </x:c>
      <x:c r="E214" s="28" t="str">
        <x:v>SKU-078</x:v>
      </x:c>
      <x:c r="F214" s="28" t="str">
        <x:v>Higiene e Limpeza</x:v>
      </x:c>
      <x:c r="G214" s="32" t="n">
        <x:v>4135</x:v>
      </x:c>
      <x:c r="H214" s="32" t="n">
        <x:v>3948</x:v>
      </x:c>
      <x:c r="I214" s="32" t="n">
        <x:v>120</x:v>
      </x:c>
      <x:c r="J214" s="32" t="n">
        <x:v>23.19</x:v>
      </x:c>
      <x:c r="K214" s="32" t="n">
        <x:v>46.05</x:v>
      </x:c>
      <x:c r="L214" s="32" t="n">
        <x:v>54</x:v>
      </x:c>
      <x:c r="M214" s="36" t="n">
        <x:v>0.8067</x:v>
      </x:c>
      <x:c r="N214" s="36" t="n">
        <x:v>0.8528</x:v>
      </x:c>
    </x:row>
    <x:row r="215">
      <x:c r="A215" s="34" t="n">
        <x:v>45537</x:v>
      </x:c>
      <x:c r="B215" s="28" t="str">
        <x:v>Grupo Industrial S.A.</x:v>
      </x:c>
      <x:c r="C215" s="28" t="str">
        <x:v>Planta Campinas</x:v>
      </x:c>
      <x:c r="D215" s="28" t="str">
        <x:v>Linha 4 - Embalagem</x:v>
      </x:c>
      <x:c r="E215" s="28" t="str">
        <x:v>SKU-105</x:v>
      </x:c>
      <x:c r="F215" s="28" t="str">
        <x:v>Embalagens</x:v>
      </x:c>
      <x:c r="G215" s="32" t="n">
        <x:v>3860</x:v>
      </x:c>
      <x:c r="H215" s="32" t="n">
        <x:v>3591</x:v>
      </x:c>
      <x:c r="I215" s="32" t="n">
        <x:v>120</x:v>
      </x:c>
      <x:c r="J215" s="32" t="n">
        <x:v>21.71</x:v>
      </x:c>
      <x:c r="K215" s="32" t="n">
        <x:v>44.05</x:v>
      </x:c>
      <x:c r="L215" s="32" t="n">
        <x:v>50</x:v>
      </x:c>
      <x:c r="M215" s="36" t="n">
        <x:v>0.8191</x:v>
      </x:c>
      <x:c r="N215" s="36" t="n">
        <x:v>0.881</x:v>
      </x:c>
    </x:row>
    <x:row r="216">
      <x:c r="A216" s="34" t="n">
        <x:v>45537</x:v>
      </x:c>
      <x:c r="B216" s="28" t="str">
        <x:v>Grupo Industrial S.A.</x:v>
      </x:c>
      <x:c r="C216" s="28" t="str">
        <x:v>Planta Curitiba</x:v>
      </x:c>
      <x:c r="D216" s="28" t="str">
        <x:v>Linha 5 - Usinagem</x:v>
      </x:c>
      <x:c r="E216" s="28" t="str">
        <x:v>SKU-223</x:v>
      </x:c>
      <x:c r="F216" s="28" t="str">
        <x:v>Bebidas</x:v>
      </x:c>
      <x:c r="G216" s="32" t="n">
        <x:v>4629</x:v>
      </x:c>
      <x:c r="H216" s="32" t="n">
        <x:v>4235</x:v>
      </x:c>
      <x:c r="I216" s="32" t="n">
        <x:v>120</x:v>
      </x:c>
      <x:c r="J216" s="32" t="n">
        <x:v>16.69</x:v>
      </x:c>
      <x:c r="K216" s="32" t="n">
        <x:v>49.81</x:v>
      </x:c>
      <x:c r="L216" s="32" t="n">
        <x:v>56</x:v>
      </x:c>
      <x:c r="M216" s="36" t="n">
        <x:v>0.8609</x:v>
      </x:c>
      <x:c r="N216" s="36" t="n">
        <x:v>0.8894</x:v>
      </x:c>
    </x:row>
    <x:row r="217">
      <x:c r="A217" s="34" t="n">
        <x:v>45537</x:v>
      </x:c>
      <x:c r="B217" s="28" t="str">
        <x:v>Grupo Industrial S.A.</x:v>
      </x:c>
      <x:c r="C217" s="28" t="str">
        <x:v>Planta Curitiba</x:v>
      </x:c>
      <x:c r="D217" s="28" t="str">
        <x:v>Linha 6 - Finalização</x:v>
      </x:c>
      <x:c r="E217" s="28" t="str">
        <x:v>SKU-432</x:v>
      </x:c>
      <x:c r="F217" s="28" t="str">
        <x:v>Alimentos</x:v>
      </x:c>
      <x:c r="G217" s="32" t="n">
        <x:v>4070</x:v>
      </x:c>
      <x:c r="H217" s="32" t="n">
        <x:v>3755</x:v>
      </x:c>
      <x:c r="I217" s="32" t="n">
        <x:v>120</x:v>
      </x:c>
      <x:c r="J217" s="32" t="n">
        <x:v>21.3</x:v>
      </x:c>
      <x:c r="K217" s="32" t="n">
        <x:v>41.8</x:v>
      </x:c>
      <x:c r="L217" s="32" t="n">
        <x:v>48</x:v>
      </x:c>
      <x:c r="M217" s="36" t="n">
        <x:v>0.8225</x:v>
      </x:c>
      <x:c r="N217" s="36" t="n">
        <x:v>0.8709</x:v>
      </x:c>
    </x:row>
    <x:row r="218">
      <x:c r="A218" s="34" t="n">
        <x:v>45544</x:v>
      </x:c>
      <x:c r="B218" s="28" t="str">
        <x:v>Grupo Industrial S.A.</x:v>
      </x:c>
      <x:c r="C218" s="28" t="str">
        <x:v>Planta São Paulo</x:v>
      </x:c>
      <x:c r="D218" s="28" t="str">
        <x:v>Linha 1 - Corte</x:v>
      </x:c>
      <x:c r="E218" s="28" t="str">
        <x:v>SKU-001</x:v>
      </x:c>
      <x:c r="F218" s="28" t="str">
        <x:v>Alimentos</x:v>
      </x:c>
      <x:c r="G218" s="32" t="n">
        <x:v>6314</x:v>
      </x:c>
      <x:c r="H218" s="32" t="n">
        <x:v>5968</x:v>
      </x:c>
      <x:c r="I218" s="32" t="n">
        <x:v>120</x:v>
      </x:c>
      <x:c r="J218" s="32" t="n">
        <x:v>16.8</x:v>
      </x:c>
      <x:c r="K218" s="32" t="n">
        <x:v>57.83</x:v>
      </x:c>
      <x:c r="L218" s="32" t="n">
        <x:v>62</x:v>
      </x:c>
      <x:c r="M218" s="36" t="n">
        <x:v>0.86</x:v>
      </x:c>
      <x:c r="N218" s="36" t="n">
        <x:v>0.9328</x:v>
      </x:c>
    </x:row>
    <x:row r="219">
      <x:c r="A219" s="34" t="n">
        <x:v>45544</x:v>
      </x:c>
      <x:c r="B219" s="28" t="str">
        <x:v>Grupo Industrial S.A.</x:v>
      </x:c>
      <x:c r="C219" s="28" t="str">
        <x:v>Planta São Paulo</x:v>
      </x:c>
      <x:c r="D219" s="28" t="str">
        <x:v>Linha 2 - Montagem</x:v>
      </x:c>
      <x:c r="E219" s="28" t="str">
        <x:v>SKU-002</x:v>
      </x:c>
      <x:c r="F219" s="28" t="str">
        <x:v>Alimentos</x:v>
      </x:c>
      <x:c r="G219" s="32" t="n">
        <x:v>5376</x:v>
      </x:c>
      <x:c r="H219" s="32" t="n">
        <x:v>5081</x:v>
      </x:c>
      <x:c r="I219" s="32" t="n">
        <x:v>120</x:v>
      </x:c>
      <x:c r="J219" s="32" t="n">
        <x:v>14.41</x:v>
      </x:c>
      <x:c r="K219" s="32" t="n">
        <x:v>55.28</x:v>
      </x:c>
      <x:c r="L219" s="32" t="n">
        <x:v>58</x:v>
      </x:c>
      <x:c r="M219" s="36" t="n">
        <x:v>0.8799</x:v>
      </x:c>
      <x:c r="N219" s="36" t="n">
        <x:v>0.953</x:v>
      </x:c>
    </x:row>
    <x:row r="220">
      <x:c r="A220" s="34" t="n">
        <x:v>45544</x:v>
      </x:c>
      <x:c r="B220" s="28" t="str">
        <x:v>Grupo Industrial S.A.</x:v>
      </x:c>
      <x:c r="C220" s="28" t="str">
        <x:v>Planta Campinas</x:v>
      </x:c>
      <x:c r="D220" s="28" t="str">
        <x:v>Linha 3 - Extrusão</x:v>
      </x:c>
      <x:c r="E220" s="28" t="str">
        <x:v>SKU-078</x:v>
      </x:c>
      <x:c r="F220" s="28" t="str">
        <x:v>Higiene e Limpeza</x:v>
      </x:c>
      <x:c r="G220" s="32" t="n">
        <x:v>4244</x:v>
      </x:c>
      <x:c r="H220" s="32" t="n">
        <x:v>4017</x:v>
      </x:c>
      <x:c r="I220" s="32" t="n">
        <x:v>120</x:v>
      </x:c>
      <x:c r="J220" s="32" t="n">
        <x:v>21.56</x:v>
      </x:c>
      <x:c r="K220" s="32" t="n">
        <x:v>44.9</x:v>
      </x:c>
      <x:c r="L220" s="32" t="n">
        <x:v>54</x:v>
      </x:c>
      <x:c r="M220" s="36" t="n">
        <x:v>0.8203</x:v>
      </x:c>
      <x:c r="N220" s="36" t="n">
        <x:v>0.8314</x:v>
      </x:c>
    </x:row>
    <x:row r="221">
      <x:c r="A221" s="34" t="n">
        <x:v>45544</x:v>
      </x:c>
      <x:c r="B221" s="28" t="str">
        <x:v>Grupo Industrial S.A.</x:v>
      </x:c>
      <x:c r="C221" s="28" t="str">
        <x:v>Planta Campinas</x:v>
      </x:c>
      <x:c r="D221" s="28" t="str">
        <x:v>Linha 4 - Embalagem</x:v>
      </x:c>
      <x:c r="E221" s="28" t="str">
        <x:v>SKU-105</x:v>
      </x:c>
      <x:c r="F221" s="28" t="str">
        <x:v>Embalagens</x:v>
      </x:c>
      <x:c r="G221" s="32" t="n">
        <x:v>3743</x:v>
      </x:c>
      <x:c r="H221" s="32" t="n">
        <x:v>3579</x:v>
      </x:c>
      <x:c r="I221" s="32" t="n">
        <x:v>120</x:v>
      </x:c>
      <x:c r="J221" s="32" t="n">
        <x:v>22.11</x:v>
      </x:c>
      <x:c r="K221" s="32" t="n">
        <x:v>42.01</x:v>
      </x:c>
      <x:c r="L221" s="32" t="n">
        <x:v>50</x:v>
      </x:c>
      <x:c r="M221" s="36" t="n">
        <x:v>0.8157</x:v>
      </x:c>
      <x:c r="N221" s="36" t="n">
        <x:v>0.8402</x:v>
      </x:c>
    </x:row>
    <x:row r="222">
      <x:c r="A222" s="34" t="n">
        <x:v>45544</x:v>
      </x:c>
      <x:c r="B222" s="28" t="str">
        <x:v>Grupo Industrial S.A.</x:v>
      </x:c>
      <x:c r="C222" s="28" t="str">
        <x:v>Planta Curitiba</x:v>
      </x:c>
      <x:c r="D222" s="28" t="str">
        <x:v>Linha 5 - Usinagem</x:v>
      </x:c>
      <x:c r="E222" s="28" t="str">
        <x:v>SKU-223</x:v>
      </x:c>
      <x:c r="F222" s="28" t="str">
        <x:v>Bebidas</x:v>
      </x:c>
      <x:c r="G222" s="32" t="n">
        <x:v>4409</x:v>
      </x:c>
      <x:c r="H222" s="32" t="n">
        <x:v>4193</x:v>
      </x:c>
      <x:c r="I222" s="32" t="n">
        <x:v>120</x:v>
      </x:c>
      <x:c r="J222" s="32" t="n">
        <x:v>19.51</x:v>
      </x:c>
      <x:c r="K222" s="32" t="n">
        <x:v>48.91</x:v>
      </x:c>
      <x:c r="L222" s="32" t="n">
        <x:v>56</x:v>
      </x:c>
      <x:c r="M222" s="36" t="n">
        <x:v>0.8374</x:v>
      </x:c>
      <x:c r="N222" s="36" t="n">
        <x:v>0.8735</x:v>
      </x:c>
    </x:row>
    <x:row r="223">
      <x:c r="A223" s="34" t="n">
        <x:v>45544</x:v>
      </x:c>
      <x:c r="B223" s="28" t="str">
        <x:v>Grupo Industrial S.A.</x:v>
      </x:c>
      <x:c r="C223" s="28" t="str">
        <x:v>Planta Curitiba</x:v>
      </x:c>
      <x:c r="D223" s="28" t="str">
        <x:v>Linha 6 - Finalização</x:v>
      </x:c>
      <x:c r="E223" s="28" t="str">
        <x:v>SKU-432</x:v>
      </x:c>
      <x:c r="F223" s="28" t="str">
        <x:v>Alimentos</x:v>
      </x:c>
      <x:c r="G223" s="32" t="n">
        <x:v>4216</x:v>
      </x:c>
      <x:c r="H223" s="32" t="n">
        <x:v>3985</x:v>
      </x:c>
      <x:c r="I223" s="32" t="n">
        <x:v>120</x:v>
      </x:c>
      <x:c r="J223" s="32" t="n">
        <x:v>20.59</x:v>
      </x:c>
      <x:c r="K223" s="32" t="n">
        <x:v>43.24</x:v>
      </x:c>
      <x:c r="L223" s="32" t="n">
        <x:v>48</x:v>
      </x:c>
      <x:c r="M223" s="36" t="n">
        <x:v>0.8284</x:v>
      </x:c>
      <x:c r="N223" s="36" t="n">
        <x:v>0.9008</x:v>
      </x:c>
    </x:row>
    <x:row r="224">
      <x:c r="A224" s="34" t="n">
        <x:v>45551</x:v>
      </x:c>
      <x:c r="B224" s="28" t="str">
        <x:v>Grupo Industrial S.A.</x:v>
      </x:c>
      <x:c r="C224" s="28" t="str">
        <x:v>Planta São Paulo</x:v>
      </x:c>
      <x:c r="D224" s="28" t="str">
        <x:v>Linha 1 - Corte</x:v>
      </x:c>
      <x:c r="E224" s="28" t="str">
        <x:v>SKU-001</x:v>
      </x:c>
      <x:c r="F224" s="28" t="str">
        <x:v>Alimentos</x:v>
      </x:c>
      <x:c r="G224" s="32" t="n">
        <x:v>6036</x:v>
      </x:c>
      <x:c r="H224" s="32" t="n">
        <x:v>5520</x:v>
      </x:c>
      <x:c r="I224" s="32" t="n">
        <x:v>120</x:v>
      </x:c>
      <x:c r="J224" s="32" t="n">
        <x:v>14.05</x:v>
      </x:c>
      <x:c r="K224" s="32" t="n">
        <x:v>57.79</x:v>
      </x:c>
      <x:c r="L224" s="32" t="n">
        <x:v>62</x:v>
      </x:c>
      <x:c r="M224" s="36" t="n">
        <x:v>0.8829</x:v>
      </x:c>
      <x:c r="N224" s="36" t="n">
        <x:v>0.9321</x:v>
      </x:c>
    </x:row>
    <x:row r="225">
      <x:c r="A225" s="34" t="n">
        <x:v>45551</x:v>
      </x:c>
      <x:c r="B225" s="28" t="str">
        <x:v>Grupo Industrial S.A.</x:v>
      </x:c>
      <x:c r="C225" s="28" t="str">
        <x:v>Planta São Paulo</x:v>
      </x:c>
      <x:c r="D225" s="28" t="str">
        <x:v>Linha 2 - Montagem</x:v>
      </x:c>
      <x:c r="E225" s="28" t="str">
        <x:v>SKU-002</x:v>
      </x:c>
      <x:c r="F225" s="28" t="str">
        <x:v>Alimentos</x:v>
      </x:c>
      <x:c r="G225" s="32" t="n">
        <x:v>5279</x:v>
      </x:c>
      <x:c r="H225" s="32" t="n">
        <x:v>4922</x:v>
      </x:c>
      <x:c r="I225" s="32" t="n">
        <x:v>120</x:v>
      </x:c>
      <x:c r="J225" s="32" t="n">
        <x:v>16.31</x:v>
      </x:c>
      <x:c r="K225" s="32" t="n">
        <x:v>54.54</x:v>
      </x:c>
      <x:c r="L225" s="32" t="n">
        <x:v>58</x:v>
      </x:c>
      <x:c r="M225" s="36" t="n">
        <x:v>0.8641</x:v>
      </x:c>
      <x:c r="N225" s="36" t="n">
        <x:v>0.9403</x:v>
      </x:c>
    </x:row>
    <x:row r="226">
      <x:c r="A226" s="34" t="n">
        <x:v>45551</x:v>
      </x:c>
      <x:c r="B226" s="28" t="str">
        <x:v>Grupo Industrial S.A.</x:v>
      </x:c>
      <x:c r="C226" s="28" t="str">
        <x:v>Planta Campinas</x:v>
      </x:c>
      <x:c r="D226" s="28" t="str">
        <x:v>Linha 3 - Extrusão</x:v>
      </x:c>
      <x:c r="E226" s="28" t="str">
        <x:v>SKU-078</x:v>
      </x:c>
      <x:c r="F226" s="28" t="str">
        <x:v>Higiene e Limpeza</x:v>
      </x:c>
      <x:c r="G226" s="32" t="n">
        <x:v>4060</x:v>
      </x:c>
      <x:c r="H226" s="32" t="n">
        <x:v>3808</x:v>
      </x:c>
      <x:c r="I226" s="32" t="n">
        <x:v>120</x:v>
      </x:c>
      <x:c r="J226" s="32" t="n">
        <x:v>25.84</x:v>
      </x:c>
      <x:c r="K226" s="32" t="n">
        <x:v>47.54</x:v>
      </x:c>
      <x:c r="L226" s="32" t="n">
        <x:v>54</x:v>
      </x:c>
      <x:c r="M226" s="36" t="n">
        <x:v>0.7847</x:v>
      </x:c>
      <x:c r="N226" s="36" t="n">
        <x:v>0.8804</x:v>
      </x:c>
    </x:row>
    <x:row r="227">
      <x:c r="A227" s="34" t="n">
        <x:v>45551</x:v>
      </x:c>
      <x:c r="B227" s="28" t="str">
        <x:v>Grupo Industrial S.A.</x:v>
      </x:c>
      <x:c r="C227" s="28" t="str">
        <x:v>Planta Campinas</x:v>
      </x:c>
      <x:c r="D227" s="28" t="str">
        <x:v>Linha 4 - Embalagem</x:v>
      </x:c>
      <x:c r="E227" s="28" t="str">
        <x:v>SKU-105</x:v>
      </x:c>
      <x:c r="F227" s="28" t="str">
        <x:v>Embalagens</x:v>
      </x:c>
      <x:c r="G227" s="32" t="n">
        <x:v>3772</x:v>
      </x:c>
      <x:c r="H227" s="32" t="n">
        <x:v>3567</x:v>
      </x:c>
      <x:c r="I227" s="32" t="n">
        <x:v>120</x:v>
      </x:c>
      <x:c r="J227" s="32" t="n">
        <x:v>21.18</x:v>
      </x:c>
      <x:c r="K227" s="32" t="n">
        <x:v>41.79</x:v>
      </x:c>
      <x:c r="L227" s="32" t="n">
        <x:v>50</x:v>
      </x:c>
      <x:c r="M227" s="36" t="n">
        <x:v>0.8235</x:v>
      </x:c>
      <x:c r="N227" s="36" t="n">
        <x:v>0.8359</x:v>
      </x:c>
    </x:row>
    <x:row r="228">
      <x:c r="A228" s="34" t="n">
        <x:v>45551</x:v>
      </x:c>
      <x:c r="B228" s="28" t="str">
        <x:v>Grupo Industrial S.A.</x:v>
      </x:c>
      <x:c r="C228" s="28" t="str">
        <x:v>Planta Curitiba</x:v>
      </x:c>
      <x:c r="D228" s="28" t="str">
        <x:v>Linha 5 - Usinagem</x:v>
      </x:c>
      <x:c r="E228" s="28" t="str">
        <x:v>SKU-223</x:v>
      </x:c>
      <x:c r="F228" s="28" t="str">
        <x:v>Bebidas</x:v>
      </x:c>
      <x:c r="G228" s="32" t="n">
        <x:v>4468</x:v>
      </x:c>
      <x:c r="H228" s="32" t="n">
        <x:v>4092</x:v>
      </x:c>
      <x:c r="I228" s="32" t="n">
        <x:v>120</x:v>
      </x:c>
      <x:c r="J228" s="32" t="n">
        <x:v>17.56</x:v>
      </x:c>
      <x:c r="K228" s="32" t="n">
        <x:v>50.49</x:v>
      </x:c>
      <x:c r="L228" s="32" t="n">
        <x:v>56</x:v>
      </x:c>
      <x:c r="M228" s="36" t="n">
        <x:v>0.8536</x:v>
      </x:c>
      <x:c r="N228" s="36" t="n">
        <x:v>0.9017</x:v>
      </x:c>
    </x:row>
    <x:row r="229">
      <x:c r="A229" s="34" t="n">
        <x:v>45551</x:v>
      </x:c>
      <x:c r="B229" s="28" t="str">
        <x:v>Grupo Industrial S.A.</x:v>
      </x:c>
      <x:c r="C229" s="28" t="str">
        <x:v>Planta Curitiba</x:v>
      </x:c>
      <x:c r="D229" s="28" t="str">
        <x:v>Linha 6 - Finalização</x:v>
      </x:c>
      <x:c r="E229" s="28" t="str">
        <x:v>SKU-432</x:v>
      </x:c>
      <x:c r="F229" s="28" t="str">
        <x:v>Alimentos</x:v>
      </x:c>
      <x:c r="G229" s="32" t="n">
        <x:v>4147</x:v>
      </x:c>
      <x:c r="H229" s="32" t="n">
        <x:v>3824</x:v>
      </x:c>
      <x:c r="I229" s="32" t="n">
        <x:v>120</x:v>
      </x:c>
      <x:c r="J229" s="32" t="n">
        <x:v>20.64</x:v>
      </x:c>
      <x:c r="K229" s="32" t="n">
        <x:v>44.05</x:v>
      </x:c>
      <x:c r="L229" s="32" t="n">
        <x:v>48</x:v>
      </x:c>
      <x:c r="M229" s="36" t="n">
        <x:v>0.828</x:v>
      </x:c>
      <x:c r="N229" s="36" t="n">
        <x:v>0.9178</x:v>
      </x:c>
    </x:row>
    <x:row r="230">
      <x:c r="A230" s="34" t="n">
        <x:v>45558</x:v>
      </x:c>
      <x:c r="B230" s="28" t="str">
        <x:v>Grupo Industrial S.A.</x:v>
      </x:c>
      <x:c r="C230" s="28" t="str">
        <x:v>Planta São Paulo</x:v>
      </x:c>
      <x:c r="D230" s="28" t="str">
        <x:v>Linha 1 - Corte</x:v>
      </x:c>
      <x:c r="E230" s="28" t="str">
        <x:v>SKU-001</x:v>
      </x:c>
      <x:c r="F230" s="28" t="str">
        <x:v>Alimentos</x:v>
      </x:c>
      <x:c r="G230" s="32" t="n">
        <x:v>5852</x:v>
      </x:c>
      <x:c r="H230" s="32" t="n">
        <x:v>5321</x:v>
      </x:c>
      <x:c r="I230" s="32" t="n">
        <x:v>120</x:v>
      </x:c>
      <x:c r="J230" s="32" t="n">
        <x:v>12.04</x:v>
      </x:c>
      <x:c r="K230" s="32" t="n">
        <x:v>57.67</x:v>
      </x:c>
      <x:c r="L230" s="32" t="n">
        <x:v>62</x:v>
      </x:c>
      <x:c r="M230" s="36" t="n">
        <x:v>0.8997</x:v>
      </x:c>
      <x:c r="N230" s="36" t="n">
        <x:v>0.9302</x:v>
      </x:c>
    </x:row>
    <x:row r="231">
      <x:c r="A231" s="34" t="n">
        <x:v>45558</x:v>
      </x:c>
      <x:c r="B231" s="28" t="str">
        <x:v>Grupo Industrial S.A.</x:v>
      </x:c>
      <x:c r="C231" s="28" t="str">
        <x:v>Planta São Paulo</x:v>
      </x:c>
      <x:c r="D231" s="28" t="str">
        <x:v>Linha 2 - Montagem</x:v>
      </x:c>
      <x:c r="E231" s="28" t="str">
        <x:v>SKU-002</x:v>
      </x:c>
      <x:c r="F231" s="28" t="str">
        <x:v>Alimentos</x:v>
      </x:c>
      <x:c r="G231" s="32" t="n">
        <x:v>5498</x:v>
      </x:c>
      <x:c r="H231" s="32" t="n">
        <x:v>5019</x:v>
      </x:c>
      <x:c r="I231" s="32" t="n">
        <x:v>120</x:v>
      </x:c>
      <x:c r="J231" s="32" t="n">
        <x:v>12.53</x:v>
      </x:c>
      <x:c r="K231" s="32" t="n">
        <x:v>51.71</x:v>
      </x:c>
      <x:c r="L231" s="32" t="n">
        <x:v>58</x:v>
      </x:c>
      <x:c r="M231" s="36" t="n">
        <x:v>0.8956</x:v>
      </x:c>
      <x:c r="N231" s="36" t="n">
        <x:v>0.8916</x:v>
      </x:c>
    </x:row>
    <x:row r="232">
      <x:c r="A232" s="34" t="n">
        <x:v>45558</x:v>
      </x:c>
      <x:c r="B232" s="28" t="str">
        <x:v>Grupo Industrial S.A.</x:v>
      </x:c>
      <x:c r="C232" s="28" t="str">
        <x:v>Planta Campinas</x:v>
      </x:c>
      <x:c r="D232" s="28" t="str">
        <x:v>Linha 3 - Extrusão</x:v>
      </x:c>
      <x:c r="E232" s="28" t="str">
        <x:v>SKU-078</x:v>
      </x:c>
      <x:c r="F232" s="28" t="str">
        <x:v>Higiene e Limpeza</x:v>
      </x:c>
      <x:c r="G232" s="32" t="n">
        <x:v>4231</x:v>
      </x:c>
      <x:c r="H232" s="32" t="n">
        <x:v>3834</x:v>
      </x:c>
      <x:c r="I232" s="32" t="n">
        <x:v>120</x:v>
      </x:c>
      <x:c r="J232" s="32" t="n">
        <x:v>21.61</x:v>
      </x:c>
      <x:c r="K232" s="32" t="n">
        <x:v>47.82</x:v>
      </x:c>
      <x:c r="L232" s="32" t="n">
        <x:v>54</x:v>
      </x:c>
      <x:c r="M232" s="36" t="n">
        <x:v>0.8199</x:v>
      </x:c>
      <x:c r="N232" s="36" t="n">
        <x:v>0.8855</x:v>
      </x:c>
    </x:row>
    <x:row r="233">
      <x:c r="A233" s="34" t="n">
        <x:v>45558</x:v>
      </x:c>
      <x:c r="B233" s="28" t="str">
        <x:v>Grupo Industrial S.A.</x:v>
      </x:c>
      <x:c r="C233" s="28" t="str">
        <x:v>Planta Campinas</x:v>
      </x:c>
      <x:c r="D233" s="28" t="str">
        <x:v>Linha 4 - Embalagem</x:v>
      </x:c>
      <x:c r="E233" s="28" t="str">
        <x:v>SKU-105</x:v>
      </x:c>
      <x:c r="F233" s="28" t="str">
        <x:v>Embalagens</x:v>
      </x:c>
      <x:c r="G233" s="32" t="n">
        <x:v>3546</x:v>
      </x:c>
      <x:c r="H233" s="32" t="n">
        <x:v>3269</x:v>
      </x:c>
      <x:c r="I233" s="32" t="n">
        <x:v>120</x:v>
      </x:c>
      <x:c r="J233" s="32" t="n">
        <x:v>21.09</x:v>
      </x:c>
      <x:c r="K233" s="32" t="n">
        <x:v>42.55</x:v>
      </x:c>
      <x:c r="L233" s="32" t="n">
        <x:v>50</x:v>
      </x:c>
      <x:c r="M233" s="36" t="n">
        <x:v>0.8242</x:v>
      </x:c>
      <x:c r="N233" s="36" t="n">
        <x:v>0.8509</x:v>
      </x:c>
    </x:row>
    <x:row r="234">
      <x:c r="A234" s="34" t="n">
        <x:v>45558</x:v>
      </x:c>
      <x:c r="B234" s="28" t="str">
        <x:v>Grupo Industrial S.A.</x:v>
      </x:c>
      <x:c r="C234" s="28" t="str">
        <x:v>Planta Curitiba</x:v>
      </x:c>
      <x:c r="D234" s="28" t="str">
        <x:v>Linha 5 - Usinagem</x:v>
      </x:c>
      <x:c r="E234" s="28" t="str">
        <x:v>SKU-223</x:v>
      </x:c>
      <x:c r="F234" s="28" t="str">
        <x:v>Bebidas</x:v>
      </x:c>
      <x:c r="G234" s="32" t="n">
        <x:v>4596</x:v>
      </x:c>
      <x:c r="H234" s="32" t="n">
        <x:v>4413</x:v>
      </x:c>
      <x:c r="I234" s="32" t="n">
        <x:v>120</x:v>
      </x:c>
      <x:c r="J234" s="32" t="n">
        <x:v>18.7</x:v>
      </x:c>
      <x:c r="K234" s="32" t="n">
        <x:v>48.3</x:v>
      </x:c>
      <x:c r="L234" s="32" t="n">
        <x:v>56</x:v>
      </x:c>
      <x:c r="M234" s="36" t="n">
        <x:v>0.8441</x:v>
      </x:c>
      <x:c r="N234" s="36" t="n">
        <x:v>0.8624</x:v>
      </x:c>
    </x:row>
    <x:row r="235">
      <x:c r="A235" s="34" t="n">
        <x:v>45558</x:v>
      </x:c>
      <x:c r="B235" s="28" t="str">
        <x:v>Grupo Industrial S.A.</x:v>
      </x:c>
      <x:c r="C235" s="28" t="str">
        <x:v>Planta Curitiba</x:v>
      </x:c>
      <x:c r="D235" s="28" t="str">
        <x:v>Linha 6 - Finalização</x:v>
      </x:c>
      <x:c r="E235" s="28" t="str">
        <x:v>SKU-432</x:v>
      </x:c>
      <x:c r="F235" s="28" t="str">
        <x:v>Alimentos</x:v>
      </x:c>
      <x:c r="G235" s="32" t="n">
        <x:v>4160</x:v>
      </x:c>
      <x:c r="H235" s="32" t="n">
        <x:v>3836</x:v>
      </x:c>
      <x:c r="I235" s="32" t="n">
        <x:v>120</x:v>
      </x:c>
      <x:c r="J235" s="32" t="n">
        <x:v>16.36</x:v>
      </x:c>
      <x:c r="K235" s="32" t="n">
        <x:v>42.61</x:v>
      </x:c>
      <x:c r="L235" s="32" t="n">
        <x:v>48</x:v>
      </x:c>
      <x:c r="M235" s="36" t="n">
        <x:v>0.8637</x:v>
      </x:c>
      <x:c r="N235" s="36" t="n">
        <x:v>0.8877</x:v>
      </x:c>
    </x:row>
    <x:row r="236">
      <x:c r="A236" s="34" t="n">
        <x:v>45565</x:v>
      </x:c>
      <x:c r="B236" s="28" t="str">
        <x:v>Grupo Industrial S.A.</x:v>
      </x:c>
      <x:c r="C236" s="28" t="str">
        <x:v>Planta São Paulo</x:v>
      </x:c>
      <x:c r="D236" s="28" t="str">
        <x:v>Linha 1 - Corte</x:v>
      </x:c>
      <x:c r="E236" s="28" t="str">
        <x:v>SKU-001</x:v>
      </x:c>
      <x:c r="F236" s="28" t="str">
        <x:v>Alimentos</x:v>
      </x:c>
      <x:c r="G236" s="32" t="n">
        <x:v>5939</x:v>
      </x:c>
      <x:c r="H236" s="32" t="n">
        <x:v>5584</x:v>
      </x:c>
      <x:c r="I236" s="32" t="n">
        <x:v>120</x:v>
      </x:c>
      <x:c r="J236" s="32" t="n">
        <x:v>16.88</x:v>
      </x:c>
      <x:c r="K236" s="32" t="n">
        <x:v>58.86</x:v>
      </x:c>
      <x:c r="L236" s="32" t="n">
        <x:v>62</x:v>
      </x:c>
      <x:c r="M236" s="36" t="n">
        <x:v>0.8593</x:v>
      </x:c>
      <x:c r="N236" s="36" t="n">
        <x:v>0.9494</x:v>
      </x:c>
    </x:row>
    <x:row r="237">
      <x:c r="A237" s="34" t="n">
        <x:v>45565</x:v>
      </x:c>
      <x:c r="B237" s="28" t="str">
        <x:v>Grupo Industrial S.A.</x:v>
      </x:c>
      <x:c r="C237" s="28" t="str">
        <x:v>Planta São Paulo</x:v>
      </x:c>
      <x:c r="D237" s="28" t="str">
        <x:v>Linha 2 - Montagem</x:v>
      </x:c>
      <x:c r="E237" s="28" t="str">
        <x:v>SKU-002</x:v>
      </x:c>
      <x:c r="F237" s="28" t="str">
        <x:v>Alimentos</x:v>
      </x:c>
      <x:c r="G237" s="32" t="n">
        <x:v>5208</x:v>
      </x:c>
      <x:c r="H237" s="32" t="n">
        <x:v>4950</x:v>
      </x:c>
      <x:c r="I237" s="32" t="n">
        <x:v>120</x:v>
      </x:c>
      <x:c r="J237" s="32" t="n">
        <x:v>13.41</x:v>
      </x:c>
      <x:c r="K237" s="32" t="n">
        <x:v>52.76</x:v>
      </x:c>
      <x:c r="L237" s="32" t="n">
        <x:v>58</x:v>
      </x:c>
      <x:c r="M237" s="36" t="n">
        <x:v>0.8883</x:v>
      </x:c>
      <x:c r="N237" s="36" t="n">
        <x:v>0.9096</x:v>
      </x:c>
    </x:row>
    <x:row r="238">
      <x:c r="A238" s="34" t="n">
        <x:v>45565</x:v>
      </x:c>
      <x:c r="B238" s="28" t="str">
        <x:v>Grupo Industrial S.A.</x:v>
      </x:c>
      <x:c r="C238" s="28" t="str">
        <x:v>Planta Campinas</x:v>
      </x:c>
      <x:c r="D238" s="28" t="str">
        <x:v>Linha 3 - Extrusão</x:v>
      </x:c>
      <x:c r="E238" s="28" t="str">
        <x:v>SKU-078</x:v>
      </x:c>
      <x:c r="F238" s="28" t="str">
        <x:v>Higiene e Limpeza</x:v>
      </x:c>
      <x:c r="G238" s="32" t="n">
        <x:v>4369</x:v>
      </x:c>
      <x:c r="H238" s="32" t="n">
        <x:v>4027</x:v>
      </x:c>
      <x:c r="I238" s="32" t="n">
        <x:v>120</x:v>
      </x:c>
      <x:c r="J238" s="32" t="n">
        <x:v>24.19</x:v>
      </x:c>
      <x:c r="K238" s="32" t="n">
        <x:v>45.65</x:v>
      </x:c>
      <x:c r="L238" s="32" t="n">
        <x:v>54</x:v>
      </x:c>
      <x:c r="M238" s="36" t="n">
        <x:v>0.7984</x:v>
      </x:c>
      <x:c r="N238" s="36" t="n">
        <x:v>0.8453</x:v>
      </x:c>
    </x:row>
    <x:row r="239">
      <x:c r="A239" s="34" t="n">
        <x:v>45565</x:v>
      </x:c>
      <x:c r="B239" s="28" t="str">
        <x:v>Grupo Industrial S.A.</x:v>
      </x:c>
      <x:c r="C239" s="28" t="str">
        <x:v>Planta Campinas</x:v>
      </x:c>
      <x:c r="D239" s="28" t="str">
        <x:v>Linha 4 - Embalagem</x:v>
      </x:c>
      <x:c r="E239" s="28" t="str">
        <x:v>SKU-105</x:v>
      </x:c>
      <x:c r="F239" s="28" t="str">
        <x:v>Embalagens</x:v>
      </x:c>
      <x:c r="G239" s="32" t="n">
        <x:v>3634</x:v>
      </x:c>
      <x:c r="H239" s="32" t="n">
        <x:v>3348</x:v>
      </x:c>
      <x:c r="I239" s="32" t="n">
        <x:v>120</x:v>
      </x:c>
      <x:c r="J239" s="32" t="n">
        <x:v>23.89</x:v>
      </x:c>
      <x:c r="K239" s="32" t="n">
        <x:v>44.34</x:v>
      </x:c>
      <x:c r="L239" s="32" t="n">
        <x:v>50</x:v>
      </x:c>
      <x:c r="M239" s="36" t="n">
        <x:v>0.8009</x:v>
      </x:c>
      <x:c r="N239" s="36" t="n">
        <x:v>0.8867</x:v>
      </x:c>
    </x:row>
    <x:row r="240">
      <x:c r="A240" s="34" t="n">
        <x:v>45565</x:v>
      </x:c>
      <x:c r="B240" s="28" t="str">
        <x:v>Grupo Industrial S.A.</x:v>
      </x:c>
      <x:c r="C240" s="28" t="str">
        <x:v>Planta Curitiba</x:v>
      </x:c>
      <x:c r="D240" s="28" t="str">
        <x:v>Linha 5 - Usinagem</x:v>
      </x:c>
      <x:c r="E240" s="28" t="str">
        <x:v>SKU-223</x:v>
      </x:c>
      <x:c r="F240" s="28" t="str">
        <x:v>Bebidas</x:v>
      </x:c>
      <x:c r="G240" s="32" t="n">
        <x:v>4634</x:v>
      </x:c>
      <x:c r="H240" s="32" t="n">
        <x:v>4385</x:v>
      </x:c>
      <x:c r="I240" s="32" t="n">
        <x:v>120</x:v>
      </x:c>
      <x:c r="J240" s="32" t="n">
        <x:v>19.63</x:v>
      </x:c>
      <x:c r="K240" s="32" t="n">
        <x:v>48.59</x:v>
      </x:c>
      <x:c r="L240" s="32" t="n">
        <x:v>56</x:v>
      </x:c>
      <x:c r="M240" s="36" t="n">
        <x:v>0.8364</x:v>
      </x:c>
      <x:c r="N240" s="36" t="n">
        <x:v>0.8677</x:v>
      </x:c>
    </x:row>
    <x:row r="241">
      <x:c r="A241" s="34" t="n">
        <x:v>45565</x:v>
      </x:c>
      <x:c r="B241" s="28" t="str">
        <x:v>Grupo Industrial S.A.</x:v>
      </x:c>
      <x:c r="C241" s="28" t="str">
        <x:v>Planta Curitiba</x:v>
      </x:c>
      <x:c r="D241" s="28" t="str">
        <x:v>Linha 6 - Finalização</x:v>
      </x:c>
      <x:c r="E241" s="28" t="str">
        <x:v>SKU-432</x:v>
      </x:c>
      <x:c r="F241" s="28" t="str">
        <x:v>Alimentos</x:v>
      </x:c>
      <x:c r="G241" s="32" t="n">
        <x:v>3888</x:v>
      </x:c>
      <x:c r="H241" s="32" t="n">
        <x:v>3716</x:v>
      </x:c>
      <x:c r="I241" s="32" t="n">
        <x:v>120</x:v>
      </x:c>
      <x:c r="J241" s="32" t="n">
        <x:v>16.39</x:v>
      </x:c>
      <x:c r="K241" s="32" t="n">
        <x:v>41.13</x:v>
      </x:c>
      <x:c r="L241" s="32" t="n">
        <x:v>48</x:v>
      </x:c>
      <x:c r="M241" s="36" t="n">
        <x:v>0.8634</x:v>
      </x:c>
      <x:c r="N241" s="36" t="n">
        <x:v>0.8568</x:v>
      </x:c>
    </x:row>
    <x:row r="242">
      <x:c r="A242" s="34" t="n">
        <x:v>45572</x:v>
      </x:c>
      <x:c r="B242" s="28" t="str">
        <x:v>Grupo Industrial S.A.</x:v>
      </x:c>
      <x:c r="C242" s="28" t="str">
        <x:v>Planta São Paulo</x:v>
      </x:c>
      <x:c r="D242" s="28" t="str">
        <x:v>Linha 1 - Corte</x:v>
      </x:c>
      <x:c r="E242" s="28" t="str">
        <x:v>SKU-001</x:v>
      </x:c>
      <x:c r="F242" s="28" t="str">
        <x:v>Alimentos</x:v>
      </x:c>
      <x:c r="G242" s="32" t="n">
        <x:v>7035</x:v>
      </x:c>
      <x:c r="H242" s="32" t="n">
        <x:v>5786</x:v>
      </x:c>
      <x:c r="I242" s="32" t="n">
        <x:v>120</x:v>
      </x:c>
      <x:c r="J242" s="32" t="n">
        <x:v>16.22</x:v>
      </x:c>
      <x:c r="K242" s="32" t="n">
        <x:v>55.76</x:v>
      </x:c>
      <x:c r="L242" s="32" t="n">
        <x:v>62</x:v>
      </x:c>
      <x:c r="M242" s="36" t="n">
        <x:v>0.8648</x:v>
      </x:c>
      <x:c r="N242" s="36" t="n">
        <x:v>0.8994</x:v>
      </x:c>
    </x:row>
    <x:row r="243">
      <x:c r="A243" s="34" t="n">
        <x:v>45572</x:v>
      </x:c>
      <x:c r="B243" s="28" t="str">
        <x:v>Grupo Industrial S.A.</x:v>
      </x:c>
      <x:c r="C243" s="28" t="str">
        <x:v>Planta São Paulo</x:v>
      </x:c>
      <x:c r="D243" s="28" t="str">
        <x:v>Linha 2 - Montagem</x:v>
      </x:c>
      <x:c r="E243" s="28" t="str">
        <x:v>SKU-002</x:v>
      </x:c>
      <x:c r="F243" s="28" t="str">
        <x:v>Alimentos</x:v>
      </x:c>
      <x:c r="G243" s="32" t="n">
        <x:v>5872</x:v>
      </x:c>
      <x:c r="H243" s="32" t="n">
        <x:v>5590</x:v>
      </x:c>
      <x:c r="I243" s="32" t="n">
        <x:v>120</x:v>
      </x:c>
      <x:c r="J243" s="32" t="n">
        <x:v>12.3</x:v>
      </x:c>
      <x:c r="K243" s="32" t="n">
        <x:v>54.92</x:v>
      </x:c>
      <x:c r="L243" s="32" t="n">
        <x:v>58</x:v>
      </x:c>
      <x:c r="M243" s="36" t="n">
        <x:v>0.8975</x:v>
      </x:c>
      <x:c r="N243" s="36" t="n">
        <x:v>0.9468</x:v>
      </x:c>
    </x:row>
    <x:row r="244">
      <x:c r="A244" s="34" t="n">
        <x:v>45572</x:v>
      </x:c>
      <x:c r="B244" s="28" t="str">
        <x:v>Grupo Industrial S.A.</x:v>
      </x:c>
      <x:c r="C244" s="28" t="str">
        <x:v>Planta Campinas</x:v>
      </x:c>
      <x:c r="D244" s="28" t="str">
        <x:v>Linha 3 - Extrusão</x:v>
      </x:c>
      <x:c r="E244" s="28" t="str">
        <x:v>SKU-078</x:v>
      </x:c>
      <x:c r="F244" s="28" t="str">
        <x:v>Higiene e Limpeza</x:v>
      </x:c>
      <x:c r="G244" s="32" t="n">
        <x:v>4363</x:v>
      </x:c>
      <x:c r="H244" s="32" t="n">
        <x:v>4108</x:v>
      </x:c>
      <x:c r="I244" s="32" t="n">
        <x:v>120</x:v>
      </x:c>
      <x:c r="J244" s="32" t="n">
        <x:v>21.6</x:v>
      </x:c>
      <x:c r="K244" s="32" t="n">
        <x:v>46.56</x:v>
      </x:c>
      <x:c r="L244" s="32" t="n">
        <x:v>54</x:v>
      </x:c>
      <x:c r="M244" s="36" t="n">
        <x:v>0.82</x:v>
      </x:c>
      <x:c r="N244" s="36" t="n">
        <x:v>0.8622</x:v>
      </x:c>
    </x:row>
    <x:row r="245">
      <x:c r="A245" s="34" t="n">
        <x:v>45572</x:v>
      </x:c>
      <x:c r="B245" s="28" t="str">
        <x:v>Grupo Industrial S.A.</x:v>
      </x:c>
      <x:c r="C245" s="28" t="str">
        <x:v>Planta Campinas</x:v>
      </x:c>
      <x:c r="D245" s="28" t="str">
        <x:v>Linha 4 - Embalagem</x:v>
      </x:c>
      <x:c r="E245" s="28" t="str">
        <x:v>SKU-105</x:v>
      </x:c>
      <x:c r="F245" s="28" t="str">
        <x:v>Embalagens</x:v>
      </x:c>
      <x:c r="G245" s="32" t="n">
        <x:v>4213</x:v>
      </x:c>
      <x:c r="H245" s="32" t="n">
        <x:v>3838</x:v>
      </x:c>
      <x:c r="I245" s="32" t="n">
        <x:v>120</x:v>
      </x:c>
      <x:c r="J245" s="32" t="n">
        <x:v>22.57</x:v>
      </x:c>
      <x:c r="K245" s="32" t="n">
        <x:v>43.31</x:v>
      </x:c>
      <x:c r="L245" s="32" t="n">
        <x:v>50</x:v>
      </x:c>
      <x:c r="M245" s="36" t="n">
        <x:v>0.812</x:v>
      </x:c>
      <x:c r="N245" s="36" t="n">
        <x:v>0.8661</x:v>
      </x:c>
    </x:row>
    <x:row r="246">
      <x:c r="A246" s="34" t="n">
        <x:v>45572</x:v>
      </x:c>
      <x:c r="B246" s="28" t="str">
        <x:v>Grupo Industrial S.A.</x:v>
      </x:c>
      <x:c r="C246" s="28" t="str">
        <x:v>Planta Curitiba</x:v>
      </x:c>
      <x:c r="D246" s="28" t="str">
        <x:v>Linha 5 - Usinagem</x:v>
      </x:c>
      <x:c r="E246" s="28" t="str">
        <x:v>SKU-223</x:v>
      </x:c>
      <x:c r="F246" s="28" t="str">
        <x:v>Bebidas</x:v>
      </x:c>
      <x:c r="G246" s="32" t="n">
        <x:v>4707</x:v>
      </x:c>
      <x:c r="H246" s="32" t="n">
        <x:v>4391</x:v>
      </x:c>
      <x:c r="I246" s="32" t="n">
        <x:v>120</x:v>
      </x:c>
      <x:c r="J246" s="32" t="n">
        <x:v>19.82</x:v>
      </x:c>
      <x:c r="K246" s="32" t="n">
        <x:v>48.4</x:v>
      </x:c>
      <x:c r="L246" s="32" t="n">
        <x:v>56</x:v>
      </x:c>
      <x:c r="M246" s="36" t="n">
        <x:v>0.8348</x:v>
      </x:c>
      <x:c r="N246" s="36" t="n">
        <x:v>0.8642</x:v>
      </x:c>
    </x:row>
    <x:row r="247">
      <x:c r="A247" s="34" t="n">
        <x:v>45572</x:v>
      </x:c>
      <x:c r="B247" s="28" t="str">
        <x:v>Grupo Industrial S.A.</x:v>
      </x:c>
      <x:c r="C247" s="28" t="str">
        <x:v>Planta Curitiba</x:v>
      </x:c>
      <x:c r="D247" s="28" t="str">
        <x:v>Linha 6 - Finalização</x:v>
      </x:c>
      <x:c r="E247" s="28" t="str">
        <x:v>SKU-432</x:v>
      </x:c>
      <x:c r="F247" s="28" t="str">
        <x:v>Alimentos</x:v>
      </x:c>
      <x:c r="G247" s="32" t="n">
        <x:v>4134</x:v>
      </x:c>
      <x:c r="H247" s="32" t="n">
        <x:v>3959</x:v>
      </x:c>
      <x:c r="I247" s="32" t="n">
        <x:v>120</x:v>
      </x:c>
      <x:c r="J247" s="32" t="n">
        <x:v>17.61</x:v>
      </x:c>
      <x:c r="K247" s="32" t="n">
        <x:v>41.64</x:v>
      </x:c>
      <x:c r="L247" s="32" t="n">
        <x:v>48</x:v>
      </x:c>
      <x:c r="M247" s="36" t="n">
        <x:v>0.8533</x:v>
      </x:c>
      <x:c r="N247" s="36" t="n">
        <x:v>0.8674</x:v>
      </x:c>
    </x:row>
    <x:row r="248">
      <x:c r="A248" s="34" t="n">
        <x:v>45579</x:v>
      </x:c>
      <x:c r="B248" s="28" t="str">
        <x:v>Grupo Industrial S.A.</x:v>
      </x:c>
      <x:c r="C248" s="28" t="str">
        <x:v>Planta São Paulo</x:v>
      </x:c>
      <x:c r="D248" s="28" t="str">
        <x:v>Linha 1 - Corte</x:v>
      </x:c>
      <x:c r="E248" s="28" t="str">
        <x:v>SKU-001</x:v>
      </x:c>
      <x:c r="F248" s="28" t="str">
        <x:v>Alimentos</x:v>
      </x:c>
      <x:c r="G248" s="32" t="n">
        <x:v>6416</x:v>
      </x:c>
      <x:c r="H248" s="32" t="n">
        <x:v>6013</x:v>
      </x:c>
      <x:c r="I248" s="32" t="n">
        <x:v>120</x:v>
      </x:c>
      <x:c r="J248" s="32" t="n">
        <x:v>15.37</x:v>
      </x:c>
      <x:c r="K248" s="32" t="n">
        <x:v>57.47</x:v>
      </x:c>
      <x:c r="L248" s="32" t="n">
        <x:v>62</x:v>
      </x:c>
      <x:c r="M248" s="36" t="n">
        <x:v>0.872</x:v>
      </x:c>
      <x:c r="N248" s="36" t="n">
        <x:v>0.9269</x:v>
      </x:c>
    </x:row>
    <x:row r="249">
      <x:c r="A249" s="34" t="n">
        <x:v>45579</x:v>
      </x:c>
      <x:c r="B249" s="28" t="str">
        <x:v>Grupo Industrial S.A.</x:v>
      </x:c>
      <x:c r="C249" s="28" t="str">
        <x:v>Planta São Paulo</x:v>
      </x:c>
      <x:c r="D249" s="28" t="str">
        <x:v>Linha 2 - Montagem</x:v>
      </x:c>
      <x:c r="E249" s="28" t="str">
        <x:v>SKU-002</x:v>
      </x:c>
      <x:c r="F249" s="28" t="str">
        <x:v>Alimentos</x:v>
      </x:c>
      <x:c r="G249" s="32" t="n">
        <x:v>5639</x:v>
      </x:c>
      <x:c r="H249" s="32" t="n">
        <x:v>5274</x:v>
      </x:c>
      <x:c r="I249" s="32" t="n">
        <x:v>120</x:v>
      </x:c>
      <x:c r="J249" s="32" t="n">
        <x:v>17.09</x:v>
      </x:c>
      <x:c r="K249" s="32" t="n">
        <x:v>53.72</x:v>
      </x:c>
      <x:c r="L249" s="32" t="n">
        <x:v>58</x:v>
      </x:c>
      <x:c r="M249" s="36" t="n">
        <x:v>0.8576</x:v>
      </x:c>
      <x:c r="N249" s="36" t="n">
        <x:v>0.9261</x:v>
      </x:c>
    </x:row>
    <x:row r="250">
      <x:c r="A250" s="34" t="n">
        <x:v>45579</x:v>
      </x:c>
      <x:c r="B250" s="28" t="str">
        <x:v>Grupo Industrial S.A.</x:v>
      </x:c>
      <x:c r="C250" s="28" t="str">
        <x:v>Planta Campinas</x:v>
      </x:c>
      <x:c r="D250" s="28" t="str">
        <x:v>Linha 3 - Extrusão</x:v>
      </x:c>
      <x:c r="E250" s="28" t="str">
        <x:v>SKU-078</x:v>
      </x:c>
      <x:c r="F250" s="28" t="str">
        <x:v>Higiene e Limpeza</x:v>
      </x:c>
      <x:c r="G250" s="32" t="n">
        <x:v>4539</x:v>
      </x:c>
      <x:c r="H250" s="32" t="n">
        <x:v>4178</x:v>
      </x:c>
      <x:c r="I250" s="32" t="n">
        <x:v>120</x:v>
      </x:c>
      <x:c r="J250" s="32" t="n">
        <x:v>25.46</x:v>
      </x:c>
      <x:c r="K250" s="32" t="n">
        <x:v>46.62</x:v>
      </x:c>
      <x:c r="L250" s="32" t="n">
        <x:v>54</x:v>
      </x:c>
      <x:c r="M250" s="36" t="n">
        <x:v>0.7878</x:v>
      </x:c>
      <x:c r="N250" s="36" t="n">
        <x:v>0.8634</x:v>
      </x:c>
    </x:row>
    <x:row r="251">
      <x:c r="A251" s="34" t="n">
        <x:v>45579</x:v>
      </x:c>
      <x:c r="B251" s="28" t="str">
        <x:v>Grupo Industrial S.A.</x:v>
      </x:c>
      <x:c r="C251" s="28" t="str">
        <x:v>Planta Campinas</x:v>
      </x:c>
      <x:c r="D251" s="28" t="str">
        <x:v>Linha 4 - Embalagem</x:v>
      </x:c>
      <x:c r="E251" s="28" t="str">
        <x:v>SKU-105</x:v>
      </x:c>
      <x:c r="F251" s="28" t="str">
        <x:v>Embalagens</x:v>
      </x:c>
      <x:c r="G251" s="32" t="n">
        <x:v>4239</x:v>
      </x:c>
      <x:c r="H251" s="32" t="n">
        <x:v>3901</x:v>
      </x:c>
      <x:c r="I251" s="32" t="n">
        <x:v>120</x:v>
      </x:c>
      <x:c r="J251" s="32" t="n">
        <x:v>21.54</x:v>
      </x:c>
      <x:c r="K251" s="32" t="n">
        <x:v>42.07</x:v>
      </x:c>
      <x:c r="L251" s="32" t="n">
        <x:v>50</x:v>
      </x:c>
      <x:c r="M251" s="36" t="n">
        <x:v>0.8205</x:v>
      </x:c>
      <x:c r="N251" s="36" t="n">
        <x:v>0.8414</x:v>
      </x:c>
    </x:row>
    <x:row r="252">
      <x:c r="A252" s="34" t="n">
        <x:v>45579</x:v>
      </x:c>
      <x:c r="B252" s="28" t="str">
        <x:v>Grupo Industrial S.A.</x:v>
      </x:c>
      <x:c r="C252" s="28" t="str">
        <x:v>Planta Curitiba</x:v>
      </x:c>
      <x:c r="D252" s="28" t="str">
        <x:v>Linha 5 - Usinagem</x:v>
      </x:c>
      <x:c r="E252" s="28" t="str">
        <x:v>SKU-223</x:v>
      </x:c>
      <x:c r="F252" s="28" t="str">
        <x:v>Bebidas</x:v>
      </x:c>
      <x:c r="G252" s="32" t="n">
        <x:v>4631</x:v>
      </x:c>
      <x:c r="H252" s="32" t="n">
        <x:v>4195</x:v>
      </x:c>
      <x:c r="I252" s="32" t="n">
        <x:v>120</x:v>
      </x:c>
      <x:c r="J252" s="32" t="n">
        <x:v>16.96</x:v>
      </x:c>
      <x:c r="K252" s="32" t="n">
        <x:v>50.99</x:v>
      </x:c>
      <x:c r="L252" s="32" t="n">
        <x:v>56</x:v>
      </x:c>
      <x:c r="M252" s="36" t="n">
        <x:v>0.8587</x:v>
      </x:c>
      <x:c r="N252" s="36" t="n">
        <x:v>0.9105</x:v>
      </x:c>
    </x:row>
    <x:row r="253">
      <x:c r="A253" s="34" t="n">
        <x:v>45579</x:v>
      </x:c>
      <x:c r="B253" s="28" t="str">
        <x:v>Grupo Industrial S.A.</x:v>
      </x:c>
      <x:c r="C253" s="28" t="str">
        <x:v>Planta Curitiba</x:v>
      </x:c>
      <x:c r="D253" s="28" t="str">
        <x:v>Linha 6 - Finalização</x:v>
      </x:c>
      <x:c r="E253" s="28" t="str">
        <x:v>SKU-432</x:v>
      </x:c>
      <x:c r="F253" s="28" t="str">
        <x:v>Alimentos</x:v>
      </x:c>
      <x:c r="G253" s="32" t="n">
        <x:v>4228</x:v>
      </x:c>
      <x:c r="H253" s="32" t="n">
        <x:v>3864</x:v>
      </x:c>
      <x:c r="I253" s="32" t="n">
        <x:v>120</x:v>
      </x:c>
      <x:c r="J253" s="32" t="n">
        <x:v>20.27</x:v>
      </x:c>
      <x:c r="K253" s="32" t="n">
        <x:v>42.76</x:v>
      </x:c>
      <x:c r="L253" s="32" t="n">
        <x:v>48</x:v>
      </x:c>
      <x:c r="M253" s="36" t="n">
        <x:v>0.8311</x:v>
      </x:c>
      <x:c r="N253" s="36" t="n">
        <x:v>0.8908</x:v>
      </x:c>
    </x:row>
    <x:row r="254">
      <x:c r="A254" s="34" t="n">
        <x:v>45586</x:v>
      </x:c>
      <x:c r="B254" s="28" t="str">
        <x:v>Grupo Industrial S.A.</x:v>
      </x:c>
      <x:c r="C254" s="28" t="str">
        <x:v>Planta São Paulo</x:v>
      </x:c>
      <x:c r="D254" s="28" t="str">
        <x:v>Linha 1 - Corte</x:v>
      </x:c>
      <x:c r="E254" s="28" t="str">
        <x:v>SKU-001</x:v>
      </x:c>
      <x:c r="F254" s="28" t="str">
        <x:v>Alimentos</x:v>
      </x:c>
      <x:c r="G254" s="32" t="n">
        <x:v>6241</x:v>
      </x:c>
      <x:c r="H254" s="32" t="n">
        <x:v>5662</x:v>
      </x:c>
      <x:c r="I254" s="32" t="n">
        <x:v>120</x:v>
      </x:c>
      <x:c r="J254" s="32" t="n">
        <x:v>12.82</x:v>
      </x:c>
      <x:c r="K254" s="32" t="n">
        <x:v>57.51</x:v>
      </x:c>
      <x:c r="L254" s="32" t="n">
        <x:v>62</x:v>
      </x:c>
      <x:c r="M254" s="36" t="n">
        <x:v>0.8931</x:v>
      </x:c>
      <x:c r="N254" s="36" t="n">
        <x:v>0.9275</x:v>
      </x:c>
    </x:row>
    <x:row r="255">
      <x:c r="A255" s="34" t="n">
        <x:v>45586</x:v>
      </x:c>
      <x:c r="B255" s="28" t="str">
        <x:v>Grupo Industrial S.A.</x:v>
      </x:c>
      <x:c r="C255" s="28" t="str">
        <x:v>Planta São Paulo</x:v>
      </x:c>
      <x:c r="D255" s="28" t="str">
        <x:v>Linha 2 - Montagem</x:v>
      </x:c>
      <x:c r="E255" s="28" t="str">
        <x:v>SKU-002</x:v>
      </x:c>
      <x:c r="F255" s="28" t="str">
        <x:v>Alimentos</x:v>
      </x:c>
      <x:c r="G255" s="32" t="n">
        <x:v>6244</x:v>
      </x:c>
      <x:c r="H255" s="32" t="n">
        <x:v>5528</x:v>
      </x:c>
      <x:c r="I255" s="32" t="n">
        <x:v>120</x:v>
      </x:c>
      <x:c r="J255" s="32" t="n">
        <x:v>14.59</x:v>
      </x:c>
      <x:c r="K255" s="32" t="n">
        <x:v>52.44</x:v>
      </x:c>
      <x:c r="L255" s="32" t="n">
        <x:v>58</x:v>
      </x:c>
      <x:c r="M255" s="36" t="n">
        <x:v>0.8784</x:v>
      </x:c>
      <x:c r="N255" s="36" t="n">
        <x:v>0.9042</x:v>
      </x:c>
    </x:row>
    <x:row r="256">
      <x:c r="A256" s="34" t="n">
        <x:v>45586</x:v>
      </x:c>
      <x:c r="B256" s="28" t="str">
        <x:v>Grupo Industrial S.A.</x:v>
      </x:c>
      <x:c r="C256" s="28" t="str">
        <x:v>Planta Campinas</x:v>
      </x:c>
      <x:c r="D256" s="28" t="str">
        <x:v>Linha 3 - Extrusão</x:v>
      </x:c>
      <x:c r="E256" s="28" t="str">
        <x:v>SKU-078</x:v>
      </x:c>
      <x:c r="F256" s="28" t="str">
        <x:v>Higiene e Limpeza</x:v>
      </x:c>
      <x:c r="G256" s="32" t="n">
        <x:v>4631</x:v>
      </x:c>
      <x:c r="H256" s="32" t="n">
        <x:v>4318</x:v>
      </x:c>
      <x:c r="I256" s="32" t="n">
        <x:v>120</x:v>
      </x:c>
      <x:c r="J256" s="32" t="n">
        <x:v>25.41</x:v>
      </x:c>
      <x:c r="K256" s="32" t="n">
        <x:v>45.65</x:v>
      </x:c>
      <x:c r="L256" s="32" t="n">
        <x:v>54</x:v>
      </x:c>
      <x:c r="M256" s="36" t="n">
        <x:v>0.7882</x:v>
      </x:c>
      <x:c r="N256" s="36" t="n">
        <x:v>0.8454</x:v>
      </x:c>
    </x:row>
    <x:row r="257">
      <x:c r="A257" s="34" t="n">
        <x:v>45586</x:v>
      </x:c>
      <x:c r="B257" s="28" t="str">
        <x:v>Grupo Industrial S.A.</x:v>
      </x:c>
      <x:c r="C257" s="28" t="str">
        <x:v>Planta Campinas</x:v>
      </x:c>
      <x:c r="D257" s="28" t="str">
        <x:v>Linha 4 - Embalagem</x:v>
      </x:c>
      <x:c r="E257" s="28" t="str">
        <x:v>SKU-105</x:v>
      </x:c>
      <x:c r="F257" s="28" t="str">
        <x:v>Embalagens</x:v>
      </x:c>
      <x:c r="G257" s="32" t="n">
        <x:v>3952</x:v>
      </x:c>
      <x:c r="H257" s="32" t="n">
        <x:v>3730</x:v>
      </x:c>
      <x:c r="I257" s="32" t="n">
        <x:v>120</x:v>
      </x:c>
      <x:c r="J257" s="32" t="n">
        <x:v>20.63</x:v>
      </x:c>
      <x:c r="K257" s="32" t="n">
        <x:v>41.46</x:v>
      </x:c>
      <x:c r="L257" s="32" t="n">
        <x:v>50</x:v>
      </x:c>
      <x:c r="M257" s="36" t="n">
        <x:v>0.8281</x:v>
      </x:c>
      <x:c r="N257" s="36" t="n">
        <x:v>0.8291</x:v>
      </x:c>
    </x:row>
    <x:row r="258">
      <x:c r="A258" s="34" t="n">
        <x:v>45586</x:v>
      </x:c>
      <x:c r="B258" s="28" t="str">
        <x:v>Grupo Industrial S.A.</x:v>
      </x:c>
      <x:c r="C258" s="28" t="str">
        <x:v>Planta Curitiba</x:v>
      </x:c>
      <x:c r="D258" s="28" t="str">
        <x:v>Linha 5 - Usinagem</x:v>
      </x:c>
      <x:c r="E258" s="28" t="str">
        <x:v>SKU-223</x:v>
      </x:c>
      <x:c r="F258" s="28" t="str">
        <x:v>Bebidas</x:v>
      </x:c>
      <x:c r="G258" s="32" t="n">
        <x:v>4779</x:v>
      </x:c>
      <x:c r="H258" s="32" t="n">
        <x:v>4557</x:v>
      </x:c>
      <x:c r="I258" s="32" t="n">
        <x:v>120</x:v>
      </x:c>
      <x:c r="J258" s="32" t="n">
        <x:v>19.28</x:v>
      </x:c>
      <x:c r="K258" s="32" t="n">
        <x:v>48.17</x:v>
      </x:c>
      <x:c r="L258" s="32" t="n">
        <x:v>56</x:v>
      </x:c>
      <x:c r="M258" s="36" t="n">
        <x:v>0.8393</x:v>
      </x:c>
      <x:c r="N258" s="36" t="n">
        <x:v>0.8602</x:v>
      </x:c>
    </x:row>
    <x:row r="259">
      <x:c r="A259" s="34" t="n">
        <x:v>45586</x:v>
      </x:c>
      <x:c r="B259" s="28" t="str">
        <x:v>Grupo Industrial S.A.</x:v>
      </x:c>
      <x:c r="C259" s="28" t="str">
        <x:v>Planta Curitiba</x:v>
      </x:c>
      <x:c r="D259" s="28" t="str">
        <x:v>Linha 6 - Finalização</x:v>
      </x:c>
      <x:c r="E259" s="28" t="str">
        <x:v>SKU-432</x:v>
      </x:c>
      <x:c r="F259" s="28" t="str">
        <x:v>Alimentos</x:v>
      </x:c>
      <x:c r="G259" s="32" t="n">
        <x:v>4537</x:v>
      </x:c>
      <x:c r="H259" s="32" t="n">
        <x:v>4347</x:v>
      </x:c>
      <x:c r="I259" s="32" t="n">
        <x:v>120</x:v>
      </x:c>
      <x:c r="J259" s="32" t="n">
        <x:v>18.32</x:v>
      </x:c>
      <x:c r="K259" s="32" t="n">
        <x:v>43.63</x:v>
      </x:c>
      <x:c r="L259" s="32" t="n">
        <x:v>48</x:v>
      </x:c>
      <x:c r="M259" s="36" t="n">
        <x:v>0.8473</x:v>
      </x:c>
      <x:c r="N259" s="36" t="n">
        <x:v>0.9089</x:v>
      </x:c>
    </x:row>
    <x:row r="260">
      <x:c r="A260" s="34" t="n">
        <x:v>45593</x:v>
      </x:c>
      <x:c r="B260" s="28" t="str">
        <x:v>Grupo Industrial S.A.</x:v>
      </x:c>
      <x:c r="C260" s="28" t="str">
        <x:v>Planta São Paulo</x:v>
      </x:c>
      <x:c r="D260" s="28" t="str">
        <x:v>Linha 1 - Corte</x:v>
      </x:c>
      <x:c r="E260" s="28" t="str">
        <x:v>SKU-001</x:v>
      </x:c>
      <x:c r="F260" s="28" t="str">
        <x:v>Alimentos</x:v>
      </x:c>
      <x:c r="G260" s="32" t="n">
        <x:v>6770</x:v>
      </x:c>
      <x:c r="H260" s="32" t="n">
        <x:v>5883</x:v>
      </x:c>
      <x:c r="I260" s="32" t="n">
        <x:v>120</x:v>
      </x:c>
      <x:c r="J260" s="32" t="n">
        <x:v>15.72</x:v>
      </x:c>
      <x:c r="K260" s="32" t="n">
        <x:v>56.42</x:v>
      </x:c>
      <x:c r="L260" s="32" t="n">
        <x:v>62</x:v>
      </x:c>
      <x:c r="M260" s="36" t="n">
        <x:v>0.869</x:v>
      </x:c>
      <x:c r="N260" s="36" t="n">
        <x:v>0.91</x:v>
      </x:c>
    </x:row>
    <x:row r="261">
      <x:c r="A261" s="34" t="n">
        <x:v>45593</x:v>
      </x:c>
      <x:c r="B261" s="28" t="str">
        <x:v>Grupo Industrial S.A.</x:v>
      </x:c>
      <x:c r="C261" s="28" t="str">
        <x:v>Planta São Paulo</x:v>
      </x:c>
      <x:c r="D261" s="28" t="str">
        <x:v>Linha 2 - Montagem</x:v>
      </x:c>
      <x:c r="E261" s="28" t="str">
        <x:v>SKU-002</x:v>
      </x:c>
      <x:c r="F261" s="28" t="str">
        <x:v>Alimentos</x:v>
      </x:c>
      <x:c r="G261" s="32" t="n">
        <x:v>5797</x:v>
      </x:c>
      <x:c r="H261" s="32" t="n">
        <x:v>5564</x:v>
      </x:c>
      <x:c r="I261" s="32" t="n">
        <x:v>120</x:v>
      </x:c>
      <x:c r="J261" s="32" t="n">
        <x:v>16.14</x:v>
      </x:c>
      <x:c r="K261" s="32" t="n">
        <x:v>54.77</x:v>
      </x:c>
      <x:c r="L261" s="32" t="n">
        <x:v>58</x:v>
      </x:c>
      <x:c r="M261" s="36" t="n">
        <x:v>0.8655</x:v>
      </x:c>
      <x:c r="N261" s="36" t="n">
        <x:v>0.9443</x:v>
      </x:c>
    </x:row>
    <x:row r="262">
      <x:c r="A262" s="34" t="n">
        <x:v>45593</x:v>
      </x:c>
      <x:c r="B262" s="28" t="str">
        <x:v>Grupo Industrial S.A.</x:v>
      </x:c>
      <x:c r="C262" s="28" t="str">
        <x:v>Planta Campinas</x:v>
      </x:c>
      <x:c r="D262" s="28" t="str">
        <x:v>Linha 3 - Extrusão</x:v>
      </x:c>
      <x:c r="E262" s="28" t="str">
        <x:v>SKU-078</x:v>
      </x:c>
      <x:c r="F262" s="28" t="str">
        <x:v>Higiene e Limpeza</x:v>
      </x:c>
      <x:c r="G262" s="32" t="n">
        <x:v>4376</x:v>
      </x:c>
      <x:c r="H262" s="32" t="n">
        <x:v>4207</x:v>
      </x:c>
      <x:c r="I262" s="32" t="n">
        <x:v>120</x:v>
      </x:c>
      <x:c r="J262" s="32" t="n">
        <x:v>24.1</x:v>
      </x:c>
      <x:c r="K262" s="32" t="n">
        <x:v>48.03</x:v>
      </x:c>
      <x:c r="L262" s="32" t="n">
        <x:v>54</x:v>
      </x:c>
      <x:c r="M262" s="36" t="n">
        <x:v>0.7991</x:v>
      </x:c>
      <x:c r="N262" s="36" t="n">
        <x:v>0.8895</x:v>
      </x:c>
    </x:row>
    <x:row r="263">
      <x:c r="A263" s="34" t="n">
        <x:v>45593</x:v>
      </x:c>
      <x:c r="B263" s="28" t="str">
        <x:v>Grupo Industrial S.A.</x:v>
      </x:c>
      <x:c r="C263" s="28" t="str">
        <x:v>Planta Campinas</x:v>
      </x:c>
      <x:c r="D263" s="28" t="str">
        <x:v>Linha 4 - Embalagem</x:v>
      </x:c>
      <x:c r="E263" s="28" t="str">
        <x:v>SKU-105</x:v>
      </x:c>
      <x:c r="F263" s="28" t="str">
        <x:v>Embalagens</x:v>
      </x:c>
      <x:c r="G263" s="32" t="n">
        <x:v>3845</x:v>
      </x:c>
      <x:c r="H263" s="32" t="n">
        <x:v>3649</x:v>
      </x:c>
      <x:c r="I263" s="32" t="n">
        <x:v>120</x:v>
      </x:c>
      <x:c r="J263" s="32" t="n">
        <x:v>21.88</x:v>
      </x:c>
      <x:c r="K263" s="32" t="n">
        <x:v>41.62</x:v>
      </x:c>
      <x:c r="L263" s="32" t="n">
        <x:v>50</x:v>
      </x:c>
      <x:c r="M263" s="36" t="n">
        <x:v>0.8177</x:v>
      </x:c>
      <x:c r="N263" s="36" t="n">
        <x:v>0.8325</x:v>
      </x:c>
    </x:row>
    <x:row r="264">
      <x:c r="A264" s="34" t="n">
        <x:v>45593</x:v>
      </x:c>
      <x:c r="B264" s="28" t="str">
        <x:v>Grupo Industrial S.A.</x:v>
      </x:c>
      <x:c r="C264" s="28" t="str">
        <x:v>Planta Curitiba</x:v>
      </x:c>
      <x:c r="D264" s="28" t="str">
        <x:v>Linha 5 - Usinagem</x:v>
      </x:c>
      <x:c r="E264" s="28" t="str">
        <x:v>SKU-223</x:v>
      </x:c>
      <x:c r="F264" s="28" t="str">
        <x:v>Bebidas</x:v>
      </x:c>
      <x:c r="G264" s="32" t="n">
        <x:v>5100</x:v>
      </x:c>
      <x:c r="H264" s="32" t="n">
        <x:v>4850</x:v>
      </x:c>
      <x:c r="I264" s="32" t="n">
        <x:v>120</x:v>
      </x:c>
      <x:c r="J264" s="32" t="n">
        <x:v>19.27</x:v>
      </x:c>
      <x:c r="K264" s="32" t="n">
        <x:v>50.14</x:v>
      </x:c>
      <x:c r="L264" s="32" t="n">
        <x:v>56</x:v>
      </x:c>
      <x:c r="M264" s="36" t="n">
        <x:v>0.8394</x:v>
      </x:c>
      <x:c r="N264" s="36" t="n">
        <x:v>0.8954</x:v>
      </x:c>
    </x:row>
    <x:row r="265">
      <x:c r="A265" s="34" t="n">
        <x:v>45593</x:v>
      </x:c>
      <x:c r="B265" s="28" t="str">
        <x:v>Grupo Industrial S.A.</x:v>
      </x:c>
      <x:c r="C265" s="28" t="str">
        <x:v>Planta Curitiba</x:v>
      </x:c>
      <x:c r="D265" s="28" t="str">
        <x:v>Linha 6 - Finalização</x:v>
      </x:c>
      <x:c r="E265" s="28" t="str">
        <x:v>SKU-432</x:v>
      </x:c>
      <x:c r="F265" s="28" t="str">
        <x:v>Alimentos</x:v>
      </x:c>
      <x:c r="G265" s="32" t="n">
        <x:v>4410</x:v>
      </x:c>
      <x:c r="H265" s="32" t="n">
        <x:v>4045</x:v>
      </x:c>
      <x:c r="I265" s="32" t="n">
        <x:v>120</x:v>
      </x:c>
      <x:c r="J265" s="32" t="n">
        <x:v>17.14</x:v>
      </x:c>
      <x:c r="K265" s="32" t="n">
        <x:v>43.06</x:v>
      </x:c>
      <x:c r="L265" s="32" t="n">
        <x:v>48</x:v>
      </x:c>
      <x:c r="M265" s="36" t="n">
        <x:v>0.8572</x:v>
      </x:c>
      <x:c r="N265" s="36" t="n">
        <x:v>0.8972</x:v>
      </x:c>
    </x:row>
    <x:row r="266">
      <x:c r="A266" s="34" t="n">
        <x:v>45600</x:v>
      </x:c>
      <x:c r="B266" s="28" t="str">
        <x:v>Grupo Industrial S.A.</x:v>
      </x:c>
      <x:c r="C266" s="28" t="str">
        <x:v>Planta São Paulo</x:v>
      </x:c>
      <x:c r="D266" s="28" t="str">
        <x:v>Linha 1 - Corte</x:v>
      </x:c>
      <x:c r="E266" s="28" t="str">
        <x:v>SKU-001</x:v>
      </x:c>
      <x:c r="F266" s="28" t="str">
        <x:v>Alimentos</x:v>
      </x:c>
      <x:c r="G266" s="32" t="n">
        <x:v>6577</x:v>
      </x:c>
      <x:c r="H266" s="32" t="n">
        <x:v>6010</x:v>
      </x:c>
      <x:c r="I266" s="32" t="n">
        <x:v>120</x:v>
      </x:c>
      <x:c r="J266" s="32" t="n">
        <x:v>12.87</x:v>
      </x:c>
      <x:c r="K266" s="32" t="n">
        <x:v>56.11</x:v>
      </x:c>
      <x:c r="L266" s="32" t="n">
        <x:v>62</x:v>
      </x:c>
      <x:c r="M266" s="36" t="n">
        <x:v>0.8928</x:v>
      </x:c>
      <x:c r="N266" s="36" t="n">
        <x:v>0.905</x:v>
      </x:c>
    </x:row>
    <x:row r="267">
      <x:c r="A267" s="34" t="n">
        <x:v>45600</x:v>
      </x:c>
      <x:c r="B267" s="28" t="str">
        <x:v>Grupo Industrial S.A.</x:v>
      </x:c>
      <x:c r="C267" s="28" t="str">
        <x:v>Planta São Paulo</x:v>
      </x:c>
      <x:c r="D267" s="28" t="str">
        <x:v>Linha 2 - Montagem</x:v>
      </x:c>
      <x:c r="E267" s="28" t="str">
        <x:v>SKU-002</x:v>
      </x:c>
      <x:c r="F267" s="28" t="str">
        <x:v>Alimentos</x:v>
      </x:c>
      <x:c r="G267" s="32" t="n">
        <x:v>5299</x:v>
      </x:c>
      <x:c r="H267" s="32" t="n">
        <x:v>4879</x:v>
      </x:c>
      <x:c r="I267" s="32" t="n">
        <x:v>120</x:v>
      </x:c>
      <x:c r="J267" s="32" t="n">
        <x:v>13.57</x:v>
      </x:c>
      <x:c r="K267" s="32" t="n">
        <x:v>55.06</x:v>
      </x:c>
      <x:c r="L267" s="32" t="n">
        <x:v>58</x:v>
      </x:c>
      <x:c r="M267" s="36" t="n">
        <x:v>0.8869</x:v>
      </x:c>
      <x:c r="N267" s="36" t="n">
        <x:v>0.9494</x:v>
      </x:c>
    </x:row>
    <x:row r="268">
      <x:c r="A268" s="34" t="n">
        <x:v>45600</x:v>
      </x:c>
      <x:c r="B268" s="28" t="str">
        <x:v>Grupo Industrial S.A.</x:v>
      </x:c>
      <x:c r="C268" s="28" t="str">
        <x:v>Planta Campinas</x:v>
      </x:c>
      <x:c r="D268" s="28" t="str">
        <x:v>Linha 3 - Extrusão</x:v>
      </x:c>
      <x:c r="E268" s="28" t="str">
        <x:v>SKU-078</x:v>
      </x:c>
      <x:c r="F268" s="28" t="str">
        <x:v>Higiene e Limpeza</x:v>
      </x:c>
      <x:c r="G268" s="32" t="n">
        <x:v>4441</x:v>
      </x:c>
      <x:c r="H268" s="32" t="n">
        <x:v>4252</x:v>
      </x:c>
      <x:c r="I268" s="32" t="n">
        <x:v>120</x:v>
      </x:c>
      <x:c r="J268" s="32" t="n">
        <x:v>24.42</x:v>
      </x:c>
      <x:c r="K268" s="32" t="n">
        <x:v>46.93</x:v>
      </x:c>
      <x:c r="L268" s="32" t="n">
        <x:v>54</x:v>
      </x:c>
      <x:c r="M268" s="36" t="n">
        <x:v>0.7965</x:v>
      </x:c>
      <x:c r="N268" s="36" t="n">
        <x:v>0.869</x:v>
      </x:c>
    </x:row>
    <x:row r="269">
      <x:c r="A269" s="34" t="n">
        <x:v>45600</x:v>
      </x:c>
      <x:c r="B269" s="28" t="str">
        <x:v>Grupo Industrial S.A.</x:v>
      </x:c>
      <x:c r="C269" s="28" t="str">
        <x:v>Planta Campinas</x:v>
      </x:c>
      <x:c r="D269" s="28" t="str">
        <x:v>Linha 4 - Embalagem</x:v>
      </x:c>
      <x:c r="E269" s="28" t="str">
        <x:v>SKU-105</x:v>
      </x:c>
      <x:c r="F269" s="28" t="str">
        <x:v>Embalagens</x:v>
      </x:c>
      <x:c r="G269" s="32" t="n">
        <x:v>3891</x:v>
      </x:c>
      <x:c r="H269" s="32" t="n">
        <x:v>3703</x:v>
      </x:c>
      <x:c r="I269" s="32" t="n">
        <x:v>120</x:v>
      </x:c>
      <x:c r="J269" s="32" t="n">
        <x:v>21.21</x:v>
      </x:c>
      <x:c r="K269" s="32" t="n">
        <x:v>42.51</x:v>
      </x:c>
      <x:c r="L269" s="32" t="n">
        <x:v>50</x:v>
      </x:c>
      <x:c r="M269" s="36" t="n">
        <x:v>0.8232</x:v>
      </x:c>
      <x:c r="N269" s="36" t="n">
        <x:v>0.8503</x:v>
      </x:c>
    </x:row>
    <x:row r="270">
      <x:c r="A270" s="34" t="n">
        <x:v>45600</x:v>
      </x:c>
      <x:c r="B270" s="28" t="str">
        <x:v>Grupo Industrial S.A.</x:v>
      </x:c>
      <x:c r="C270" s="28" t="str">
        <x:v>Planta Curitiba</x:v>
      </x:c>
      <x:c r="D270" s="28" t="str">
        <x:v>Linha 5 - Usinagem</x:v>
      </x:c>
      <x:c r="E270" s="28" t="str">
        <x:v>SKU-223</x:v>
      </x:c>
      <x:c r="F270" s="28" t="str">
        <x:v>Bebidas</x:v>
      </x:c>
      <x:c r="G270" s="32" t="n">
        <x:v>4619</x:v>
      </x:c>
      <x:c r="H270" s="32" t="n">
        <x:v>4245</x:v>
      </x:c>
      <x:c r="I270" s="32" t="n">
        <x:v>120</x:v>
      </x:c>
      <x:c r="J270" s="32" t="n">
        <x:v>19.93</x:v>
      </x:c>
      <x:c r="K270" s="32" t="n">
        <x:v>49.86</x:v>
      </x:c>
      <x:c r="L270" s="32" t="n">
        <x:v>56</x:v>
      </x:c>
      <x:c r="M270" s="36" t="n">
        <x:v>0.8339</x:v>
      </x:c>
      <x:c r="N270" s="36" t="n">
        <x:v>0.8903</x:v>
      </x:c>
    </x:row>
    <x:row r="271">
      <x:c r="A271" s="34" t="n">
        <x:v>45600</x:v>
      </x:c>
      <x:c r="B271" s="28" t="str">
        <x:v>Grupo Industrial S.A.</x:v>
      </x:c>
      <x:c r="C271" s="28" t="str">
        <x:v>Planta Curitiba</x:v>
      </x:c>
      <x:c r="D271" s="28" t="str">
        <x:v>Linha 6 - Finalização</x:v>
      </x:c>
      <x:c r="E271" s="28" t="str">
        <x:v>SKU-432</x:v>
      </x:c>
      <x:c r="F271" s="28" t="str">
        <x:v>Alimentos</x:v>
      </x:c>
      <x:c r="G271" s="32" t="n">
        <x:v>4299</x:v>
      </x:c>
      <x:c r="H271" s="32" t="n">
        <x:v>3990</x:v>
      </x:c>
      <x:c r="I271" s="32" t="n">
        <x:v>120</x:v>
      </x:c>
      <x:c r="J271" s="32" t="n">
        <x:v>19.34</x:v>
      </x:c>
      <x:c r="K271" s="32" t="n">
        <x:v>43.93</x:v>
      </x:c>
      <x:c r="L271" s="32" t="n">
        <x:v>48</x:v>
      </x:c>
      <x:c r="M271" s="36" t="n">
        <x:v>0.8388</x:v>
      </x:c>
      <x:c r="N271" s="36" t="n">
        <x:v>0.9152</x:v>
      </x:c>
    </x:row>
    <x:row r="272">
      <x:c r="A272" s="34" t="n">
        <x:v>45607</x:v>
      </x:c>
      <x:c r="B272" s="28" t="str">
        <x:v>Grupo Industrial S.A.</x:v>
      </x:c>
      <x:c r="C272" s="28" t="str">
        <x:v>Planta São Paulo</x:v>
      </x:c>
      <x:c r="D272" s="28" t="str">
        <x:v>Linha 1 - Corte</x:v>
      </x:c>
      <x:c r="E272" s="28" t="str">
        <x:v>SKU-001</x:v>
      </x:c>
      <x:c r="F272" s="28" t="str">
        <x:v>Alimentos</x:v>
      </x:c>
      <x:c r="G272" s="32" t="n">
        <x:v>6422</x:v>
      </x:c>
      <x:c r="H272" s="32" t="n">
        <x:v>5848</x:v>
      </x:c>
      <x:c r="I272" s="32" t="n">
        <x:v>120</x:v>
      </x:c>
      <x:c r="J272" s="32" t="n">
        <x:v>15.39</x:v>
      </x:c>
      <x:c r="K272" s="32" t="n">
        <x:v>55.9</x:v>
      </x:c>
      <x:c r="L272" s="32" t="n">
        <x:v>62</x:v>
      </x:c>
      <x:c r="M272" s="36" t="n">
        <x:v>0.8718</x:v>
      </x:c>
      <x:c r="N272" s="36" t="n">
        <x:v>0.9017</x:v>
      </x:c>
    </x:row>
    <x:row r="273">
      <x:c r="A273" s="34" t="n">
        <x:v>45607</x:v>
      </x:c>
      <x:c r="B273" s="28" t="str">
        <x:v>Grupo Industrial S.A.</x:v>
      </x:c>
      <x:c r="C273" s="28" t="str">
        <x:v>Planta São Paulo</x:v>
      </x:c>
      <x:c r="D273" s="28" t="str">
        <x:v>Linha 2 - Montagem</x:v>
      </x:c>
      <x:c r="E273" s="28" t="str">
        <x:v>SKU-002</x:v>
      </x:c>
      <x:c r="F273" s="28" t="str">
        <x:v>Alimentos</x:v>
      </x:c>
      <x:c r="G273" s="32" t="n">
        <x:v>5490</x:v>
      </x:c>
      <x:c r="H273" s="32" t="n">
        <x:v>5226</x:v>
      </x:c>
      <x:c r="I273" s="32" t="n">
        <x:v>120</x:v>
      </x:c>
      <x:c r="J273" s="32" t="n">
        <x:v>15.56</x:v>
      </x:c>
      <x:c r="K273" s="32" t="n">
        <x:v>52.25</x:v>
      </x:c>
      <x:c r="L273" s="32" t="n">
        <x:v>58</x:v>
      </x:c>
      <x:c r="M273" s="36" t="n">
        <x:v>0.8703</x:v>
      </x:c>
      <x:c r="N273" s="36" t="n">
        <x:v>0.9009</x:v>
      </x:c>
    </x:row>
    <x:row r="274">
      <x:c r="A274" s="34" t="n">
        <x:v>45607</x:v>
      </x:c>
      <x:c r="B274" s="28" t="str">
        <x:v>Grupo Industrial S.A.</x:v>
      </x:c>
      <x:c r="C274" s="28" t="str">
        <x:v>Planta Campinas</x:v>
      </x:c>
      <x:c r="D274" s="28" t="str">
        <x:v>Linha 3 - Extrusão</x:v>
      </x:c>
      <x:c r="E274" s="28" t="str">
        <x:v>SKU-078</x:v>
      </x:c>
      <x:c r="F274" s="28" t="str">
        <x:v>Higiene e Limpeza</x:v>
      </x:c>
      <x:c r="G274" s="32" t="n">
        <x:v>4607</x:v>
      </x:c>
      <x:c r="H274" s="32" t="n">
        <x:v>4314</x:v>
      </x:c>
      <x:c r="I274" s="32" t="n">
        <x:v>120</x:v>
      </x:c>
      <x:c r="J274" s="32" t="n">
        <x:v>22.89</x:v>
      </x:c>
      <x:c r="K274" s="32" t="n">
        <x:v>45.1</x:v>
      </x:c>
      <x:c r="L274" s="32" t="n">
        <x:v>54</x:v>
      </x:c>
      <x:c r="M274" s="36" t="n">
        <x:v>0.8092</x:v>
      </x:c>
      <x:c r="N274" s="36" t="n">
        <x:v>0.8351</x:v>
      </x:c>
    </x:row>
    <x:row r="275">
      <x:c r="A275" s="34" t="n">
        <x:v>45607</x:v>
      </x:c>
      <x:c r="B275" s="28" t="str">
        <x:v>Grupo Industrial S.A.</x:v>
      </x:c>
      <x:c r="C275" s="28" t="str">
        <x:v>Planta Campinas</x:v>
      </x:c>
      <x:c r="D275" s="28" t="str">
        <x:v>Linha 4 - Embalagem</x:v>
      </x:c>
      <x:c r="E275" s="28" t="str">
        <x:v>SKU-105</x:v>
      </x:c>
      <x:c r="F275" s="28" t="str">
        <x:v>Embalagens</x:v>
      </x:c>
      <x:c r="G275" s="32" t="n">
        <x:v>4195</x:v>
      </x:c>
      <x:c r="H275" s="32" t="n">
        <x:v>3844</x:v>
      </x:c>
      <x:c r="I275" s="32" t="n">
        <x:v>120</x:v>
      </x:c>
      <x:c r="J275" s="32" t="n">
        <x:v>20.94</x:v>
      </x:c>
      <x:c r="K275" s="32" t="n">
        <x:v>43.22</x:v>
      </x:c>
      <x:c r="L275" s="32" t="n">
        <x:v>50</x:v>
      </x:c>
      <x:c r="M275" s="36" t="n">
        <x:v>0.8255</x:v>
      </x:c>
      <x:c r="N275" s="36" t="n">
        <x:v>0.8644</x:v>
      </x:c>
    </x:row>
    <x:row r="276">
      <x:c r="A276" s="34" t="n">
        <x:v>45607</x:v>
      </x:c>
      <x:c r="B276" s="28" t="str">
        <x:v>Grupo Industrial S.A.</x:v>
      </x:c>
      <x:c r="C276" s="28" t="str">
        <x:v>Planta Curitiba</x:v>
      </x:c>
      <x:c r="D276" s="28" t="str">
        <x:v>Linha 5 - Usinagem</x:v>
      </x:c>
      <x:c r="E276" s="28" t="str">
        <x:v>SKU-223</x:v>
      </x:c>
      <x:c r="F276" s="28" t="str">
        <x:v>Bebidas</x:v>
      </x:c>
      <x:c r="G276" s="32" t="n">
        <x:v>4587</x:v>
      </x:c>
      <x:c r="H276" s="32" t="n">
        <x:v>4372</x:v>
      </x:c>
      <x:c r="I276" s="32" t="n">
        <x:v>120</x:v>
      </x:c>
      <x:c r="J276" s="32" t="n">
        <x:v>16.06</x:v>
      </x:c>
      <x:c r="K276" s="32" t="n">
        <x:v>48.27</x:v>
      </x:c>
      <x:c r="L276" s="32" t="n">
        <x:v>56</x:v>
      </x:c>
      <x:c r="M276" s="36" t="n">
        <x:v>0.8662</x:v>
      </x:c>
      <x:c r="N276" s="36" t="n">
        <x:v>0.8621</x:v>
      </x:c>
    </x:row>
    <x:row r="277">
      <x:c r="A277" s="34" t="n">
        <x:v>45607</x:v>
      </x:c>
      <x:c r="B277" s="28" t="str">
        <x:v>Grupo Industrial S.A.</x:v>
      </x:c>
      <x:c r="C277" s="28" t="str">
        <x:v>Planta Curitiba</x:v>
      </x:c>
      <x:c r="D277" s="28" t="str">
        <x:v>Linha 6 - Finalização</x:v>
      </x:c>
      <x:c r="E277" s="28" t="str">
        <x:v>SKU-432</x:v>
      </x:c>
      <x:c r="F277" s="28" t="str">
        <x:v>Alimentos</x:v>
      </x:c>
      <x:c r="G277" s="32" t="n">
        <x:v>4242</x:v>
      </x:c>
      <x:c r="H277" s="32" t="n">
        <x:v>3928</x:v>
      </x:c>
      <x:c r="I277" s="32" t="n">
        <x:v>120</x:v>
      </x:c>
      <x:c r="J277" s="32" t="n">
        <x:v>19.76</x:v>
      </x:c>
      <x:c r="K277" s="32" t="n">
        <x:v>44.44</x:v>
      </x:c>
      <x:c r="L277" s="32" t="n">
        <x:v>48</x:v>
      </x:c>
      <x:c r="M277" s="36" t="n">
        <x:v>0.8354</x:v>
      </x:c>
      <x:c r="N277" s="36" t="n">
        <x:v>0.9259</x:v>
      </x:c>
    </x:row>
    <x:row r="278">
      <x:c r="A278" s="34" t="n">
        <x:v>45614</x:v>
      </x:c>
      <x:c r="B278" s="28" t="str">
        <x:v>Grupo Industrial S.A.</x:v>
      </x:c>
      <x:c r="C278" s="28" t="str">
        <x:v>Planta São Paulo</x:v>
      </x:c>
      <x:c r="D278" s="28" t="str">
        <x:v>Linha 1 - Corte</x:v>
      </x:c>
      <x:c r="E278" s="28" t="str">
        <x:v>SKU-001</x:v>
      </x:c>
      <x:c r="F278" s="28" t="str">
        <x:v>Alimentos</x:v>
      </x:c>
      <x:c r="G278" s="32" t="n">
        <x:v>6571</x:v>
      </x:c>
      <x:c r="H278" s="32" t="n">
        <x:v>6133</x:v>
      </x:c>
      <x:c r="I278" s="32" t="n">
        <x:v>120</x:v>
      </x:c>
      <x:c r="J278" s="32" t="n">
        <x:v>15.67</x:v>
      </x:c>
      <x:c r="K278" s="32" t="n">
        <x:v>59.16</x:v>
      </x:c>
      <x:c r="L278" s="32" t="n">
        <x:v>62</x:v>
      </x:c>
      <x:c r="M278" s="36" t="n">
        <x:v>0.8694</x:v>
      </x:c>
      <x:c r="N278" s="36" t="n">
        <x:v>0.9542</x:v>
      </x:c>
    </x:row>
    <x:row r="279">
      <x:c r="A279" s="34" t="n">
        <x:v>45614</x:v>
      </x:c>
      <x:c r="B279" s="28" t="str">
        <x:v>Grupo Industrial S.A.</x:v>
      </x:c>
      <x:c r="C279" s="28" t="str">
        <x:v>Planta São Paulo</x:v>
      </x:c>
      <x:c r="D279" s="28" t="str">
        <x:v>Linha 2 - Montagem</x:v>
      </x:c>
      <x:c r="E279" s="28" t="str">
        <x:v>SKU-002</x:v>
      </x:c>
      <x:c r="F279" s="28" t="str">
        <x:v>Alimentos</x:v>
      </x:c>
      <x:c r="G279" s="32" t="n">
        <x:v>5878</x:v>
      </x:c>
      <x:c r="H279" s="32" t="n">
        <x:v>5631</x:v>
      </x:c>
      <x:c r="I279" s="32" t="n">
        <x:v>120</x:v>
      </x:c>
      <x:c r="J279" s="32" t="n">
        <x:v>13.07</x:v>
      </x:c>
      <x:c r="K279" s="32" t="n">
        <x:v>54</x:v>
      </x:c>
      <x:c r="L279" s="32" t="n">
        <x:v>58</x:v>
      </x:c>
      <x:c r="M279" s="36" t="n">
        <x:v>0.8911</x:v>
      </x:c>
      <x:c r="N279" s="36" t="n">
        <x:v>0.9311</x:v>
      </x:c>
    </x:row>
    <x:row r="280">
      <x:c r="A280" s="34" t="n">
        <x:v>45614</x:v>
      </x:c>
      <x:c r="B280" s="28" t="str">
        <x:v>Grupo Industrial S.A.</x:v>
      </x:c>
      <x:c r="C280" s="28" t="str">
        <x:v>Planta Campinas</x:v>
      </x:c>
      <x:c r="D280" s="28" t="str">
        <x:v>Linha 3 - Extrusão</x:v>
      </x:c>
      <x:c r="E280" s="28" t="str">
        <x:v>SKU-078</x:v>
      </x:c>
      <x:c r="F280" s="28" t="str">
        <x:v>Higiene e Limpeza</x:v>
      </x:c>
      <x:c r="G280" s="32" t="n">
        <x:v>4624</x:v>
      </x:c>
      <x:c r="H280" s="32" t="n">
        <x:v>4185</x:v>
      </x:c>
      <x:c r="I280" s="32" t="n">
        <x:v>120</x:v>
      </x:c>
      <x:c r="J280" s="32" t="n">
        <x:v>23.03</x:v>
      </x:c>
      <x:c r="K280" s="32" t="n">
        <x:v>46.09</x:v>
      </x:c>
      <x:c r="L280" s="32" t="n">
        <x:v>54</x:v>
      </x:c>
      <x:c r="M280" s="36" t="n">
        <x:v>0.808</x:v>
      </x:c>
      <x:c r="N280" s="36" t="n">
        <x:v>0.8534</x:v>
      </x:c>
    </x:row>
    <x:row r="281">
      <x:c r="A281" s="34" t="n">
        <x:v>45614</x:v>
      </x:c>
      <x:c r="B281" s="28" t="str">
        <x:v>Grupo Industrial S.A.</x:v>
      </x:c>
      <x:c r="C281" s="28" t="str">
        <x:v>Planta Campinas</x:v>
      </x:c>
      <x:c r="D281" s="28" t="str">
        <x:v>Linha 4 - Embalagem</x:v>
      </x:c>
      <x:c r="E281" s="28" t="str">
        <x:v>SKU-105</x:v>
      </x:c>
      <x:c r="F281" s="28" t="str">
        <x:v>Embalagens</x:v>
      </x:c>
      <x:c r="G281" s="32" t="n">
        <x:v>4008</x:v>
      </x:c>
      <x:c r="H281" s="32" t="n">
        <x:v>3855</x:v>
      </x:c>
      <x:c r="I281" s="32" t="n">
        <x:v>120</x:v>
      </x:c>
      <x:c r="J281" s="32" t="n">
        <x:v>24.86</x:v>
      </x:c>
      <x:c r="K281" s="32" t="n">
        <x:v>41.76</x:v>
      </x:c>
      <x:c r="L281" s="32" t="n">
        <x:v>50</x:v>
      </x:c>
      <x:c r="M281" s="36" t="n">
        <x:v>0.7929</x:v>
      </x:c>
      <x:c r="N281" s="36" t="n">
        <x:v>0.8353</x:v>
      </x:c>
    </x:row>
    <x:row r="282">
      <x:c r="A282" s="34" t="n">
        <x:v>45614</x:v>
      </x:c>
      <x:c r="B282" s="28" t="str">
        <x:v>Grupo Industrial S.A.</x:v>
      </x:c>
      <x:c r="C282" s="28" t="str">
        <x:v>Planta Curitiba</x:v>
      </x:c>
      <x:c r="D282" s="28" t="str">
        <x:v>Linha 5 - Usinagem</x:v>
      </x:c>
      <x:c r="E282" s="28" t="str">
        <x:v>SKU-223</x:v>
      </x:c>
      <x:c r="F282" s="28" t="str">
        <x:v>Bebidas</x:v>
      </x:c>
      <x:c r="G282" s="32" t="n">
        <x:v>4464</x:v>
      </x:c>
      <x:c r="H282" s="32" t="n">
        <x:v>4142</x:v>
      </x:c>
      <x:c r="I282" s="32" t="n">
        <x:v>120</x:v>
      </x:c>
      <x:c r="J282" s="32" t="n">
        <x:v>19.3</x:v>
      </x:c>
      <x:c r="K282" s="32" t="n">
        <x:v>49.55</x:v>
      </x:c>
      <x:c r="L282" s="32" t="n">
        <x:v>56</x:v>
      </x:c>
      <x:c r="M282" s="36" t="n">
        <x:v>0.8392</x:v>
      </x:c>
      <x:c r="N282" s="36" t="n">
        <x:v>0.8849</x:v>
      </x:c>
    </x:row>
    <x:row r="283">
      <x:c r="A283" s="34" t="n">
        <x:v>45614</x:v>
      </x:c>
      <x:c r="B283" s="28" t="str">
        <x:v>Grupo Industrial S.A.</x:v>
      </x:c>
      <x:c r="C283" s="28" t="str">
        <x:v>Planta Curitiba</x:v>
      </x:c>
      <x:c r="D283" s="28" t="str">
        <x:v>Linha 6 - Finalização</x:v>
      </x:c>
      <x:c r="E283" s="28" t="str">
        <x:v>SKU-432</x:v>
      </x:c>
      <x:c r="F283" s="28" t="str">
        <x:v>Alimentos</x:v>
      </x:c>
      <x:c r="G283" s="32" t="n">
        <x:v>3943</x:v>
      </x:c>
      <x:c r="H283" s="32" t="n">
        <x:v>3699</x:v>
      </x:c>
      <x:c r="I283" s="32" t="n">
        <x:v>120</x:v>
      </x:c>
      <x:c r="J283" s="32" t="n">
        <x:v>17.54</x:v>
      </x:c>
      <x:c r="K283" s="32" t="n">
        <x:v>44.14</x:v>
      </x:c>
      <x:c r="L283" s="32" t="n">
        <x:v>48</x:v>
      </x:c>
      <x:c r="M283" s="36" t="n">
        <x:v>0.8538</x:v>
      </x:c>
      <x:c r="N283" s="36" t="n">
        <x:v>0.9197</x:v>
      </x:c>
    </x:row>
    <x:row r="284">
      <x:c r="A284" s="34" t="n">
        <x:v>45621</x:v>
      </x:c>
      <x:c r="B284" s="28" t="str">
        <x:v>Grupo Industrial S.A.</x:v>
      </x:c>
      <x:c r="C284" s="28" t="str">
        <x:v>Planta São Paulo</x:v>
      </x:c>
      <x:c r="D284" s="28" t="str">
        <x:v>Linha 1 - Corte</x:v>
      </x:c>
      <x:c r="E284" s="28" t="str">
        <x:v>SKU-001</x:v>
      </x:c>
      <x:c r="F284" s="28" t="str">
        <x:v>Alimentos</x:v>
      </x:c>
      <x:c r="G284" s="32" t="n">
        <x:v>6396</x:v>
      </x:c>
      <x:c r="H284" s="32" t="n">
        <x:v>5992</x:v>
      </x:c>
      <x:c r="I284" s="32" t="n">
        <x:v>120</x:v>
      </x:c>
      <x:c r="J284" s="32" t="n">
        <x:v>12.41</x:v>
      </x:c>
      <x:c r="K284" s="32" t="n">
        <x:v>57.89</x:v>
      </x:c>
      <x:c r="L284" s="32" t="n">
        <x:v>62</x:v>
      </x:c>
      <x:c r="M284" s="36" t="n">
        <x:v>0.8966</x:v>
      </x:c>
      <x:c r="N284" s="36" t="n">
        <x:v>0.9337</x:v>
      </x:c>
    </x:row>
    <x:row r="285">
      <x:c r="A285" s="34" t="n">
        <x:v>45621</x:v>
      </x:c>
      <x:c r="B285" s="28" t="str">
        <x:v>Grupo Industrial S.A.</x:v>
      </x:c>
      <x:c r="C285" s="28" t="str">
        <x:v>Planta São Paulo</x:v>
      </x:c>
      <x:c r="D285" s="28" t="str">
        <x:v>Linha 2 - Montagem</x:v>
      </x:c>
      <x:c r="E285" s="28" t="str">
        <x:v>SKU-002</x:v>
      </x:c>
      <x:c r="F285" s="28" t="str">
        <x:v>Alimentos</x:v>
      </x:c>
      <x:c r="G285" s="32" t="n">
        <x:v>5558</x:v>
      </x:c>
      <x:c r="H285" s="32" t="n">
        <x:v>5030</x:v>
      </x:c>
      <x:c r="I285" s="32" t="n">
        <x:v>120</x:v>
      </x:c>
      <x:c r="J285" s="32" t="n">
        <x:v>17.8</x:v>
      </x:c>
      <x:c r="K285" s="32" t="n">
        <x:v>51.62</x:v>
      </x:c>
      <x:c r="L285" s="32" t="n">
        <x:v>58</x:v>
      </x:c>
      <x:c r="M285" s="36" t="n">
        <x:v>0.8517</x:v>
      </x:c>
      <x:c r="N285" s="36" t="n">
        <x:v>0.89</x:v>
      </x:c>
    </x:row>
    <x:row r="286">
      <x:c r="A286" s="34" t="n">
        <x:v>45621</x:v>
      </x:c>
      <x:c r="B286" s="28" t="str">
        <x:v>Grupo Industrial S.A.</x:v>
      </x:c>
      <x:c r="C286" s="28" t="str">
        <x:v>Planta Campinas</x:v>
      </x:c>
      <x:c r="D286" s="28" t="str">
        <x:v>Linha 3 - Extrusão</x:v>
      </x:c>
      <x:c r="E286" s="28" t="str">
        <x:v>SKU-078</x:v>
      </x:c>
      <x:c r="F286" s="28" t="str">
        <x:v>Higiene e Limpeza</x:v>
      </x:c>
      <x:c r="G286" s="32" t="n">
        <x:v>4343</x:v>
      </x:c>
      <x:c r="H286" s="32" t="n">
        <x:v>4186</x:v>
      </x:c>
      <x:c r="I286" s="32" t="n">
        <x:v>120</x:v>
      </x:c>
      <x:c r="J286" s="32" t="n">
        <x:v>24.87</x:v>
      </x:c>
      <x:c r="K286" s="32" t="n">
        <x:v>46.44</x:v>
      </x:c>
      <x:c r="L286" s="32" t="n">
        <x:v>54</x:v>
      </x:c>
      <x:c r="M286" s="36" t="n">
        <x:v>0.7927</x:v>
      </x:c>
      <x:c r="N286" s="36" t="n">
        <x:v>0.8599</x:v>
      </x:c>
    </x:row>
    <x:row r="287">
      <x:c r="A287" s="34" t="n">
        <x:v>45621</x:v>
      </x:c>
      <x:c r="B287" s="28" t="str">
        <x:v>Grupo Industrial S.A.</x:v>
      </x:c>
      <x:c r="C287" s="28" t="str">
        <x:v>Planta Campinas</x:v>
      </x:c>
      <x:c r="D287" s="28" t="str">
        <x:v>Linha 4 - Embalagem</x:v>
      </x:c>
      <x:c r="E287" s="28" t="str">
        <x:v>SKU-105</x:v>
      </x:c>
      <x:c r="F287" s="28" t="str">
        <x:v>Embalagens</x:v>
      </x:c>
      <x:c r="G287" s="32" t="n">
        <x:v>4097</x:v>
      </x:c>
      <x:c r="H287" s="32" t="n">
        <x:v>3938</x:v>
      </x:c>
      <x:c r="I287" s="32" t="n">
        <x:v>120</x:v>
      </x:c>
      <x:c r="J287" s="32" t="n">
        <x:v>23.71</x:v>
      </x:c>
      <x:c r="K287" s="32" t="n">
        <x:v>41.68</x:v>
      </x:c>
      <x:c r="L287" s="32" t="n">
        <x:v>50</x:v>
      </x:c>
      <x:c r="M287" s="36" t="n">
        <x:v>0.8024</x:v>
      </x:c>
      <x:c r="N287" s="36" t="n">
        <x:v>0.8336</x:v>
      </x:c>
    </x:row>
    <x:row r="288">
      <x:c r="A288" s="34" t="n">
        <x:v>45621</x:v>
      </x:c>
      <x:c r="B288" s="28" t="str">
        <x:v>Grupo Industrial S.A.</x:v>
      </x:c>
      <x:c r="C288" s="28" t="str">
        <x:v>Planta Curitiba</x:v>
      </x:c>
      <x:c r="D288" s="28" t="str">
        <x:v>Linha 5 - Usinagem</x:v>
      </x:c>
      <x:c r="E288" s="28" t="str">
        <x:v>SKU-223</x:v>
      </x:c>
      <x:c r="F288" s="28" t="str">
        <x:v>Bebidas</x:v>
      </x:c>
      <x:c r="G288" s="32" t="n">
        <x:v>4430</x:v>
      </x:c>
      <x:c r="H288" s="32" t="n">
        <x:v>4114</x:v>
      </x:c>
      <x:c r="I288" s="32" t="n">
        <x:v>120</x:v>
      </x:c>
      <x:c r="J288" s="32" t="n">
        <x:v>20.36</x:v>
      </x:c>
      <x:c r="K288" s="32" t="n">
        <x:v>50.72</x:v>
      </x:c>
      <x:c r="L288" s="32" t="n">
        <x:v>56</x:v>
      </x:c>
      <x:c r="M288" s="36" t="n">
        <x:v>0.8303</x:v>
      </x:c>
      <x:c r="N288" s="36" t="n">
        <x:v>0.9057</x:v>
      </x:c>
    </x:row>
    <x:row r="289">
      <x:c r="A289" s="34" t="n">
        <x:v>45621</x:v>
      </x:c>
      <x:c r="B289" s="28" t="str">
        <x:v>Grupo Industrial S.A.</x:v>
      </x:c>
      <x:c r="C289" s="28" t="str">
        <x:v>Planta Curitiba</x:v>
      </x:c>
      <x:c r="D289" s="28" t="str">
        <x:v>Linha 6 - Finalização</x:v>
      </x:c>
      <x:c r="E289" s="28" t="str">
        <x:v>SKU-432</x:v>
      </x:c>
      <x:c r="F289" s="28" t="str">
        <x:v>Alimentos</x:v>
      </x:c>
      <x:c r="G289" s="32" t="n">
        <x:v>4050</x:v>
      </x:c>
      <x:c r="H289" s="32" t="n">
        <x:v>3689</x:v>
      </x:c>
      <x:c r="I289" s="32" t="n">
        <x:v>120</x:v>
      </x:c>
      <x:c r="J289" s="32" t="n">
        <x:v>16.73</x:v>
      </x:c>
      <x:c r="K289" s="32" t="n">
        <x:v>42.45</x:v>
      </x:c>
      <x:c r="L289" s="32" t="n">
        <x:v>48</x:v>
      </x:c>
      <x:c r="M289" s="36" t="n">
        <x:v>0.8606</x:v>
      </x:c>
      <x:c r="N289" s="36" t="n">
        <x:v>0.8845</x:v>
      </x:c>
    </x:row>
    <x:row r="290">
      <x:c r="A290" s="34" t="n">
        <x:v>45628</x:v>
      </x:c>
      <x:c r="B290" s="28" t="str">
        <x:v>Grupo Industrial S.A.</x:v>
      </x:c>
      <x:c r="C290" s="28" t="str">
        <x:v>Planta São Paulo</x:v>
      </x:c>
      <x:c r="D290" s="28" t="str">
        <x:v>Linha 1 - Corte</x:v>
      </x:c>
      <x:c r="E290" s="28" t="str">
        <x:v>SKU-001</x:v>
      </x:c>
      <x:c r="F290" s="28" t="str">
        <x:v>Alimentos</x:v>
      </x:c>
      <x:c r="G290" s="32" t="n">
        <x:v>5933</x:v>
      </x:c>
      <x:c r="H290" s="32" t="n">
        <x:v>5386</x:v>
      </x:c>
      <x:c r="I290" s="32" t="n">
        <x:v>120</x:v>
      </x:c>
      <x:c r="J290" s="32" t="n">
        <x:v>15.52</x:v>
      </x:c>
      <x:c r="K290" s="32" t="n">
        <x:v>56.87</x:v>
      </x:c>
      <x:c r="L290" s="32" t="n">
        <x:v>62</x:v>
      </x:c>
      <x:c r="M290" s="36" t="n">
        <x:v>0.8707</x:v>
      </x:c>
      <x:c r="N290" s="36" t="n">
        <x:v>0.9172</x:v>
      </x:c>
    </x:row>
    <x:row r="291">
      <x:c r="A291" s="34" t="n">
        <x:v>45628</x:v>
      </x:c>
      <x:c r="B291" s="28" t="str">
        <x:v>Grupo Industrial S.A.</x:v>
      </x:c>
      <x:c r="C291" s="28" t="str">
        <x:v>Planta São Paulo</x:v>
      </x:c>
      <x:c r="D291" s="28" t="str">
        <x:v>Linha 2 - Montagem</x:v>
      </x:c>
      <x:c r="E291" s="28" t="str">
        <x:v>SKU-002</x:v>
      </x:c>
      <x:c r="F291" s="28" t="str">
        <x:v>Alimentos</x:v>
      </x:c>
      <x:c r="G291" s="32" t="n">
        <x:v>4888</x:v>
      </x:c>
      <x:c r="H291" s="32" t="n">
        <x:v>4504</x:v>
      </x:c>
      <x:c r="I291" s="32" t="n">
        <x:v>120</x:v>
      </x:c>
      <x:c r="J291" s="32" t="n">
        <x:v>16.02</x:v>
      </x:c>
      <x:c r="K291" s="32" t="n">
        <x:v>51.51</x:v>
      </x:c>
      <x:c r="L291" s="32" t="n">
        <x:v>58</x:v>
      </x:c>
      <x:c r="M291" s="36" t="n">
        <x:v>0.8665</x:v>
      </x:c>
      <x:c r="N291" s="36" t="n">
        <x:v>0.888</x:v>
      </x:c>
    </x:row>
    <x:row r="292">
      <x:c r="A292" s="34" t="n">
        <x:v>45628</x:v>
      </x:c>
      <x:c r="B292" s="28" t="str">
        <x:v>Grupo Industrial S.A.</x:v>
      </x:c>
      <x:c r="C292" s="28" t="str">
        <x:v>Planta Campinas</x:v>
      </x:c>
      <x:c r="D292" s="28" t="str">
        <x:v>Linha 3 - Extrusão</x:v>
      </x:c>
      <x:c r="E292" s="28" t="str">
        <x:v>SKU-078</x:v>
      </x:c>
      <x:c r="F292" s="28" t="str">
        <x:v>Higiene e Limpeza</x:v>
      </x:c>
      <x:c r="G292" s="32" t="n">
        <x:v>4057</x:v>
      </x:c>
      <x:c r="H292" s="32" t="n">
        <x:v>3694</x:v>
      </x:c>
      <x:c r="I292" s="32" t="n">
        <x:v>120</x:v>
      </x:c>
      <x:c r="J292" s="32" t="n">
        <x:v>24.86</x:v>
      </x:c>
      <x:c r="K292" s="32" t="n">
        <x:v>45.78</x:v>
      </x:c>
      <x:c r="L292" s="32" t="n">
        <x:v>54</x:v>
      </x:c>
      <x:c r="M292" s="36" t="n">
        <x:v>0.7929</x:v>
      </x:c>
      <x:c r="N292" s="36" t="n">
        <x:v>0.8478</x:v>
      </x:c>
    </x:row>
    <x:row r="293">
      <x:c r="A293" s="34" t="n">
        <x:v>45628</x:v>
      </x:c>
      <x:c r="B293" s="28" t="str">
        <x:v>Grupo Industrial S.A.</x:v>
      </x:c>
      <x:c r="C293" s="28" t="str">
        <x:v>Planta Campinas</x:v>
      </x:c>
      <x:c r="D293" s="28" t="str">
        <x:v>Linha 4 - Embalagem</x:v>
      </x:c>
      <x:c r="E293" s="28" t="str">
        <x:v>SKU-105</x:v>
      </x:c>
      <x:c r="F293" s="28" t="str">
        <x:v>Embalagens</x:v>
      </x:c>
      <x:c r="G293" s="32" t="n">
        <x:v>3690</x:v>
      </x:c>
      <x:c r="H293" s="32" t="n">
        <x:v>3527</x:v>
      </x:c>
      <x:c r="I293" s="32" t="n">
        <x:v>120</x:v>
      </x:c>
      <x:c r="J293" s="32" t="n">
        <x:v>22.19</x:v>
      </x:c>
      <x:c r="K293" s="32" t="n">
        <x:v>41.67</x:v>
      </x:c>
      <x:c r="L293" s="32" t="n">
        <x:v>50</x:v>
      </x:c>
      <x:c r="M293" s="36" t="n">
        <x:v>0.8151</x:v>
      </x:c>
      <x:c r="N293" s="36" t="n">
        <x:v>0.8333</x:v>
      </x:c>
    </x:row>
    <x:row r="294">
      <x:c r="A294" s="34" t="n">
        <x:v>45628</x:v>
      </x:c>
      <x:c r="B294" s="28" t="str">
        <x:v>Grupo Industrial S.A.</x:v>
      </x:c>
      <x:c r="C294" s="28" t="str">
        <x:v>Planta Curitiba</x:v>
      </x:c>
      <x:c r="D294" s="28" t="str">
        <x:v>Linha 5 - Usinagem</x:v>
      </x:c>
      <x:c r="E294" s="28" t="str">
        <x:v>SKU-223</x:v>
      </x:c>
      <x:c r="F294" s="28" t="str">
        <x:v>Bebidas</x:v>
      </x:c>
      <x:c r="G294" s="32" t="n">
        <x:v>4027</x:v>
      </x:c>
      <x:c r="H294" s="32" t="n">
        <x:v>3837</x:v>
      </x:c>
      <x:c r="I294" s="32" t="n">
        <x:v>120</x:v>
      </x:c>
      <x:c r="J294" s="32" t="n">
        <x:v>18.57</x:v>
      </x:c>
      <x:c r="K294" s="32" t="n">
        <x:v>51.35</x:v>
      </x:c>
      <x:c r="L294" s="32" t="n">
        <x:v>56</x:v>
      </x:c>
      <x:c r="M294" s="36" t="n">
        <x:v>0.8453</x:v>
      </x:c>
      <x:c r="N294" s="36" t="n">
        <x:v>0.917</x:v>
      </x:c>
    </x:row>
    <x:row r="295">
      <x:c r="A295" s="34" t="n">
        <x:v>45628</x:v>
      </x:c>
      <x:c r="B295" s="28" t="str">
        <x:v>Grupo Industrial S.A.</x:v>
      </x:c>
      <x:c r="C295" s="28" t="str">
        <x:v>Planta Curitiba</x:v>
      </x:c>
      <x:c r="D295" s="28" t="str">
        <x:v>Linha 6 - Finalização</x:v>
      </x:c>
      <x:c r="E295" s="28" t="str">
        <x:v>SKU-432</x:v>
      </x:c>
      <x:c r="F295" s="28" t="str">
        <x:v>Alimentos</x:v>
      </x:c>
      <x:c r="G295" s="32" t="n">
        <x:v>3818</x:v>
      </x:c>
      <x:c r="H295" s="32" t="n">
        <x:v>3623</x:v>
      </x:c>
      <x:c r="I295" s="32" t="n">
        <x:v>120</x:v>
      </x:c>
      <x:c r="J295" s="32" t="n">
        <x:v>20.22</x:v>
      </x:c>
      <x:c r="K295" s="32" t="n">
        <x:v>41.61</x:v>
      </x:c>
      <x:c r="L295" s="32" t="n">
        <x:v>48</x:v>
      </x:c>
      <x:c r="M295" s="36" t="n">
        <x:v>0.8315</x:v>
      </x:c>
      <x:c r="N295" s="36" t="n">
        <x:v>0.8668</x:v>
      </x:c>
    </x:row>
    <x:row r="296">
      <x:c r="A296" s="34" t="n">
        <x:v>45635</x:v>
      </x:c>
      <x:c r="B296" s="28" t="str">
        <x:v>Grupo Industrial S.A.</x:v>
      </x:c>
      <x:c r="C296" s="28" t="str">
        <x:v>Planta São Paulo</x:v>
      </x:c>
      <x:c r="D296" s="28" t="str">
        <x:v>Linha 1 - Corte</x:v>
      </x:c>
      <x:c r="E296" s="28" t="str">
        <x:v>SKU-001</x:v>
      </x:c>
      <x:c r="F296" s="28" t="str">
        <x:v>Alimentos</x:v>
      </x:c>
      <x:c r="G296" s="32" t="n">
        <x:v>5955</x:v>
      </x:c>
      <x:c r="H296" s="32" t="n">
        <x:v>5517</x:v>
      </x:c>
      <x:c r="I296" s="32" t="n">
        <x:v>120</x:v>
      </x:c>
      <x:c r="J296" s="32" t="n">
        <x:v>14.74</x:v>
      </x:c>
      <x:c r="K296" s="32" t="n">
        <x:v>57.85</x:v>
      </x:c>
      <x:c r="L296" s="32" t="n">
        <x:v>62</x:v>
      </x:c>
      <x:c r="M296" s="36" t="n">
        <x:v>0.8772</x:v>
      </x:c>
      <x:c r="N296" s="36" t="n">
        <x:v>0.933</x:v>
      </x:c>
    </x:row>
    <x:row r="297">
      <x:c r="A297" s="34" t="n">
        <x:v>45635</x:v>
      </x:c>
      <x:c r="B297" s="28" t="str">
        <x:v>Grupo Industrial S.A.</x:v>
      </x:c>
      <x:c r="C297" s="28" t="str">
        <x:v>Planta São Paulo</x:v>
      </x:c>
      <x:c r="D297" s="28" t="str">
        <x:v>Linha 2 - Montagem</x:v>
      </x:c>
      <x:c r="E297" s="28" t="str">
        <x:v>SKU-002</x:v>
      </x:c>
      <x:c r="F297" s="28" t="str">
        <x:v>Alimentos</x:v>
      </x:c>
      <x:c r="G297" s="32" t="n">
        <x:v>5077</x:v>
      </x:c>
      <x:c r="H297" s="32" t="n">
        <x:v>4729</x:v>
      </x:c>
      <x:c r="I297" s="32" t="n">
        <x:v>120</x:v>
      </x:c>
      <x:c r="J297" s="32" t="n">
        <x:v>13.88</x:v>
      </x:c>
      <x:c r="K297" s="32" t="n">
        <x:v>51.34</x:v>
      </x:c>
      <x:c r="L297" s="32" t="n">
        <x:v>58</x:v>
      </x:c>
      <x:c r="M297" s="36" t="n">
        <x:v>0.8843</x:v>
      </x:c>
      <x:c r="N297" s="36" t="n">
        <x:v>0.8852</x:v>
      </x:c>
    </x:row>
    <x:row r="298">
      <x:c r="A298" s="34" t="n">
        <x:v>45635</x:v>
      </x:c>
      <x:c r="B298" s="28" t="str">
        <x:v>Grupo Industrial S.A.</x:v>
      </x:c>
      <x:c r="C298" s="28" t="str">
        <x:v>Planta Campinas</x:v>
      </x:c>
      <x:c r="D298" s="28" t="str">
        <x:v>Linha 3 - Extrusão</x:v>
      </x:c>
      <x:c r="E298" s="28" t="str">
        <x:v>SKU-078</x:v>
      </x:c>
      <x:c r="F298" s="28" t="str">
        <x:v>Higiene e Limpeza</x:v>
      </x:c>
      <x:c r="G298" s="32" t="n">
        <x:v>4006</x:v>
      </x:c>
      <x:c r="H298" s="32" t="n">
        <x:v>3797</x:v>
      </x:c>
      <x:c r="I298" s="32" t="n">
        <x:v>120</x:v>
      </x:c>
      <x:c r="J298" s="32" t="n">
        <x:v>26.41</x:v>
      </x:c>
      <x:c r="K298" s="32" t="n">
        <x:v>44.28</x:v>
      </x:c>
      <x:c r="L298" s="32" t="n">
        <x:v>54</x:v>
      </x:c>
      <x:c r="M298" s="36" t="n">
        <x:v>0.7799</x:v>
      </x:c>
      <x:c r="N298" s="36" t="n">
        <x:v>0.82</x:v>
      </x:c>
    </x:row>
    <x:row r="299">
      <x:c r="A299" s="34" t="n">
        <x:v>45635</x:v>
      </x:c>
      <x:c r="B299" s="28" t="str">
        <x:v>Grupo Industrial S.A.</x:v>
      </x:c>
      <x:c r="C299" s="28" t="str">
        <x:v>Planta Campinas</x:v>
      </x:c>
      <x:c r="D299" s="28" t="str">
        <x:v>Linha 4 - Embalagem</x:v>
      </x:c>
      <x:c r="E299" s="28" t="str">
        <x:v>SKU-105</x:v>
      </x:c>
      <x:c r="F299" s="28" t="str">
        <x:v>Embalagens</x:v>
      </x:c>
      <x:c r="G299" s="32" t="n">
        <x:v>3372</x:v>
      </x:c>
      <x:c r="H299" s="32" t="n">
        <x:v>3097</x:v>
      </x:c>
      <x:c r="I299" s="32" t="n">
        <x:v>120</x:v>
      </x:c>
      <x:c r="J299" s="32" t="n">
        <x:v>26.1</x:v>
      </x:c>
      <x:c r="K299" s="32" t="n">
        <x:v>42.31</x:v>
      </x:c>
      <x:c r="L299" s="32" t="n">
        <x:v>50</x:v>
      </x:c>
      <x:c r="M299" s="36" t="n">
        <x:v>0.7825</x:v>
      </x:c>
      <x:c r="N299" s="36" t="n">
        <x:v>0.8462</x:v>
      </x:c>
    </x:row>
    <x:row r="300">
      <x:c r="A300" s="34" t="n">
        <x:v>45635</x:v>
      </x:c>
      <x:c r="B300" s="28" t="str">
        <x:v>Grupo Industrial S.A.</x:v>
      </x:c>
      <x:c r="C300" s="28" t="str">
        <x:v>Planta Curitiba</x:v>
      </x:c>
      <x:c r="D300" s="28" t="str">
        <x:v>Linha 5 - Usinagem</x:v>
      </x:c>
      <x:c r="E300" s="28" t="str">
        <x:v>SKU-223</x:v>
      </x:c>
      <x:c r="F300" s="28" t="str">
        <x:v>Bebidas</x:v>
      </x:c>
      <x:c r="G300" s="32" t="n">
        <x:v>4399</x:v>
      </x:c>
      <x:c r="H300" s="32" t="n">
        <x:v>4051</x:v>
      </x:c>
      <x:c r="I300" s="32" t="n">
        <x:v>120</x:v>
      </x:c>
      <x:c r="J300" s="32" t="n">
        <x:v>20.62</x:v>
      </x:c>
      <x:c r="K300" s="32" t="n">
        <x:v>49.22</x:v>
      </x:c>
      <x:c r="L300" s="32" t="n">
        <x:v>56</x:v>
      </x:c>
      <x:c r="M300" s="36" t="n">
        <x:v>0.8282</x:v>
      </x:c>
      <x:c r="N300" s="36" t="n">
        <x:v>0.8789</x:v>
      </x:c>
    </x:row>
    <x:row r="301">
      <x:c r="A301" s="34" t="n">
        <x:v>45635</x:v>
      </x:c>
      <x:c r="B301" s="28" t="str">
        <x:v>Grupo Industrial S.A.</x:v>
      </x:c>
      <x:c r="C301" s="28" t="str">
        <x:v>Planta Curitiba</x:v>
      </x:c>
      <x:c r="D301" s="28" t="str">
        <x:v>Linha 6 - Finalização</x:v>
      </x:c>
      <x:c r="E301" s="28" t="str">
        <x:v>SKU-432</x:v>
      </x:c>
      <x:c r="F301" s="28" t="str">
        <x:v>Alimentos</x:v>
      </x:c>
      <x:c r="G301" s="32" t="n">
        <x:v>3742</x:v>
      </x:c>
      <x:c r="H301" s="32" t="n">
        <x:v>3407</x:v>
      </x:c>
      <x:c r="I301" s="32" t="n">
        <x:v>120</x:v>
      </x:c>
      <x:c r="J301" s="32" t="n">
        <x:v>20.6</x:v>
      </x:c>
      <x:c r="K301" s="32" t="n">
        <x:v>41</x:v>
      </x:c>
      <x:c r="L301" s="32" t="n">
        <x:v>48</x:v>
      </x:c>
      <x:c r="M301" s="36" t="n">
        <x:v>0.8283</x:v>
      </x:c>
      <x:c r="N301" s="36" t="n">
        <x:v>0.8541</x:v>
      </x:c>
    </x:row>
    <x:row r="302">
      <x:c r="A302" s="34" t="n">
        <x:v>45642</x:v>
      </x:c>
      <x:c r="B302" s="28" t="str">
        <x:v>Grupo Industrial S.A.</x:v>
      </x:c>
      <x:c r="C302" s="28" t="str">
        <x:v>Planta São Paulo</x:v>
      </x:c>
      <x:c r="D302" s="28" t="str">
        <x:v>Linha 1 - Corte</x:v>
      </x:c>
      <x:c r="E302" s="28" t="str">
        <x:v>SKU-001</x:v>
      </x:c>
      <x:c r="F302" s="28" t="str">
        <x:v>Alimentos</x:v>
      </x:c>
      <x:c r="G302" s="32" t="n">
        <x:v>6030</x:v>
      </x:c>
      <x:c r="H302" s="32" t="n">
        <x:v>5614</x:v>
      </x:c>
      <x:c r="I302" s="32" t="n">
        <x:v>120</x:v>
      </x:c>
      <x:c r="J302" s="32" t="n">
        <x:v>16.8</x:v>
      </x:c>
      <x:c r="K302" s="32" t="n">
        <x:v>56.74</x:v>
      </x:c>
      <x:c r="L302" s="32" t="n">
        <x:v>62</x:v>
      </x:c>
      <x:c r="M302" s="36" t="n">
        <x:v>0.86</x:v>
      </x:c>
      <x:c r="N302" s="36" t="n">
        <x:v>0.9151</x:v>
      </x:c>
    </x:row>
    <x:row r="303">
      <x:c r="A303" s="34" t="n">
        <x:v>45642</x:v>
      </x:c>
      <x:c r="B303" s="28" t="str">
        <x:v>Grupo Industrial S.A.</x:v>
      </x:c>
      <x:c r="C303" s="28" t="str">
        <x:v>Planta São Paulo</x:v>
      </x:c>
      <x:c r="D303" s="28" t="str">
        <x:v>Linha 2 - Montagem</x:v>
      </x:c>
      <x:c r="E303" s="28" t="str">
        <x:v>SKU-002</x:v>
      </x:c>
      <x:c r="F303" s="28" t="str">
        <x:v>Alimentos</x:v>
      </x:c>
      <x:c r="G303" s="32" t="n">
        <x:v>4766</x:v>
      </x:c>
      <x:c r="H303" s="32" t="n">
        <x:v>4388</x:v>
      </x:c>
      <x:c r="I303" s="32" t="n">
        <x:v>120</x:v>
      </x:c>
      <x:c r="J303" s="32" t="n">
        <x:v>17.3</x:v>
      </x:c>
      <x:c r="K303" s="32" t="n">
        <x:v>51.29</x:v>
      </x:c>
      <x:c r="L303" s="32" t="n">
        <x:v>58</x:v>
      </x:c>
      <x:c r="M303" s="36" t="n">
        <x:v>0.8558</x:v>
      </x:c>
      <x:c r="N303" s="36" t="n">
        <x:v>0.8844</x:v>
      </x:c>
    </x:row>
    <x:row r="304">
      <x:c r="A304" s="34" t="n">
        <x:v>45642</x:v>
      </x:c>
      <x:c r="B304" s="28" t="str">
        <x:v>Grupo Industrial S.A.</x:v>
      </x:c>
      <x:c r="C304" s="28" t="str">
        <x:v>Planta Campinas</x:v>
      </x:c>
      <x:c r="D304" s="28" t="str">
        <x:v>Linha 3 - Extrusão</x:v>
      </x:c>
      <x:c r="E304" s="28" t="str">
        <x:v>SKU-078</x:v>
      </x:c>
      <x:c r="F304" s="28" t="str">
        <x:v>Higiene e Limpeza</x:v>
      </x:c>
      <x:c r="G304" s="32" t="n">
        <x:v>3937</x:v>
      </x:c>
      <x:c r="H304" s="32" t="n">
        <x:v>3717</x:v>
      </x:c>
      <x:c r="I304" s="32" t="n">
        <x:v>120</x:v>
      </x:c>
      <x:c r="J304" s="32" t="n">
        <x:v>22.07</x:v>
      </x:c>
      <x:c r="K304" s="32" t="n">
        <x:v>44.33</x:v>
      </x:c>
      <x:c r="L304" s="32" t="n">
        <x:v>54</x:v>
      </x:c>
      <x:c r="M304" s="36" t="n">
        <x:v>0.8161</x:v>
      </x:c>
      <x:c r="N304" s="36" t="n">
        <x:v>0.8208</x:v>
      </x:c>
    </x:row>
    <x:row r="305">
      <x:c r="A305" s="34" t="n">
        <x:v>45642</x:v>
      </x:c>
      <x:c r="B305" s="28" t="str">
        <x:v>Grupo Industrial S.A.</x:v>
      </x:c>
      <x:c r="C305" s="28" t="str">
        <x:v>Planta Campinas</x:v>
      </x:c>
      <x:c r="D305" s="28" t="str">
        <x:v>Linha 4 - Embalagem</x:v>
      </x:c>
      <x:c r="E305" s="28" t="str">
        <x:v>SKU-105</x:v>
      </x:c>
      <x:c r="F305" s="28" t="str">
        <x:v>Embalagens</x:v>
      </x:c>
      <x:c r="G305" s="32" t="n">
        <x:v>3430</x:v>
      </x:c>
      <x:c r="H305" s="32" t="n">
        <x:v>3245</x:v>
      </x:c>
      <x:c r="I305" s="32" t="n">
        <x:v>120</x:v>
      </x:c>
      <x:c r="J305" s="32" t="n">
        <x:v>25.62</x:v>
      </x:c>
      <x:c r="K305" s="32" t="n">
        <x:v>41.78</x:v>
      </x:c>
      <x:c r="L305" s="32" t="n">
        <x:v>50</x:v>
      </x:c>
      <x:c r="M305" s="36" t="n">
        <x:v>0.7865</x:v>
      </x:c>
      <x:c r="N305" s="36" t="n">
        <x:v>0.8356</x:v>
      </x:c>
    </x:row>
    <x:row r="306">
      <x:c r="A306" s="34" t="n">
        <x:v>45642</x:v>
      </x:c>
      <x:c r="B306" s="28" t="str">
        <x:v>Grupo Industrial S.A.</x:v>
      </x:c>
      <x:c r="C306" s="28" t="str">
        <x:v>Planta Curitiba</x:v>
      </x:c>
      <x:c r="D306" s="28" t="str">
        <x:v>Linha 5 - Usinagem</x:v>
      </x:c>
      <x:c r="E306" s="28" t="str">
        <x:v>SKU-223</x:v>
      </x:c>
      <x:c r="F306" s="28" t="str">
        <x:v>Bebidas</x:v>
      </x:c>
      <x:c r="G306" s="32" t="n">
        <x:v>4202</x:v>
      </x:c>
      <x:c r="H306" s="32" t="n">
        <x:v>4043</x:v>
      </x:c>
      <x:c r="I306" s="32" t="n">
        <x:v>120</x:v>
      </x:c>
      <x:c r="J306" s="32" t="n">
        <x:v>20.16</x:v>
      </x:c>
      <x:c r="K306" s="32" t="n">
        <x:v>50.95</x:v>
      </x:c>
      <x:c r="L306" s="32" t="n">
        <x:v>56</x:v>
      </x:c>
      <x:c r="M306" s="36" t="n">
        <x:v>0.832</x:v>
      </x:c>
      <x:c r="N306" s="36" t="n">
        <x:v>0.9098</x:v>
      </x:c>
    </x:row>
    <x:row r="307">
      <x:c r="A307" s="34" t="n">
        <x:v>45642</x:v>
      </x:c>
      <x:c r="B307" s="28" t="str">
        <x:v>Grupo Industrial S.A.</x:v>
      </x:c>
      <x:c r="C307" s="28" t="str">
        <x:v>Planta Curitiba</x:v>
      </x:c>
      <x:c r="D307" s="28" t="str">
        <x:v>Linha 6 - Finalização</x:v>
      </x:c>
      <x:c r="E307" s="28" t="str">
        <x:v>SKU-432</x:v>
      </x:c>
      <x:c r="F307" s="28" t="str">
        <x:v>Alimentos</x:v>
      </x:c>
      <x:c r="G307" s="32" t="n">
        <x:v>3645</x:v>
      </x:c>
      <x:c r="H307" s="32" t="n">
        <x:v>3484</x:v>
      </x:c>
      <x:c r="I307" s="32" t="n">
        <x:v>120</x:v>
      </x:c>
      <x:c r="J307" s="32" t="n">
        <x:v>16.78</x:v>
      </x:c>
      <x:c r="K307" s="32" t="n">
        <x:v>43.46</x:v>
      </x:c>
      <x:c r="L307" s="32" t="n">
        <x:v>48</x:v>
      </x:c>
      <x:c r="M307" s="36" t="n">
        <x:v>0.8601</x:v>
      </x:c>
      <x:c r="N307" s="36" t="n">
        <x:v>0.9055</x:v>
      </x:c>
    </x:row>
    <x:row r="308">
      <x:c r="A308" s="34" t="n">
        <x:v>45649</x:v>
      </x:c>
      <x:c r="B308" s="28" t="str">
        <x:v>Grupo Industrial S.A.</x:v>
      </x:c>
      <x:c r="C308" s="28" t="str">
        <x:v>Planta São Paulo</x:v>
      </x:c>
      <x:c r="D308" s="28" t="str">
        <x:v>Linha 1 - Corte</x:v>
      </x:c>
      <x:c r="E308" s="28" t="str">
        <x:v>SKU-001</x:v>
      </x:c>
      <x:c r="F308" s="28" t="str">
        <x:v>Alimentos</x:v>
      </x:c>
      <x:c r="G308" s="32" t="n">
        <x:v>5725</x:v>
      </x:c>
      <x:c r="H308" s="32" t="n">
        <x:v>5378</x:v>
      </x:c>
      <x:c r="I308" s="32" t="n">
        <x:v>120</x:v>
      </x:c>
      <x:c r="J308" s="32" t="n">
        <x:v>14.92</x:v>
      </x:c>
      <x:c r="K308" s="32" t="n">
        <x:v>59.1</x:v>
      </x:c>
      <x:c r="L308" s="32" t="n">
        <x:v>62</x:v>
      </x:c>
      <x:c r="M308" s="36" t="n">
        <x:v>0.8756</x:v>
      </x:c>
      <x:c r="N308" s="36" t="n">
        <x:v>0.9533</x:v>
      </x:c>
    </x:row>
    <x:row r="309">
      <x:c r="A309" s="34" t="n">
        <x:v>45649</x:v>
      </x:c>
      <x:c r="B309" s="28" t="str">
        <x:v>Grupo Industrial S.A.</x:v>
      </x:c>
      <x:c r="C309" s="28" t="str">
        <x:v>Planta São Paulo</x:v>
      </x:c>
      <x:c r="D309" s="28" t="str">
        <x:v>Linha 2 - Montagem</x:v>
      </x:c>
      <x:c r="E309" s="28" t="str">
        <x:v>SKU-002</x:v>
      </x:c>
      <x:c r="F309" s="28" t="str">
        <x:v>Alimentos</x:v>
      </x:c>
      <x:c r="G309" s="32" t="n">
        <x:v>5181</x:v>
      </x:c>
      <x:c r="H309" s="32" t="n">
        <x:v>4731</x:v>
      </x:c>
      <x:c r="I309" s="32" t="n">
        <x:v>120</x:v>
      </x:c>
      <x:c r="J309" s="32" t="n">
        <x:v>12.38</x:v>
      </x:c>
      <x:c r="K309" s="32" t="n">
        <x:v>53.17</x:v>
      </x:c>
      <x:c r="L309" s="32" t="n">
        <x:v>58</x:v>
      </x:c>
      <x:c r="M309" s="36" t="n">
        <x:v>0.8969</x:v>
      </x:c>
      <x:c r="N309" s="36" t="n">
        <x:v>0.9168</x:v>
      </x:c>
    </x:row>
    <x:row r="310">
      <x:c r="A310" s="34" t="n">
        <x:v>45649</x:v>
      </x:c>
      <x:c r="B310" s="28" t="str">
        <x:v>Grupo Industrial S.A.</x:v>
      </x:c>
      <x:c r="C310" s="28" t="str">
        <x:v>Planta Campinas</x:v>
      </x:c>
      <x:c r="D310" s="28" t="str">
        <x:v>Linha 3 - Extrusão</x:v>
      </x:c>
      <x:c r="E310" s="28" t="str">
        <x:v>SKU-078</x:v>
      </x:c>
      <x:c r="F310" s="28" t="str">
        <x:v>Higiene e Limpeza</x:v>
      </x:c>
      <x:c r="G310" s="32" t="n">
        <x:v>3962</x:v>
      </x:c>
      <x:c r="H310" s="32" t="n">
        <x:v>3588</x:v>
      </x:c>
      <x:c r="I310" s="32" t="n">
        <x:v>120</x:v>
      </x:c>
      <x:c r="J310" s="32" t="n">
        <x:v>24.43</x:v>
      </x:c>
      <x:c r="K310" s="32" t="n">
        <x:v>46.12</x:v>
      </x:c>
      <x:c r="L310" s="32" t="n">
        <x:v>54</x:v>
      </x:c>
      <x:c r="M310" s="36" t="n">
        <x:v>0.7964</x:v>
      </x:c>
      <x:c r="N310" s="36" t="n">
        <x:v>0.8541</x:v>
      </x:c>
    </x:row>
    <x:row r="311">
      <x:c r="A311" s="34" t="n">
        <x:v>45649</x:v>
      </x:c>
      <x:c r="B311" s="28" t="str">
        <x:v>Grupo Industrial S.A.</x:v>
      </x:c>
      <x:c r="C311" s="28" t="str">
        <x:v>Planta Campinas</x:v>
      </x:c>
      <x:c r="D311" s="28" t="str">
        <x:v>Linha 4 - Embalagem</x:v>
      </x:c>
      <x:c r="E311" s="28" t="str">
        <x:v>SKU-105</x:v>
      </x:c>
      <x:c r="F311" s="28" t="str">
        <x:v>Embalagens</x:v>
      </x:c>
      <x:c r="G311" s="32" t="n">
        <x:v>3624</x:v>
      </x:c>
      <x:c r="H311" s="32" t="n">
        <x:v>3361</x:v>
      </x:c>
      <x:c r="I311" s="32" t="n">
        <x:v>120</x:v>
      </x:c>
      <x:c r="J311" s="32" t="n">
        <x:v>25.37</x:v>
      </x:c>
      <x:c r="K311" s="32" t="n">
        <x:v>41.91</x:v>
      </x:c>
      <x:c r="L311" s="32" t="n">
        <x:v>50</x:v>
      </x:c>
      <x:c r="M311" s="36" t="n">
        <x:v>0.7886</x:v>
      </x:c>
      <x:c r="N311" s="36" t="n">
        <x:v>0.8382</x:v>
      </x:c>
    </x:row>
    <x:row r="312">
      <x:c r="A312" s="34" t="n">
        <x:v>45649</x:v>
      </x:c>
      <x:c r="B312" s="28" t="str">
        <x:v>Grupo Industrial S.A.</x:v>
      </x:c>
      <x:c r="C312" s="28" t="str">
        <x:v>Planta Curitiba</x:v>
      </x:c>
      <x:c r="D312" s="28" t="str">
        <x:v>Linha 5 - Usinagem</x:v>
      </x:c>
      <x:c r="E312" s="28" t="str">
        <x:v>SKU-223</x:v>
      </x:c>
      <x:c r="F312" s="28" t="str">
        <x:v>Bebidas</x:v>
      </x:c>
      <x:c r="G312" s="32" t="n">
        <x:v>4140</x:v>
      </x:c>
      <x:c r="H312" s="32" t="n">
        <x:v>3943</x:v>
      </x:c>
      <x:c r="I312" s="32" t="n">
        <x:v>120</x:v>
      </x:c>
      <x:c r="J312" s="32" t="n">
        <x:v>18.71</x:v>
      </x:c>
      <x:c r="K312" s="32" t="n">
        <x:v>50.19</x:v>
      </x:c>
      <x:c r="L312" s="32" t="n">
        <x:v>56</x:v>
      </x:c>
      <x:c r="M312" s="36" t="n">
        <x:v>0.8441</x:v>
      </x:c>
      <x:c r="N312" s="36" t="n">
        <x:v>0.8963</x:v>
      </x:c>
    </x:row>
    <x:row r="313">
      <x:c r="A313" s="34" t="n">
        <x:v>45649</x:v>
      </x:c>
      <x:c r="B313" s="28" t="str">
        <x:v>Grupo Industrial S.A.</x:v>
      </x:c>
      <x:c r="C313" s="28" t="str">
        <x:v>Planta Curitiba</x:v>
      </x:c>
      <x:c r="D313" s="28" t="str">
        <x:v>Linha 6 - Finalização</x:v>
      </x:c>
      <x:c r="E313" s="28" t="str">
        <x:v>SKU-432</x:v>
      </x:c>
      <x:c r="F313" s="28" t="str">
        <x:v>Alimentos</x:v>
      </x:c>
      <x:c r="G313" s="32" t="n">
        <x:v>3729</x:v>
      </x:c>
      <x:c r="H313" s="32" t="n">
        <x:v>3454</x:v>
      </x:c>
      <x:c r="I313" s="32" t="n">
        <x:v>120</x:v>
      </x:c>
      <x:c r="J313" s="32" t="n">
        <x:v>17.7</x:v>
      </x:c>
      <x:c r="K313" s="32" t="n">
        <x:v>43.81</x:v>
      </x:c>
      <x:c r="L313" s="32" t="n">
        <x:v>48</x:v>
      </x:c>
      <x:c r="M313" s="36" t="n">
        <x:v>0.8525</x:v>
      </x:c>
      <x:c r="N313" s="36" t="n">
        <x:v>0.9127</x:v>
      </x:c>
    </x:row>
    <x:row r="314">
      <x:c r="A314" s="34" t="n">
        <x:v>45656</x:v>
      </x:c>
      <x:c r="B314" s="28" t="str">
        <x:v>Grupo Industrial S.A.</x:v>
      </x:c>
      <x:c r="C314" s="28" t="str">
        <x:v>Planta São Paulo</x:v>
      </x:c>
      <x:c r="D314" s="28" t="str">
        <x:v>Linha 1 - Corte</x:v>
      </x:c>
      <x:c r="E314" s="28" t="str">
        <x:v>SKU-001</x:v>
      </x:c>
      <x:c r="F314" s="28" t="str">
        <x:v>Alimentos</x:v>
      </x:c>
      <x:c r="G314" s="32" t="n">
        <x:v>5464</x:v>
      </x:c>
      <x:c r="H314" s="32" t="n">
        <x:v>4964</x:v>
      </x:c>
      <x:c r="I314" s="32" t="n">
        <x:v>120</x:v>
      </x:c>
      <x:c r="J314" s="32" t="n">
        <x:v>16.69</x:v>
      </x:c>
      <x:c r="K314" s="32" t="n">
        <x:v>56.05</x:v>
      </x:c>
      <x:c r="L314" s="32" t="n">
        <x:v>62</x:v>
      </x:c>
      <x:c r="M314" s="36" t="n">
        <x:v>0.8609</x:v>
      </x:c>
      <x:c r="N314" s="36" t="n">
        <x:v>0.904</x:v>
      </x:c>
    </x:row>
    <x:row r="315">
      <x:c r="A315" s="34" t="n">
        <x:v>45656</x:v>
      </x:c>
      <x:c r="B315" s="28" t="str">
        <x:v>Grupo Industrial S.A.</x:v>
      </x:c>
      <x:c r="C315" s="28" t="str">
        <x:v>Planta São Paulo</x:v>
      </x:c>
      <x:c r="D315" s="28" t="str">
        <x:v>Linha 2 - Montagem</x:v>
      </x:c>
      <x:c r="E315" s="28" t="str">
        <x:v>SKU-002</x:v>
      </x:c>
      <x:c r="F315" s="28" t="str">
        <x:v>Alimentos</x:v>
      </x:c>
      <x:c r="G315" s="32" t="n">
        <x:v>4895</x:v>
      </x:c>
      <x:c r="H315" s="32" t="n">
        <x:v>4658</x:v>
      </x:c>
      <x:c r="I315" s="32" t="n">
        <x:v>120</x:v>
      </x:c>
      <x:c r="J315" s="32" t="n">
        <x:v>14.18</x:v>
      </x:c>
      <x:c r="K315" s="32" t="n">
        <x:v>52.46</x:v>
      </x:c>
      <x:c r="L315" s="32" t="n">
        <x:v>58</x:v>
      </x:c>
      <x:c r="M315" s="36" t="n">
        <x:v>0.8818</x:v>
      </x:c>
      <x:c r="N315" s="36" t="n">
        <x:v>0.9044</x:v>
      </x:c>
    </x:row>
    <x:row r="316">
      <x:c r="A316" s="34" t="n">
        <x:v>45656</x:v>
      </x:c>
      <x:c r="B316" s="28" t="str">
        <x:v>Grupo Industrial S.A.</x:v>
      </x:c>
      <x:c r="C316" s="28" t="str">
        <x:v>Planta Campinas</x:v>
      </x:c>
      <x:c r="D316" s="28" t="str">
        <x:v>Linha 3 - Extrusão</x:v>
      </x:c>
      <x:c r="E316" s="28" t="str">
        <x:v>SKU-078</x:v>
      </x:c>
      <x:c r="F316" s="28" t="str">
        <x:v>Higiene e Limpeza</x:v>
      </x:c>
      <x:c r="G316" s="32" t="n">
        <x:v>3985</x:v>
      </x:c>
      <x:c r="H316" s="32" t="n">
        <x:v>3622</x:v>
      </x:c>
      <x:c r="I316" s="32" t="n">
        <x:v>120</x:v>
      </x:c>
      <x:c r="J316" s="32" t="n">
        <x:v>24.44</x:v>
      </x:c>
      <x:c r="K316" s="32" t="n">
        <x:v>45.86</x:v>
      </x:c>
      <x:c r="L316" s="32" t="n">
        <x:v>54</x:v>
      </x:c>
      <x:c r="M316" s="36" t="n">
        <x:v>0.7964</x:v>
      </x:c>
      <x:c r="N316" s="36" t="n">
        <x:v>0.8492</x:v>
      </x:c>
    </x:row>
    <x:row r="317">
      <x:c r="A317" s="34" t="n">
        <x:v>45656</x:v>
      </x:c>
      <x:c r="B317" s="28" t="str">
        <x:v>Grupo Industrial S.A.</x:v>
      </x:c>
      <x:c r="C317" s="28" t="str">
        <x:v>Planta Campinas</x:v>
      </x:c>
      <x:c r="D317" s="28" t="str">
        <x:v>Linha 4 - Embalagem</x:v>
      </x:c>
      <x:c r="E317" s="28" t="str">
        <x:v>SKU-105</x:v>
      </x:c>
      <x:c r="F317" s="28" t="str">
        <x:v>Embalagens</x:v>
      </x:c>
      <x:c r="G317" s="32" t="n">
        <x:v>3599</x:v>
      </x:c>
      <x:c r="H317" s="32" t="n">
        <x:v>3362</x:v>
      </x:c>
      <x:c r="I317" s="32" t="n">
        <x:v>120</x:v>
      </x:c>
      <x:c r="J317" s="32" t="n">
        <x:v>25.42</x:v>
      </x:c>
      <x:c r="K317" s="32" t="n">
        <x:v>41.55</x:v>
      </x:c>
      <x:c r="L317" s="32" t="n">
        <x:v>50</x:v>
      </x:c>
      <x:c r="M317" s="36" t="n">
        <x:v>0.7882</x:v>
      </x:c>
      <x:c r="N317" s="36" t="n">
        <x:v>0.8309</x:v>
      </x:c>
    </x:row>
    <x:row r="318">
      <x:c r="A318" s="34" t="n">
        <x:v>45656</x:v>
      </x:c>
      <x:c r="B318" s="28" t="str">
        <x:v>Grupo Industrial S.A.</x:v>
      </x:c>
      <x:c r="C318" s="28" t="str">
        <x:v>Planta Curitiba</x:v>
      </x:c>
      <x:c r="D318" s="28" t="str">
        <x:v>Linha 5 - Usinagem</x:v>
      </x:c>
      <x:c r="E318" s="28" t="str">
        <x:v>SKU-223</x:v>
      </x:c>
      <x:c r="F318" s="28" t="str">
        <x:v>Bebidas</x:v>
      </x:c>
      <x:c r="G318" s="32" t="n">
        <x:v>4336</x:v>
      </x:c>
      <x:c r="H318" s="32" t="n">
        <x:v>4180</x:v>
      </x:c>
      <x:c r="I318" s="32" t="n">
        <x:v>120</x:v>
      </x:c>
      <x:c r="J318" s="32" t="n">
        <x:v>16.35</x:v>
      </x:c>
      <x:c r="K318" s="32" t="n">
        <x:v>51.02</x:v>
      </x:c>
      <x:c r="L318" s="32" t="n">
        <x:v>56</x:v>
      </x:c>
      <x:c r="M318" s="36" t="n">
        <x:v>0.8638</x:v>
      </x:c>
      <x:c r="N318" s="36" t="n">
        <x:v>0.911</x:v>
      </x:c>
    </x:row>
    <x:row r="319">
      <x:c r="A319" s="34" t="n">
        <x:v>45656</x:v>
      </x:c>
      <x:c r="B319" s="28" t="str">
        <x:v>Grupo Industrial S.A.</x:v>
      </x:c>
      <x:c r="C319" s="28" t="str">
        <x:v>Planta Curitiba</x:v>
      </x:c>
      <x:c r="D319" s="28" t="str">
        <x:v>Linha 6 - Finalização</x:v>
      </x:c>
      <x:c r="E319" s="28" t="str">
        <x:v>SKU-432</x:v>
      </x:c>
      <x:c r="F319" s="28" t="str">
        <x:v>Alimentos</x:v>
      </x:c>
      <x:c r="G319" s="32" t="n">
        <x:v>3972</x:v>
      </x:c>
      <x:c r="H319" s="32" t="n">
        <x:v>3735</x:v>
      </x:c>
      <x:c r="I319" s="32" t="n">
        <x:v>120</x:v>
      </x:c>
      <x:c r="J319" s="32" t="n">
        <x:v>17.34</x:v>
      </x:c>
      <x:c r="K319" s="32" t="n">
        <x:v>41.57</x:v>
      </x:c>
      <x:c r="L319" s="32" t="n">
        <x:v>48</x:v>
      </x:c>
      <x:c r="M319" s="36" t="n">
        <x:v>0.8555</x:v>
      </x:c>
      <x:c r="N319" s="36" t="n">
        <x:v>0.866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2" hidden="0" customWidth="1"/>
    <x:col min="4" max="4" width="24" hidden="0" customWidth="1"/>
    <x:col min="5" max="5" width="14" hidden="0" customWidth="1"/>
    <x:col min="6" max="6" width="22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14" hidden="0" customWidth="1"/>
    <x:col min="12" max="12" width="18" hidden="0" customWidth="1"/>
  </x:cols>
  <x:sheetData>
    <x:row r="1">
      <x:c r="A1" s="22" t="str">
        <x:v>Data</x:v>
      </x:c>
      <x:c r="B1" s="22" t="str">
        <x:v>Grupo</x:v>
      </x:c>
      <x:c r="C1" s="22" t="str">
        <x:v>Fabrica</x:v>
      </x:c>
      <x:c r="D1" s="22" t="str">
        <x:v>Linha</x:v>
      </x:c>
      <x:c r="E1" s="22" t="str">
        <x:v>Produto</x:v>
      </x:c>
      <x:c r="F1" s="22" t="str">
        <x:v>Familia</x:v>
      </x:c>
      <x:c r="G1" s="22" t="str">
        <x:v>Produzido</x:v>
      </x:c>
      <x:c r="H1" s="22" t="str">
        <x:v>Aprovado</x:v>
      </x:c>
      <x:c r="I1" s="22" t="str">
        <x:v>Refugo</x:v>
      </x:c>
      <x:c r="J1" s="22" t="str">
        <x:v>Retrabalho</x:v>
      </x:c>
      <x:c r="K1" s="22" t="str">
        <x:v>Taxa_Refugo</x:v>
      </x:c>
      <x:c r="L1" s="22" t="str">
        <x:v>Taxa_Retrabalho</x:v>
      </x:c>
    </x:row>
    <x:row r="2">
      <x:c r="A2" s="34" t="n">
        <x:v>45292</x:v>
      </x:c>
      <x:c r="B2" s="28" t="str">
        <x:v>Grupo Industrial S.A.</x:v>
      </x:c>
      <x:c r="C2" s="28" t="str">
        <x:v>Planta São Paulo</x:v>
      </x:c>
      <x:c r="D2" s="28" t="str">
        <x:v>Linha 1 - Corte</x:v>
      </x:c>
      <x:c r="E2" s="28" t="str">
        <x:v>SKU-001</x:v>
      </x:c>
      <x:c r="F2" s="28" t="str">
        <x:v>Alimentos</x:v>
      </x:c>
      <x:c r="G2" s="32" t="n">
        <x:v>5119</x:v>
      </x:c>
      <x:c r="H2" s="32" t="n">
        <x:v>4983</x:v>
      </x:c>
      <x:c r="I2" s="32" t="n">
        <x:v>136</x:v>
      </x:c>
      <x:c r="J2" s="32" t="n">
        <x:v>151</x:v>
      </x:c>
      <x:c r="K2" s="36" t="n">
        <x:v>0.0266</x:v>
      </x:c>
      <x:c r="L2" s="36" t="n">
        <x:v>0.0295</x:v>
      </x:c>
    </x:row>
    <x:row r="3">
      <x:c r="A3" s="34" t="n">
        <x:v>45292</x:v>
      </x:c>
      <x:c r="B3" s="28" t="str">
        <x:v>Grupo Industrial S.A.</x:v>
      </x:c>
      <x:c r="C3" s="28" t="str">
        <x:v>Planta São Paulo</x:v>
      </x:c>
      <x:c r="D3" s="28" t="str">
        <x:v>Linha 2 - Montagem</x:v>
      </x:c>
      <x:c r="E3" s="28" t="str">
        <x:v>SKU-002</x:v>
      </x:c>
      <x:c r="F3" s="28" t="str">
        <x:v>Alimentos</x:v>
      </x:c>
      <x:c r="G3" s="32" t="n">
        <x:v>4817</x:v>
      </x:c>
      <x:c r="H3" s="32" t="n">
        <x:v>4686</x:v>
      </x:c>
      <x:c r="I3" s="32" t="n">
        <x:v>131</x:v>
      </x:c>
      <x:c r="J3" s="32" t="n">
        <x:v>130</x:v>
      </x:c>
      <x:c r="K3" s="36" t="n">
        <x:v>0.0272</x:v>
      </x:c>
      <x:c r="L3" s="36" t="n">
        <x:v>0.027</x:v>
      </x:c>
    </x:row>
    <x:row r="4">
      <x:c r="A4" s="34" t="n">
        <x:v>45292</x:v>
      </x:c>
      <x:c r="B4" s="28" t="str">
        <x:v>Grupo Industrial S.A.</x:v>
      </x:c>
      <x:c r="C4" s="28" t="str">
        <x:v>Planta Campinas</x:v>
      </x:c>
      <x:c r="D4" s="28" t="str">
        <x:v>Linha 3 - Extrusão</x:v>
      </x:c>
      <x:c r="E4" s="28" t="str">
        <x:v>SKU-078</x:v>
      </x:c>
      <x:c r="F4" s="28" t="str">
        <x:v>Higiene e Limpeza</x:v>
      </x:c>
      <x:c r="G4" s="32" t="n">
        <x:v>3459</x:v>
      </x:c>
      <x:c r="H4" s="32" t="n">
        <x:v>3322</x:v>
      </x:c>
      <x:c r="I4" s="32" t="n">
        <x:v>137</x:v>
      </x:c>
      <x:c r="J4" s="32" t="n">
        <x:v>126</x:v>
      </x:c>
      <x:c r="K4" s="36" t="n">
        <x:v>0.0396</x:v>
      </x:c>
      <x:c r="L4" s="36" t="n">
        <x:v>0.0364</x:v>
      </x:c>
    </x:row>
    <x:row r="5">
      <x:c r="A5" s="34" t="n">
        <x:v>45292</x:v>
      </x:c>
      <x:c r="B5" s="28" t="str">
        <x:v>Grupo Industrial S.A.</x:v>
      </x:c>
      <x:c r="C5" s="28" t="str">
        <x:v>Planta Campinas</x:v>
      </x:c>
      <x:c r="D5" s="28" t="str">
        <x:v>Linha 4 - Embalagem</x:v>
      </x:c>
      <x:c r="E5" s="28" t="str">
        <x:v>SKU-105</x:v>
      </x:c>
      <x:c r="F5" s="28" t="str">
        <x:v>Embalagens</x:v>
      </x:c>
      <x:c r="G5" s="32" t="n">
        <x:v>3353</x:v>
      </x:c>
      <x:c r="H5" s="32" t="n">
        <x:v>3181</x:v>
      </x:c>
      <x:c r="I5" s="32" t="n">
        <x:v>172</x:v>
      </x:c>
      <x:c r="J5" s="32" t="n">
        <x:v>117</x:v>
      </x:c>
      <x:c r="K5" s="36" t="n">
        <x:v>0.0513</x:v>
      </x:c>
      <x:c r="L5" s="36" t="n">
        <x:v>0.0349</x:v>
      </x:c>
    </x:row>
    <x:row r="6">
      <x:c r="A6" s="34" t="n">
        <x:v>45292</x:v>
      </x:c>
      <x:c r="B6" s="28" t="str">
        <x:v>Grupo Industrial S.A.</x:v>
      </x:c>
      <x:c r="C6" s="28" t="str">
        <x:v>Planta Curitiba</x:v>
      </x:c>
      <x:c r="D6" s="28" t="str">
        <x:v>Linha 5 - Usinagem</x:v>
      </x:c>
      <x:c r="E6" s="28" t="str">
        <x:v>SKU-223</x:v>
      </x:c>
      <x:c r="F6" s="28" t="str">
        <x:v>Bebidas</x:v>
      </x:c>
      <x:c r="G6" s="32" t="n">
        <x:v>3925</x:v>
      </x:c>
      <x:c r="H6" s="32" t="n">
        <x:v>3772</x:v>
      </x:c>
      <x:c r="I6" s="32" t="n">
        <x:v>153</x:v>
      </x:c>
      <x:c r="J6" s="32" t="n">
        <x:v>88</x:v>
      </x:c>
      <x:c r="K6" s="36" t="n">
        <x:v>0.039</x:v>
      </x:c>
      <x:c r="L6" s="36" t="n">
        <x:v>0.0224</x:v>
      </x:c>
    </x:row>
    <x:row r="7">
      <x:c r="A7" s="34" t="n">
        <x:v>45292</x:v>
      </x:c>
      <x:c r="B7" s="28" t="str">
        <x:v>Grupo Industrial S.A.</x:v>
      </x:c>
      <x:c r="C7" s="28" t="str">
        <x:v>Planta Curitiba</x:v>
      </x:c>
      <x:c r="D7" s="28" t="str">
        <x:v>Linha 6 - Finalização</x:v>
      </x:c>
      <x:c r="E7" s="28" t="str">
        <x:v>SKU-432</x:v>
      </x:c>
      <x:c r="F7" s="28" t="str">
        <x:v>Alimentos</x:v>
      </x:c>
      <x:c r="G7" s="32" t="n">
        <x:v>3621</x:v>
      </x:c>
      <x:c r="H7" s="32" t="n">
        <x:v>3482</x:v>
      </x:c>
      <x:c r="I7" s="32" t="n">
        <x:v>139</x:v>
      </x:c>
      <x:c r="J7" s="32" t="n">
        <x:v>86</x:v>
      </x:c>
      <x:c r="K7" s="36" t="n">
        <x:v>0.0384</x:v>
      </x:c>
      <x:c r="L7" s="36" t="n">
        <x:v>0.0238</x:v>
      </x:c>
    </x:row>
    <x:row r="8">
      <x:c r="A8" s="34" t="n">
        <x:v>45299</x:v>
      </x:c>
      <x:c r="B8" s="28" t="str">
        <x:v>Grupo Industrial S.A.</x:v>
      </x:c>
      <x:c r="C8" s="28" t="str">
        <x:v>Planta São Paulo</x:v>
      </x:c>
      <x:c r="D8" s="28" t="str">
        <x:v>Linha 1 - Corte</x:v>
      </x:c>
      <x:c r="E8" s="28" t="str">
        <x:v>SKU-001</x:v>
      </x:c>
      <x:c r="F8" s="28" t="str">
        <x:v>Alimentos</x:v>
      </x:c>
      <x:c r="G8" s="32" t="n">
        <x:v>5744</x:v>
      </x:c>
      <x:c r="H8" s="32" t="n">
        <x:v>5616</x:v>
      </x:c>
      <x:c r="I8" s="32" t="n">
        <x:v>128</x:v>
      </x:c>
      <x:c r="J8" s="32" t="n">
        <x:v>152</x:v>
      </x:c>
      <x:c r="K8" s="36" t="n">
        <x:v>0.0223</x:v>
      </x:c>
      <x:c r="L8" s="36" t="n">
        <x:v>0.0265</x:v>
      </x:c>
    </x:row>
    <x:row r="9">
      <x:c r="A9" s="34" t="n">
        <x:v>45299</x:v>
      </x:c>
      <x:c r="B9" s="28" t="str">
        <x:v>Grupo Industrial S.A.</x:v>
      </x:c>
      <x:c r="C9" s="28" t="str">
        <x:v>Planta São Paulo</x:v>
      </x:c>
      <x:c r="D9" s="28" t="str">
        <x:v>Linha 2 - Montagem</x:v>
      </x:c>
      <x:c r="E9" s="28" t="str">
        <x:v>SKU-002</x:v>
      </x:c>
      <x:c r="F9" s="28" t="str">
        <x:v>Alimentos</x:v>
      </x:c>
      <x:c r="G9" s="32" t="n">
        <x:v>5107</x:v>
      </x:c>
      <x:c r="H9" s="32" t="n">
        <x:v>4970</x:v>
      </x:c>
      <x:c r="I9" s="32" t="n">
        <x:v>137</x:v>
      </x:c>
      <x:c r="J9" s="32" t="n">
        <x:v>153</x:v>
      </x:c>
      <x:c r="K9" s="36" t="n">
        <x:v>0.0268</x:v>
      </x:c>
      <x:c r="L9" s="36" t="n">
        <x:v>0.03</x:v>
      </x:c>
    </x:row>
    <x:row r="10">
      <x:c r="A10" s="34" t="n">
        <x:v>45299</x:v>
      </x:c>
      <x:c r="B10" s="28" t="str">
        <x:v>Grupo Industrial S.A.</x:v>
      </x:c>
      <x:c r="C10" s="28" t="str">
        <x:v>Planta Campinas</x:v>
      </x:c>
      <x:c r="D10" s="28" t="str">
        <x:v>Linha 3 - Extrusão</x:v>
      </x:c>
      <x:c r="E10" s="28" t="str">
        <x:v>SKU-078</x:v>
      </x:c>
      <x:c r="F10" s="28" t="str">
        <x:v>Higiene e Limpeza</x:v>
      </x:c>
      <x:c r="G10" s="32" t="n">
        <x:v>3719</x:v>
      </x:c>
      <x:c r="H10" s="32" t="n">
        <x:v>3536</x:v>
      </x:c>
      <x:c r="I10" s="32" t="n">
        <x:v>183</x:v>
      </x:c>
      <x:c r="J10" s="32" t="n">
        <x:v>116</x:v>
      </x:c>
      <x:c r="K10" s="36" t="n">
        <x:v>0.0492</x:v>
      </x:c>
      <x:c r="L10" s="36" t="n">
        <x:v>0.0312</x:v>
      </x:c>
    </x:row>
    <x:row r="11">
      <x:c r="A11" s="34" t="n">
        <x:v>45299</x:v>
      </x:c>
      <x:c r="B11" s="28" t="str">
        <x:v>Grupo Industrial S.A.</x:v>
      </x:c>
      <x:c r="C11" s="28" t="str">
        <x:v>Planta Campinas</x:v>
      </x:c>
      <x:c r="D11" s="28" t="str">
        <x:v>Linha 4 - Embalagem</x:v>
      </x:c>
      <x:c r="E11" s="28" t="str">
        <x:v>SKU-105</x:v>
      </x:c>
      <x:c r="F11" s="28" t="str">
        <x:v>Embalagens</x:v>
      </x:c>
      <x:c r="G11" s="32" t="n">
        <x:v>3367</x:v>
      </x:c>
      <x:c r="H11" s="32" t="n">
        <x:v>3210</x:v>
      </x:c>
      <x:c r="I11" s="32" t="n">
        <x:v>157</x:v>
      </x:c>
      <x:c r="J11" s="32" t="n">
        <x:v>106</x:v>
      </x:c>
      <x:c r="K11" s="36" t="n">
        <x:v>0.0466</x:v>
      </x:c>
      <x:c r="L11" s="36" t="n">
        <x:v>0.0315</x:v>
      </x:c>
    </x:row>
    <x:row r="12">
      <x:c r="A12" s="34" t="n">
        <x:v>45299</x:v>
      </x:c>
      <x:c r="B12" s="28" t="str">
        <x:v>Grupo Industrial S.A.</x:v>
      </x:c>
      <x:c r="C12" s="28" t="str">
        <x:v>Planta Curitiba</x:v>
      </x:c>
      <x:c r="D12" s="28" t="str">
        <x:v>Linha 5 - Usinagem</x:v>
      </x:c>
      <x:c r="E12" s="28" t="str">
        <x:v>SKU-223</x:v>
      </x:c>
      <x:c r="F12" s="28" t="str">
        <x:v>Bebidas</x:v>
      </x:c>
      <x:c r="G12" s="32" t="n">
        <x:v>4065</x:v>
      </x:c>
      <x:c r="H12" s="32" t="n">
        <x:v>3957</x:v>
      </x:c>
      <x:c r="I12" s="32" t="n">
        <x:v>108</x:v>
      </x:c>
      <x:c r="J12" s="32" t="n">
        <x:v>118</x:v>
      </x:c>
      <x:c r="K12" s="36" t="n">
        <x:v>0.0266</x:v>
      </x:c>
      <x:c r="L12" s="36" t="n">
        <x:v>0.029</x:v>
      </x:c>
    </x:row>
    <x:row r="13">
      <x:c r="A13" s="34" t="n">
        <x:v>45299</x:v>
      </x:c>
      <x:c r="B13" s="28" t="str">
        <x:v>Grupo Industrial S.A.</x:v>
      </x:c>
      <x:c r="C13" s="28" t="str">
        <x:v>Planta Curitiba</x:v>
      </x:c>
      <x:c r="D13" s="28" t="str">
        <x:v>Linha 6 - Finalização</x:v>
      </x:c>
      <x:c r="E13" s="28" t="str">
        <x:v>SKU-432</x:v>
      </x:c>
      <x:c r="F13" s="28" t="str">
        <x:v>Alimentos</x:v>
      </x:c>
      <x:c r="G13" s="32" t="n">
        <x:v>3593</x:v>
      </x:c>
      <x:c r="H13" s="32" t="n">
        <x:v>3445</x:v>
      </x:c>
      <x:c r="I13" s="32" t="n">
        <x:v>148</x:v>
      </x:c>
      <x:c r="J13" s="32" t="n">
        <x:v>90</x:v>
      </x:c>
      <x:c r="K13" s="36" t="n">
        <x:v>0.0412</x:v>
      </x:c>
      <x:c r="L13" s="36" t="n">
        <x:v>0.025</x:v>
      </x:c>
    </x:row>
    <x:row r="14">
      <x:c r="A14" s="34" t="n">
        <x:v>45306</x:v>
      </x:c>
      <x:c r="B14" s="28" t="str">
        <x:v>Grupo Industrial S.A.</x:v>
      </x:c>
      <x:c r="C14" s="28" t="str">
        <x:v>Planta São Paulo</x:v>
      </x:c>
      <x:c r="D14" s="28" t="str">
        <x:v>Linha 1 - Corte</x:v>
      </x:c>
      <x:c r="E14" s="28" t="str">
        <x:v>SKU-001</x:v>
      </x:c>
      <x:c r="F14" s="28" t="str">
        <x:v>Alimentos</x:v>
      </x:c>
      <x:c r="G14" s="32" t="n">
        <x:v>5370</x:v>
      </x:c>
      <x:c r="H14" s="32" t="n">
        <x:v>5210</x:v>
      </x:c>
      <x:c r="I14" s="32" t="n">
        <x:v>160</x:v>
      </x:c>
      <x:c r="J14" s="32" t="n">
        <x:v>171</x:v>
      </x:c>
      <x:c r="K14" s="36" t="n">
        <x:v>0.0298</x:v>
      </x:c>
      <x:c r="L14" s="36" t="n">
        <x:v>0.0318</x:v>
      </x:c>
    </x:row>
    <x:row r="15">
      <x:c r="A15" s="34" t="n">
        <x:v>45306</x:v>
      </x:c>
      <x:c r="B15" s="28" t="str">
        <x:v>Grupo Industrial S.A.</x:v>
      </x:c>
      <x:c r="C15" s="28" t="str">
        <x:v>Planta São Paulo</x:v>
      </x:c>
      <x:c r="D15" s="28" t="str">
        <x:v>Linha 2 - Montagem</x:v>
      </x:c>
      <x:c r="E15" s="28" t="str">
        <x:v>SKU-002</x:v>
      </x:c>
      <x:c r="F15" s="28" t="str">
        <x:v>Alimentos</x:v>
      </x:c>
      <x:c r="G15" s="32" t="n">
        <x:v>4775</x:v>
      </x:c>
      <x:c r="H15" s="32" t="n">
        <x:v>4641</x:v>
      </x:c>
      <x:c r="I15" s="32" t="n">
        <x:v>134</x:v>
      </x:c>
      <x:c r="J15" s="32" t="n">
        <x:v>148</x:v>
      </x:c>
      <x:c r="K15" s="36" t="n">
        <x:v>0.0281</x:v>
      </x:c>
      <x:c r="L15" s="36" t="n">
        <x:v>0.031</x:v>
      </x:c>
    </x:row>
    <x:row r="16">
      <x:c r="A16" s="34" t="n">
        <x:v>45306</x:v>
      </x:c>
      <x:c r="B16" s="28" t="str">
        <x:v>Grupo Industrial S.A.</x:v>
      </x:c>
      <x:c r="C16" s="28" t="str">
        <x:v>Planta Campinas</x:v>
      </x:c>
      <x:c r="D16" s="28" t="str">
        <x:v>Linha 3 - Extrusão</x:v>
      </x:c>
      <x:c r="E16" s="28" t="str">
        <x:v>SKU-078</x:v>
      </x:c>
      <x:c r="F16" s="28" t="str">
        <x:v>Higiene e Limpeza</x:v>
      </x:c>
      <x:c r="G16" s="32" t="n">
        <x:v>3933</x:v>
      </x:c>
      <x:c r="H16" s="32" t="n">
        <x:v>3790</x:v>
      </x:c>
      <x:c r="I16" s="32" t="n">
        <x:v>143</x:v>
      </x:c>
      <x:c r="J16" s="32" t="n">
        <x:v>130</x:v>
      </x:c>
      <x:c r="K16" s="36" t="n">
        <x:v>0.0364</x:v>
      </x:c>
      <x:c r="L16" s="36" t="n">
        <x:v>0.0331</x:v>
      </x:c>
    </x:row>
    <x:row r="17">
      <x:c r="A17" s="34" t="n">
        <x:v>45306</x:v>
      </x:c>
      <x:c r="B17" s="28" t="str">
        <x:v>Grupo Industrial S.A.</x:v>
      </x:c>
      <x:c r="C17" s="28" t="str">
        <x:v>Planta Campinas</x:v>
      </x:c>
      <x:c r="D17" s="28" t="str">
        <x:v>Linha 4 - Embalagem</x:v>
      </x:c>
      <x:c r="E17" s="28" t="str">
        <x:v>SKU-105</x:v>
      </x:c>
      <x:c r="F17" s="28" t="str">
        <x:v>Embalagens</x:v>
      </x:c>
      <x:c r="G17" s="32" t="n">
        <x:v>3244</x:v>
      </x:c>
      <x:c r="H17" s="32" t="n">
        <x:v>3077</x:v>
      </x:c>
      <x:c r="I17" s="32" t="n">
        <x:v>167</x:v>
      </x:c>
      <x:c r="J17" s="32" t="n">
        <x:v>91</x:v>
      </x:c>
      <x:c r="K17" s="36" t="n">
        <x:v>0.0515</x:v>
      </x:c>
      <x:c r="L17" s="36" t="n">
        <x:v>0.0281</x:v>
      </x:c>
    </x:row>
    <x:row r="18">
      <x:c r="A18" s="34" t="n">
        <x:v>45306</x:v>
      </x:c>
      <x:c r="B18" s="28" t="str">
        <x:v>Grupo Industrial S.A.</x:v>
      </x:c>
      <x:c r="C18" s="28" t="str">
        <x:v>Planta Curitiba</x:v>
      </x:c>
      <x:c r="D18" s="28" t="str">
        <x:v>Linha 5 - Usinagem</x:v>
      </x:c>
      <x:c r="E18" s="28" t="str">
        <x:v>SKU-223</x:v>
      </x:c>
      <x:c r="F18" s="28" t="str">
        <x:v>Bebidas</x:v>
      </x:c>
      <x:c r="G18" s="32" t="n">
        <x:v>3852</x:v>
      </x:c>
      <x:c r="H18" s="32" t="n">
        <x:v>3690</x:v>
      </x:c>
      <x:c r="I18" s="32" t="n">
        <x:v>162</x:v>
      </x:c>
      <x:c r="J18" s="32" t="n">
        <x:v>105</x:v>
      </x:c>
      <x:c r="K18" s="36" t="n">
        <x:v>0.0421</x:v>
      </x:c>
      <x:c r="L18" s="36" t="n">
        <x:v>0.0273</x:v>
      </x:c>
    </x:row>
    <x:row r="19">
      <x:c r="A19" s="34" t="n">
        <x:v>45306</x:v>
      </x:c>
      <x:c r="B19" s="28" t="str">
        <x:v>Grupo Industrial S.A.</x:v>
      </x:c>
      <x:c r="C19" s="28" t="str">
        <x:v>Planta Curitiba</x:v>
      </x:c>
      <x:c r="D19" s="28" t="str">
        <x:v>Linha 6 - Finalização</x:v>
      </x:c>
      <x:c r="E19" s="28" t="str">
        <x:v>SKU-432</x:v>
      </x:c>
      <x:c r="F19" s="28" t="str">
        <x:v>Alimentos</x:v>
      </x:c>
      <x:c r="G19" s="32" t="n">
        <x:v>3720</x:v>
      </x:c>
      <x:c r="H19" s="32" t="n">
        <x:v>3557</x:v>
      </x:c>
      <x:c r="I19" s="32" t="n">
        <x:v>163</x:v>
      </x:c>
      <x:c r="J19" s="32" t="n">
        <x:v>112</x:v>
      </x:c>
      <x:c r="K19" s="36" t="n">
        <x:v>0.0438</x:v>
      </x:c>
      <x:c r="L19" s="36" t="n">
        <x:v>0.0301</x:v>
      </x:c>
    </x:row>
    <x:row r="20">
      <x:c r="A20" s="34" t="n">
        <x:v>45313</x:v>
      </x:c>
      <x:c r="B20" s="28" t="str">
        <x:v>Grupo Industrial S.A.</x:v>
      </x:c>
      <x:c r="C20" s="28" t="str">
        <x:v>Planta São Paulo</x:v>
      </x:c>
      <x:c r="D20" s="28" t="str">
        <x:v>Linha 1 - Corte</x:v>
      </x:c>
      <x:c r="E20" s="28" t="str">
        <x:v>SKU-001</x:v>
      </x:c>
      <x:c r="F20" s="28" t="str">
        <x:v>Alimentos</x:v>
      </x:c>
      <x:c r="G20" s="32" t="n">
        <x:v>5399</x:v>
      </x:c>
      <x:c r="H20" s="32" t="n">
        <x:v>5255</x:v>
      </x:c>
      <x:c r="I20" s="32" t="n">
        <x:v>144</x:v>
      </x:c>
      <x:c r="J20" s="32" t="n">
        <x:v>140</x:v>
      </x:c>
      <x:c r="K20" s="36" t="n">
        <x:v>0.0267</x:v>
      </x:c>
      <x:c r="L20" s="36" t="n">
        <x:v>0.0259</x:v>
      </x:c>
    </x:row>
    <x:row r="21">
      <x:c r="A21" s="34" t="n">
        <x:v>45313</x:v>
      </x:c>
      <x:c r="B21" s="28" t="str">
        <x:v>Grupo Industrial S.A.</x:v>
      </x:c>
      <x:c r="C21" s="28" t="str">
        <x:v>Planta São Paulo</x:v>
      </x:c>
      <x:c r="D21" s="28" t="str">
        <x:v>Linha 2 - Montagem</x:v>
      </x:c>
      <x:c r="E21" s="28" t="str">
        <x:v>SKU-002</x:v>
      </x:c>
      <x:c r="F21" s="28" t="str">
        <x:v>Alimentos</x:v>
      </x:c>
      <x:c r="G21" s="32" t="n">
        <x:v>4661</x:v>
      </x:c>
      <x:c r="H21" s="32" t="n">
        <x:v>4557</x:v>
      </x:c>
      <x:c r="I21" s="32" t="n">
        <x:v>104</x:v>
      </x:c>
      <x:c r="J21" s="32" t="n">
        <x:v>129</x:v>
      </x:c>
      <x:c r="K21" s="36" t="n">
        <x:v>0.0223</x:v>
      </x:c>
      <x:c r="L21" s="36" t="n">
        <x:v>0.0277</x:v>
      </x:c>
    </x:row>
    <x:row r="22">
      <x:c r="A22" s="34" t="n">
        <x:v>45313</x:v>
      </x:c>
      <x:c r="B22" s="28" t="str">
        <x:v>Grupo Industrial S.A.</x:v>
      </x:c>
      <x:c r="C22" s="28" t="str">
        <x:v>Planta Campinas</x:v>
      </x:c>
      <x:c r="D22" s="28" t="str">
        <x:v>Linha 3 - Extrusão</x:v>
      </x:c>
      <x:c r="E22" s="28" t="str">
        <x:v>SKU-078</x:v>
      </x:c>
      <x:c r="F22" s="28" t="str">
        <x:v>Higiene e Limpeza</x:v>
      </x:c>
      <x:c r="G22" s="32" t="n">
        <x:v>3866</x:v>
      </x:c>
      <x:c r="H22" s="32" t="n">
        <x:v>3713</x:v>
      </x:c>
      <x:c r="I22" s="32" t="n">
        <x:v>153</x:v>
      </x:c>
      <x:c r="J22" s="32" t="n">
        <x:v>116</x:v>
      </x:c>
      <x:c r="K22" s="36" t="n">
        <x:v>0.0396</x:v>
      </x:c>
      <x:c r="L22" s="36" t="n">
        <x:v>0.03</x:v>
      </x:c>
    </x:row>
    <x:row r="23">
      <x:c r="A23" s="34" t="n">
        <x:v>45313</x:v>
      </x:c>
      <x:c r="B23" s="28" t="str">
        <x:v>Grupo Industrial S.A.</x:v>
      </x:c>
      <x:c r="C23" s="28" t="str">
        <x:v>Planta Campinas</x:v>
      </x:c>
      <x:c r="D23" s="28" t="str">
        <x:v>Linha 4 - Embalagem</x:v>
      </x:c>
      <x:c r="E23" s="28" t="str">
        <x:v>SKU-105</x:v>
      </x:c>
      <x:c r="F23" s="28" t="str">
        <x:v>Embalagens</x:v>
      </x:c>
      <x:c r="G23" s="32" t="n">
        <x:v>3344</x:v>
      </x:c>
      <x:c r="H23" s="32" t="n">
        <x:v>3188</x:v>
      </x:c>
      <x:c r="I23" s="32" t="n">
        <x:v>156</x:v>
      </x:c>
      <x:c r="J23" s="32" t="n">
        <x:v>104</x:v>
      </x:c>
      <x:c r="K23" s="36" t="n">
        <x:v>0.0467</x:v>
      </x:c>
      <x:c r="L23" s="36" t="n">
        <x:v>0.0311</x:v>
      </x:c>
    </x:row>
    <x:row r="24">
      <x:c r="A24" s="34" t="n">
        <x:v>45313</x:v>
      </x:c>
      <x:c r="B24" s="28" t="str">
        <x:v>Grupo Industrial S.A.</x:v>
      </x:c>
      <x:c r="C24" s="28" t="str">
        <x:v>Planta Curitiba</x:v>
      </x:c>
      <x:c r="D24" s="28" t="str">
        <x:v>Linha 5 - Usinagem</x:v>
      </x:c>
      <x:c r="E24" s="28" t="str">
        <x:v>SKU-223</x:v>
      </x:c>
      <x:c r="F24" s="28" t="str">
        <x:v>Bebidas</x:v>
      </x:c>
      <x:c r="G24" s="32" t="n">
        <x:v>4088</x:v>
      </x:c>
      <x:c r="H24" s="32" t="n">
        <x:v>3964</x:v>
      </x:c>
      <x:c r="I24" s="32" t="n">
        <x:v>124</x:v>
      </x:c>
      <x:c r="J24" s="32" t="n">
        <x:v>123</x:v>
      </x:c>
      <x:c r="K24" s="36" t="n">
        <x:v>0.0303</x:v>
      </x:c>
      <x:c r="L24" s="36" t="n">
        <x:v>0.0301</x:v>
      </x:c>
    </x:row>
    <x:row r="25">
      <x:c r="A25" s="34" t="n">
        <x:v>45313</x:v>
      </x:c>
      <x:c r="B25" s="28" t="str">
        <x:v>Grupo Industrial S.A.</x:v>
      </x:c>
      <x:c r="C25" s="28" t="str">
        <x:v>Planta Curitiba</x:v>
      </x:c>
      <x:c r="D25" s="28" t="str">
        <x:v>Linha 6 - Finalização</x:v>
      </x:c>
      <x:c r="E25" s="28" t="str">
        <x:v>SKU-432</x:v>
      </x:c>
      <x:c r="F25" s="28" t="str">
        <x:v>Alimentos</x:v>
      </x:c>
      <x:c r="G25" s="32" t="n">
        <x:v>3583</x:v>
      </x:c>
      <x:c r="H25" s="32" t="n">
        <x:v>3459</x:v>
      </x:c>
      <x:c r="I25" s="32" t="n">
        <x:v>124</x:v>
      </x:c>
      <x:c r="J25" s="32" t="n">
        <x:v>94</x:v>
      </x:c>
      <x:c r="K25" s="36" t="n">
        <x:v>0.0346</x:v>
      </x:c>
      <x:c r="L25" s="36" t="n">
        <x:v>0.0262</x:v>
      </x:c>
    </x:row>
    <x:row r="26">
      <x:c r="A26" s="34" t="n">
        <x:v>45320</x:v>
      </x:c>
      <x:c r="B26" s="28" t="str">
        <x:v>Grupo Industrial S.A.</x:v>
      </x:c>
      <x:c r="C26" s="28" t="str">
        <x:v>Planta São Paulo</x:v>
      </x:c>
      <x:c r="D26" s="28" t="str">
        <x:v>Linha 1 - Corte</x:v>
      </x:c>
      <x:c r="E26" s="28" t="str">
        <x:v>SKU-001</x:v>
      </x:c>
      <x:c r="F26" s="28" t="str">
        <x:v>Alimentos</x:v>
      </x:c>
      <x:c r="G26" s="32" t="n">
        <x:v>5504</x:v>
      </x:c>
      <x:c r="H26" s="32" t="n">
        <x:v>5335</x:v>
      </x:c>
      <x:c r="I26" s="32" t="n">
        <x:v>169</x:v>
      </x:c>
      <x:c r="J26" s="32" t="n">
        <x:v>125</x:v>
      </x:c>
      <x:c r="K26" s="36" t="n">
        <x:v>0.0307</x:v>
      </x:c>
      <x:c r="L26" s="36" t="n">
        <x:v>0.0227</x:v>
      </x:c>
    </x:row>
    <x:row r="27">
      <x:c r="A27" s="34" t="n">
        <x:v>45320</x:v>
      </x:c>
      <x:c r="B27" s="28" t="str">
        <x:v>Grupo Industrial S.A.</x:v>
      </x:c>
      <x:c r="C27" s="28" t="str">
        <x:v>Planta São Paulo</x:v>
      </x:c>
      <x:c r="D27" s="28" t="str">
        <x:v>Linha 2 - Montagem</x:v>
      </x:c>
      <x:c r="E27" s="28" t="str">
        <x:v>SKU-002</x:v>
      </x:c>
      <x:c r="F27" s="28" t="str">
        <x:v>Alimentos</x:v>
      </x:c>
      <x:c r="G27" s="32" t="n">
        <x:v>5189</x:v>
      </x:c>
      <x:c r="H27" s="32" t="n">
        <x:v>5035</x:v>
      </x:c>
      <x:c r="I27" s="32" t="n">
        <x:v>154</x:v>
      </x:c>
      <x:c r="J27" s="32" t="n">
        <x:v>146</x:v>
      </x:c>
      <x:c r="K27" s="36" t="n">
        <x:v>0.0297</x:v>
      </x:c>
      <x:c r="L27" s="36" t="n">
        <x:v>0.0281</x:v>
      </x:c>
    </x:row>
    <x:row r="28">
      <x:c r="A28" s="34" t="n">
        <x:v>45320</x:v>
      </x:c>
      <x:c r="B28" s="28" t="str">
        <x:v>Grupo Industrial S.A.</x:v>
      </x:c>
      <x:c r="C28" s="28" t="str">
        <x:v>Planta Campinas</x:v>
      </x:c>
      <x:c r="D28" s="28" t="str">
        <x:v>Linha 3 - Extrusão</x:v>
      </x:c>
      <x:c r="E28" s="28" t="str">
        <x:v>SKU-078</x:v>
      </x:c>
      <x:c r="F28" s="28" t="str">
        <x:v>Higiene e Limpeza</x:v>
      </x:c>
      <x:c r="G28" s="32" t="n">
        <x:v>3806</x:v>
      </x:c>
      <x:c r="H28" s="32" t="n">
        <x:v>3598</x:v>
      </x:c>
      <x:c r="I28" s="32" t="n">
        <x:v>208</x:v>
      </x:c>
      <x:c r="J28" s="32" t="n">
        <x:v>114</x:v>
      </x:c>
      <x:c r="K28" s="36" t="n">
        <x:v>0.0547</x:v>
      </x:c>
      <x:c r="L28" s="36" t="n">
        <x:v>0.03</x:v>
      </x:c>
    </x:row>
    <x:row r="29">
      <x:c r="A29" s="34" t="n">
        <x:v>45320</x:v>
      </x:c>
      <x:c r="B29" s="28" t="str">
        <x:v>Grupo Industrial S.A.</x:v>
      </x:c>
      <x:c r="C29" s="28" t="str">
        <x:v>Planta Campinas</x:v>
      </x:c>
      <x:c r="D29" s="28" t="str">
        <x:v>Linha 4 - Embalagem</x:v>
      </x:c>
      <x:c r="E29" s="28" t="str">
        <x:v>SKU-105</x:v>
      </x:c>
      <x:c r="F29" s="28" t="str">
        <x:v>Embalagens</x:v>
      </x:c>
      <x:c r="G29" s="32" t="n">
        <x:v>3272</x:v>
      </x:c>
      <x:c r="H29" s="32" t="n">
        <x:v>3101</x:v>
      </x:c>
      <x:c r="I29" s="32" t="n">
        <x:v>171</x:v>
      </x:c>
      <x:c r="J29" s="32" t="n">
        <x:v>110</x:v>
      </x:c>
      <x:c r="K29" s="36" t="n">
        <x:v>0.0523</x:v>
      </x:c>
      <x:c r="L29" s="36" t="n">
        <x:v>0.0336</x:v>
      </x:c>
    </x:row>
    <x:row r="30">
      <x:c r="A30" s="34" t="n">
        <x:v>45320</x:v>
      </x:c>
      <x:c r="B30" s="28" t="str">
        <x:v>Grupo Industrial S.A.</x:v>
      </x:c>
      <x:c r="C30" s="28" t="str">
        <x:v>Planta Curitiba</x:v>
      </x:c>
      <x:c r="D30" s="28" t="str">
        <x:v>Linha 5 - Usinagem</x:v>
      </x:c>
      <x:c r="E30" s="28" t="str">
        <x:v>SKU-223</x:v>
      </x:c>
      <x:c r="F30" s="28" t="str">
        <x:v>Bebidas</x:v>
      </x:c>
      <x:c r="G30" s="32" t="n">
        <x:v>4318</x:v>
      </x:c>
      <x:c r="H30" s="32" t="n">
        <x:v>4166</x:v>
      </x:c>
      <x:c r="I30" s="32" t="n">
        <x:v>152</x:v>
      </x:c>
      <x:c r="J30" s="32" t="n">
        <x:v>117</x:v>
      </x:c>
      <x:c r="K30" s="36" t="n">
        <x:v>0.0352</x:v>
      </x:c>
      <x:c r="L30" s="36" t="n">
        <x:v>0.0271</x:v>
      </x:c>
    </x:row>
    <x:row r="31">
      <x:c r="A31" s="34" t="n">
        <x:v>45320</x:v>
      </x:c>
      <x:c r="B31" s="28" t="str">
        <x:v>Grupo Industrial S.A.</x:v>
      </x:c>
      <x:c r="C31" s="28" t="str">
        <x:v>Planta Curitiba</x:v>
      </x:c>
      <x:c r="D31" s="28" t="str">
        <x:v>Linha 6 - Finalização</x:v>
      </x:c>
      <x:c r="E31" s="28" t="str">
        <x:v>SKU-432</x:v>
      </x:c>
      <x:c r="F31" s="28" t="str">
        <x:v>Alimentos</x:v>
      </x:c>
      <x:c r="G31" s="32" t="n">
        <x:v>3430</x:v>
      </x:c>
      <x:c r="H31" s="32" t="n">
        <x:v>3306</x:v>
      </x:c>
      <x:c r="I31" s="32" t="n">
        <x:v>124</x:v>
      </x:c>
      <x:c r="J31" s="32" t="n">
        <x:v>100</x:v>
      </x:c>
      <x:c r="K31" s="36" t="n">
        <x:v>0.0362</x:v>
      </x:c>
      <x:c r="L31" s="36" t="n">
        <x:v>0.0292</x:v>
      </x:c>
    </x:row>
    <x:row r="32">
      <x:c r="A32" s="34" t="n">
        <x:v>45327</x:v>
      </x:c>
      <x:c r="B32" s="28" t="str">
        <x:v>Grupo Industrial S.A.</x:v>
      </x:c>
      <x:c r="C32" s="28" t="str">
        <x:v>Planta São Paulo</x:v>
      </x:c>
      <x:c r="D32" s="28" t="str">
        <x:v>Linha 1 - Corte</x:v>
      </x:c>
      <x:c r="E32" s="28" t="str">
        <x:v>SKU-001</x:v>
      </x:c>
      <x:c r="F32" s="28" t="str">
        <x:v>Alimentos</x:v>
      </x:c>
      <x:c r="G32" s="32" t="n">
        <x:v>5907</x:v>
      </x:c>
      <x:c r="H32" s="32" t="n">
        <x:v>5696</x:v>
      </x:c>
      <x:c r="I32" s="32" t="n">
        <x:v>211</x:v>
      </x:c>
      <x:c r="J32" s="32" t="n">
        <x:v>159</x:v>
      </x:c>
      <x:c r="K32" s="36" t="n">
        <x:v>0.0357</x:v>
      </x:c>
      <x:c r="L32" s="36" t="n">
        <x:v>0.0269</x:v>
      </x:c>
    </x:row>
    <x:row r="33">
      <x:c r="A33" s="34" t="n">
        <x:v>45327</x:v>
      </x:c>
      <x:c r="B33" s="28" t="str">
        <x:v>Grupo Industrial S.A.</x:v>
      </x:c>
      <x:c r="C33" s="28" t="str">
        <x:v>Planta São Paulo</x:v>
      </x:c>
      <x:c r="D33" s="28" t="str">
        <x:v>Linha 2 - Montagem</x:v>
      </x:c>
      <x:c r="E33" s="28" t="str">
        <x:v>SKU-002</x:v>
      </x:c>
      <x:c r="F33" s="28" t="str">
        <x:v>Alimentos</x:v>
      </x:c>
      <x:c r="G33" s="32" t="n">
        <x:v>4915</x:v>
      </x:c>
      <x:c r="H33" s="32" t="n">
        <x:v>4750</x:v>
      </x:c>
      <x:c r="I33" s="32" t="n">
        <x:v>165</x:v>
      </x:c>
      <x:c r="J33" s="32" t="n">
        <x:v>159</x:v>
      </x:c>
      <x:c r="K33" s="36" t="n">
        <x:v>0.0336</x:v>
      </x:c>
      <x:c r="L33" s="36" t="n">
        <x:v>0.0323</x:v>
      </x:c>
    </x:row>
    <x:row r="34">
      <x:c r="A34" s="34" t="n">
        <x:v>45327</x:v>
      </x:c>
      <x:c r="B34" s="28" t="str">
        <x:v>Grupo Industrial S.A.</x:v>
      </x:c>
      <x:c r="C34" s="28" t="str">
        <x:v>Planta Campinas</x:v>
      </x:c>
      <x:c r="D34" s="28" t="str">
        <x:v>Linha 3 - Extrusão</x:v>
      </x:c>
      <x:c r="E34" s="28" t="str">
        <x:v>SKU-078</x:v>
      </x:c>
      <x:c r="F34" s="28" t="str">
        <x:v>Higiene e Limpeza</x:v>
      </x:c>
      <x:c r="G34" s="32" t="n">
        <x:v>3857</x:v>
      </x:c>
      <x:c r="H34" s="32" t="n">
        <x:v>3703</x:v>
      </x:c>
      <x:c r="I34" s="32" t="n">
        <x:v>154</x:v>
      </x:c>
      <x:c r="J34" s="32" t="n">
        <x:v>147</x:v>
      </x:c>
      <x:c r="K34" s="36" t="n">
        <x:v>0.0399</x:v>
      </x:c>
      <x:c r="L34" s="36" t="n">
        <x:v>0.0381</x:v>
      </x:c>
    </x:row>
    <x:row r="35">
      <x:c r="A35" s="34" t="n">
        <x:v>45327</x:v>
      </x:c>
      <x:c r="B35" s="28" t="str">
        <x:v>Grupo Industrial S.A.</x:v>
      </x:c>
      <x:c r="C35" s="28" t="str">
        <x:v>Planta Campinas</x:v>
      </x:c>
      <x:c r="D35" s="28" t="str">
        <x:v>Linha 4 - Embalagem</x:v>
      </x:c>
      <x:c r="E35" s="28" t="str">
        <x:v>SKU-105</x:v>
      </x:c>
      <x:c r="F35" s="28" t="str">
        <x:v>Embalagens</x:v>
      </x:c>
      <x:c r="G35" s="32" t="n">
        <x:v>3531</x:v>
      </x:c>
      <x:c r="H35" s="32" t="n">
        <x:v>3370</x:v>
      </x:c>
      <x:c r="I35" s="32" t="n">
        <x:v>161</x:v>
      </x:c>
      <x:c r="J35" s="32" t="n">
        <x:v>125</x:v>
      </x:c>
      <x:c r="K35" s="36" t="n">
        <x:v>0.0456</x:v>
      </x:c>
      <x:c r="L35" s="36" t="n">
        <x:v>0.0354</x:v>
      </x:c>
    </x:row>
    <x:row r="36">
      <x:c r="A36" s="34" t="n">
        <x:v>45327</x:v>
      </x:c>
      <x:c r="B36" s="28" t="str">
        <x:v>Grupo Industrial S.A.</x:v>
      </x:c>
      <x:c r="C36" s="28" t="str">
        <x:v>Planta Curitiba</x:v>
      </x:c>
      <x:c r="D36" s="28" t="str">
        <x:v>Linha 5 - Usinagem</x:v>
      </x:c>
      <x:c r="E36" s="28" t="str">
        <x:v>SKU-223</x:v>
      </x:c>
      <x:c r="F36" s="28" t="str">
        <x:v>Bebidas</x:v>
      </x:c>
      <x:c r="G36" s="32" t="n">
        <x:v>3895</x:v>
      </x:c>
      <x:c r="H36" s="32" t="n">
        <x:v>3741</x:v>
      </x:c>
      <x:c r="I36" s="32" t="n">
        <x:v>154</x:v>
      </x:c>
      <x:c r="J36" s="32" t="n">
        <x:v>108</x:v>
      </x:c>
      <x:c r="K36" s="36" t="n">
        <x:v>0.0395</x:v>
      </x:c>
      <x:c r="L36" s="36" t="n">
        <x:v>0.0277</x:v>
      </x:c>
    </x:row>
    <x:row r="37">
      <x:c r="A37" s="34" t="n">
        <x:v>45327</x:v>
      </x:c>
      <x:c r="B37" s="28" t="str">
        <x:v>Grupo Industrial S.A.</x:v>
      </x:c>
      <x:c r="C37" s="28" t="str">
        <x:v>Planta Curitiba</x:v>
      </x:c>
      <x:c r="D37" s="28" t="str">
        <x:v>Linha 6 - Finalização</x:v>
      </x:c>
      <x:c r="E37" s="28" t="str">
        <x:v>SKU-432</x:v>
      </x:c>
      <x:c r="F37" s="28" t="str">
        <x:v>Alimentos</x:v>
      </x:c>
      <x:c r="G37" s="32" t="n">
        <x:v>3475</x:v>
      </x:c>
      <x:c r="H37" s="32" t="n">
        <x:v>3372</x:v>
      </x:c>
      <x:c r="I37" s="32" t="n">
        <x:v>103</x:v>
      </x:c>
      <x:c r="J37" s="32" t="n">
        <x:v>85</x:v>
      </x:c>
      <x:c r="K37" s="36" t="n">
        <x:v>0.0296</x:v>
      </x:c>
      <x:c r="L37" s="36" t="n">
        <x:v>0.0245</x:v>
      </x:c>
    </x:row>
    <x:row r="38">
      <x:c r="A38" s="34" t="n">
        <x:v>45334</x:v>
      </x:c>
      <x:c r="B38" s="28" t="str">
        <x:v>Grupo Industrial S.A.</x:v>
      </x:c>
      <x:c r="C38" s="28" t="str">
        <x:v>Planta São Paulo</x:v>
      </x:c>
      <x:c r="D38" s="28" t="str">
        <x:v>Linha 1 - Corte</x:v>
      </x:c>
      <x:c r="E38" s="28" t="str">
        <x:v>SKU-001</x:v>
      </x:c>
      <x:c r="F38" s="28" t="str">
        <x:v>Alimentos</x:v>
      </x:c>
      <x:c r="G38" s="32" t="n">
        <x:v>5738</x:v>
      </x:c>
      <x:c r="H38" s="32" t="n">
        <x:v>5551</x:v>
      </x:c>
      <x:c r="I38" s="32" t="n">
        <x:v>187</x:v>
      </x:c>
      <x:c r="J38" s="32" t="n">
        <x:v>176</x:v>
      </x:c>
      <x:c r="K38" s="36" t="n">
        <x:v>0.0326</x:v>
      </x:c>
      <x:c r="L38" s="36" t="n">
        <x:v>0.0307</x:v>
      </x:c>
    </x:row>
    <x:row r="39">
      <x:c r="A39" s="34" t="n">
        <x:v>45334</x:v>
      </x:c>
      <x:c r="B39" s="28" t="str">
        <x:v>Grupo Industrial S.A.</x:v>
      </x:c>
      <x:c r="C39" s="28" t="str">
        <x:v>Planta São Paulo</x:v>
      </x:c>
      <x:c r="D39" s="28" t="str">
        <x:v>Linha 2 - Montagem</x:v>
      </x:c>
      <x:c r="E39" s="28" t="str">
        <x:v>SKU-002</x:v>
      </x:c>
      <x:c r="F39" s="28" t="str">
        <x:v>Alimentos</x:v>
      </x:c>
      <x:c r="G39" s="32" t="n">
        <x:v>4926</x:v>
      </x:c>
      <x:c r="H39" s="32" t="n">
        <x:v>4836</x:v>
      </x:c>
      <x:c r="I39" s="32" t="n">
        <x:v>90</x:v>
      </x:c>
      <x:c r="J39" s="32" t="n">
        <x:v>128</x:v>
      </x:c>
      <x:c r="K39" s="36" t="n">
        <x:v>0.0183</x:v>
      </x:c>
      <x:c r="L39" s="36" t="n">
        <x:v>0.026</x:v>
      </x:c>
    </x:row>
    <x:row r="40">
      <x:c r="A40" s="34" t="n">
        <x:v>45334</x:v>
      </x:c>
      <x:c r="B40" s="28" t="str">
        <x:v>Grupo Industrial S.A.</x:v>
      </x:c>
      <x:c r="C40" s="28" t="str">
        <x:v>Planta Campinas</x:v>
      </x:c>
      <x:c r="D40" s="28" t="str">
        <x:v>Linha 3 - Extrusão</x:v>
      </x:c>
      <x:c r="E40" s="28" t="str">
        <x:v>SKU-078</x:v>
      </x:c>
      <x:c r="F40" s="28" t="str">
        <x:v>Higiene e Limpeza</x:v>
      </x:c>
      <x:c r="G40" s="32" t="n">
        <x:v>3761</x:v>
      </x:c>
      <x:c r="H40" s="32" t="n">
        <x:v>3620</x:v>
      </x:c>
      <x:c r="I40" s="32" t="n">
        <x:v>141</x:v>
      </x:c>
      <x:c r="J40" s="32" t="n">
        <x:v>102</x:v>
      </x:c>
      <x:c r="K40" s="36" t="n">
        <x:v>0.0375</x:v>
      </x:c>
      <x:c r="L40" s="36" t="n">
        <x:v>0.0271</x:v>
      </x:c>
    </x:row>
    <x:row r="41">
      <x:c r="A41" s="34" t="n">
        <x:v>45334</x:v>
      </x:c>
      <x:c r="B41" s="28" t="str">
        <x:v>Grupo Industrial S.A.</x:v>
      </x:c>
      <x:c r="C41" s="28" t="str">
        <x:v>Planta Campinas</x:v>
      </x:c>
      <x:c r="D41" s="28" t="str">
        <x:v>Linha 4 - Embalagem</x:v>
      </x:c>
      <x:c r="E41" s="28" t="str">
        <x:v>SKU-105</x:v>
      </x:c>
      <x:c r="F41" s="28" t="str">
        <x:v>Embalagens</x:v>
      </x:c>
      <x:c r="G41" s="32" t="n">
        <x:v>3435</x:v>
      </x:c>
      <x:c r="H41" s="32" t="n">
        <x:v>3276</x:v>
      </x:c>
      <x:c r="I41" s="32" t="n">
        <x:v>159</x:v>
      </x:c>
      <x:c r="J41" s="32" t="n">
        <x:v>100</x:v>
      </x:c>
      <x:c r="K41" s="36" t="n">
        <x:v>0.0463</x:v>
      </x:c>
      <x:c r="L41" s="36" t="n">
        <x:v>0.0291</x:v>
      </x:c>
    </x:row>
    <x:row r="42">
      <x:c r="A42" s="34" t="n">
        <x:v>45334</x:v>
      </x:c>
      <x:c r="B42" s="28" t="str">
        <x:v>Grupo Industrial S.A.</x:v>
      </x:c>
      <x:c r="C42" s="28" t="str">
        <x:v>Planta Curitiba</x:v>
      </x:c>
      <x:c r="D42" s="28" t="str">
        <x:v>Linha 5 - Usinagem</x:v>
      </x:c>
      <x:c r="E42" s="28" t="str">
        <x:v>SKU-223</x:v>
      </x:c>
      <x:c r="F42" s="28" t="str">
        <x:v>Bebidas</x:v>
      </x:c>
      <x:c r="G42" s="32" t="n">
        <x:v>4238</x:v>
      </x:c>
      <x:c r="H42" s="32" t="n">
        <x:v>4081</x:v>
      </x:c>
      <x:c r="I42" s="32" t="n">
        <x:v>157</x:v>
      </x:c>
      <x:c r="J42" s="32" t="n">
        <x:v>115</x:v>
      </x:c>
      <x:c r="K42" s="36" t="n">
        <x:v>0.037</x:v>
      </x:c>
      <x:c r="L42" s="36" t="n">
        <x:v>0.0271</x:v>
      </x:c>
    </x:row>
    <x:row r="43">
      <x:c r="A43" s="34" t="n">
        <x:v>45334</x:v>
      </x:c>
      <x:c r="B43" s="28" t="str">
        <x:v>Grupo Industrial S.A.</x:v>
      </x:c>
      <x:c r="C43" s="28" t="str">
        <x:v>Planta Curitiba</x:v>
      </x:c>
      <x:c r="D43" s="28" t="str">
        <x:v>Linha 6 - Finalização</x:v>
      </x:c>
      <x:c r="E43" s="28" t="str">
        <x:v>SKU-432</x:v>
      </x:c>
      <x:c r="F43" s="28" t="str">
        <x:v>Alimentos</x:v>
      </x:c>
      <x:c r="G43" s="32" t="n">
        <x:v>3704</x:v>
      </x:c>
      <x:c r="H43" s="32" t="n">
        <x:v>3580</x:v>
      </x:c>
      <x:c r="I43" s="32" t="n">
        <x:v>124</x:v>
      </x:c>
      <x:c r="J43" s="32" t="n">
        <x:v>88</x:v>
      </x:c>
      <x:c r="K43" s="36" t="n">
        <x:v>0.0335</x:v>
      </x:c>
      <x:c r="L43" s="36" t="n">
        <x:v>0.0238</x:v>
      </x:c>
    </x:row>
    <x:row r="44">
      <x:c r="A44" s="34" t="n">
        <x:v>45341</x:v>
      </x:c>
      <x:c r="B44" s="28" t="str">
        <x:v>Grupo Industrial S.A.</x:v>
      </x:c>
      <x:c r="C44" s="28" t="str">
        <x:v>Planta São Paulo</x:v>
      </x:c>
      <x:c r="D44" s="28" t="str">
        <x:v>Linha 1 - Corte</x:v>
      </x:c>
      <x:c r="E44" s="28" t="str">
        <x:v>SKU-001</x:v>
      </x:c>
      <x:c r="F44" s="28" t="str">
        <x:v>Alimentos</x:v>
      </x:c>
      <x:c r="G44" s="32" t="n">
        <x:v>5356</x:v>
      </x:c>
      <x:c r="H44" s="32" t="n">
        <x:v>5232</x:v>
      </x:c>
      <x:c r="I44" s="32" t="n">
        <x:v>124</x:v>
      </x:c>
      <x:c r="J44" s="32" t="n">
        <x:v>150</x:v>
      </x:c>
      <x:c r="K44" s="36" t="n">
        <x:v>0.0232</x:v>
      </x:c>
      <x:c r="L44" s="36" t="n">
        <x:v>0.028</x:v>
      </x:c>
    </x:row>
    <x:row r="45">
      <x:c r="A45" s="34" t="n">
        <x:v>45341</x:v>
      </x:c>
      <x:c r="B45" s="28" t="str">
        <x:v>Grupo Industrial S.A.</x:v>
      </x:c>
      <x:c r="C45" s="28" t="str">
        <x:v>Planta São Paulo</x:v>
      </x:c>
      <x:c r="D45" s="28" t="str">
        <x:v>Linha 2 - Montagem</x:v>
      </x:c>
      <x:c r="E45" s="28" t="str">
        <x:v>SKU-002</x:v>
      </x:c>
      <x:c r="F45" s="28" t="str">
        <x:v>Alimentos</x:v>
      </x:c>
      <x:c r="G45" s="32" t="n">
        <x:v>4642</x:v>
      </x:c>
      <x:c r="H45" s="32" t="n">
        <x:v>4491</x:v>
      </x:c>
      <x:c r="I45" s="32" t="n">
        <x:v>151</x:v>
      </x:c>
      <x:c r="J45" s="32" t="n">
        <x:v>151</x:v>
      </x:c>
      <x:c r="K45" s="36" t="n">
        <x:v>0.0325</x:v>
      </x:c>
      <x:c r="L45" s="36" t="n">
        <x:v>0.0325</x:v>
      </x:c>
    </x:row>
    <x:row r="46">
      <x:c r="A46" s="34" t="n">
        <x:v>45341</x:v>
      </x:c>
      <x:c r="B46" s="28" t="str">
        <x:v>Grupo Industrial S.A.</x:v>
      </x:c>
      <x:c r="C46" s="28" t="str">
        <x:v>Planta Campinas</x:v>
      </x:c>
      <x:c r="D46" s="28" t="str">
        <x:v>Linha 3 - Extrusão</x:v>
      </x:c>
      <x:c r="E46" s="28" t="str">
        <x:v>SKU-078</x:v>
      </x:c>
      <x:c r="F46" s="28" t="str">
        <x:v>Higiene e Limpeza</x:v>
      </x:c>
      <x:c r="G46" s="32" t="n">
        <x:v>3908</x:v>
      </x:c>
      <x:c r="H46" s="32" t="n">
        <x:v>3703</x:v>
      </x:c>
      <x:c r="I46" s="32" t="n">
        <x:v>205</x:v>
      </x:c>
      <x:c r="J46" s="32" t="n">
        <x:v>108</x:v>
      </x:c>
      <x:c r="K46" s="36" t="n">
        <x:v>0.0525</x:v>
      </x:c>
      <x:c r="L46" s="36" t="n">
        <x:v>0.0276</x:v>
      </x:c>
    </x:row>
    <x:row r="47">
      <x:c r="A47" s="34" t="n">
        <x:v>45341</x:v>
      </x:c>
      <x:c r="B47" s="28" t="str">
        <x:v>Grupo Industrial S.A.</x:v>
      </x:c>
      <x:c r="C47" s="28" t="str">
        <x:v>Planta Campinas</x:v>
      </x:c>
      <x:c r="D47" s="28" t="str">
        <x:v>Linha 4 - Embalagem</x:v>
      </x:c>
      <x:c r="E47" s="28" t="str">
        <x:v>SKU-105</x:v>
      </x:c>
      <x:c r="F47" s="28" t="str">
        <x:v>Embalagens</x:v>
      </x:c>
      <x:c r="G47" s="32" t="n">
        <x:v>3363</x:v>
      </x:c>
      <x:c r="H47" s="32" t="n">
        <x:v>3177</x:v>
      </x:c>
      <x:c r="I47" s="32" t="n">
        <x:v>186</x:v>
      </x:c>
      <x:c r="J47" s="32" t="n">
        <x:v>97</x:v>
      </x:c>
      <x:c r="K47" s="36" t="n">
        <x:v>0.0553</x:v>
      </x:c>
      <x:c r="L47" s="36" t="n">
        <x:v>0.0288</x:v>
      </x:c>
    </x:row>
    <x:row r="48">
      <x:c r="A48" s="34" t="n">
        <x:v>45341</x:v>
      </x:c>
      <x:c r="B48" s="28" t="str">
        <x:v>Grupo Industrial S.A.</x:v>
      </x:c>
      <x:c r="C48" s="28" t="str">
        <x:v>Planta Curitiba</x:v>
      </x:c>
      <x:c r="D48" s="28" t="str">
        <x:v>Linha 5 - Usinagem</x:v>
      </x:c>
      <x:c r="E48" s="28" t="str">
        <x:v>SKU-223</x:v>
      </x:c>
      <x:c r="F48" s="28" t="str">
        <x:v>Bebidas</x:v>
      </x:c>
      <x:c r="G48" s="32" t="n">
        <x:v>4123</x:v>
      </x:c>
      <x:c r="H48" s="32" t="n">
        <x:v>3993</x:v>
      </x:c>
      <x:c r="I48" s="32" t="n">
        <x:v>130</x:v>
      </x:c>
      <x:c r="J48" s="32" t="n">
        <x:v>103</x:v>
      </x:c>
      <x:c r="K48" s="36" t="n">
        <x:v>0.0315</x:v>
      </x:c>
      <x:c r="L48" s="36" t="n">
        <x:v>0.025</x:v>
      </x:c>
    </x:row>
    <x:row r="49">
      <x:c r="A49" s="34" t="n">
        <x:v>45341</x:v>
      </x:c>
      <x:c r="B49" s="28" t="str">
        <x:v>Grupo Industrial S.A.</x:v>
      </x:c>
      <x:c r="C49" s="28" t="str">
        <x:v>Planta Curitiba</x:v>
      </x:c>
      <x:c r="D49" s="28" t="str">
        <x:v>Linha 6 - Finalização</x:v>
      </x:c>
      <x:c r="E49" s="28" t="str">
        <x:v>SKU-432</x:v>
      </x:c>
      <x:c r="F49" s="28" t="str">
        <x:v>Alimentos</x:v>
      </x:c>
      <x:c r="G49" s="32" t="n">
        <x:v>3882</x:v>
      </x:c>
      <x:c r="H49" s="32" t="n">
        <x:v>3738</x:v>
      </x:c>
      <x:c r="I49" s="32" t="n">
        <x:v>144</x:v>
      </x:c>
      <x:c r="J49" s="32" t="n">
        <x:v>123</x:v>
      </x:c>
      <x:c r="K49" s="36" t="n">
        <x:v>0.0371</x:v>
      </x:c>
      <x:c r="L49" s="36" t="n">
        <x:v>0.0317</x:v>
      </x:c>
    </x:row>
    <x:row r="50">
      <x:c r="A50" s="34" t="n">
        <x:v>45348</x:v>
      </x:c>
      <x:c r="B50" s="28" t="str">
        <x:v>Grupo Industrial S.A.</x:v>
      </x:c>
      <x:c r="C50" s="28" t="str">
        <x:v>Planta São Paulo</x:v>
      </x:c>
      <x:c r="D50" s="28" t="str">
        <x:v>Linha 1 - Corte</x:v>
      </x:c>
      <x:c r="E50" s="28" t="str">
        <x:v>SKU-001</x:v>
      </x:c>
      <x:c r="F50" s="28" t="str">
        <x:v>Alimentos</x:v>
      </x:c>
      <x:c r="G50" s="32" t="n">
        <x:v>5749</x:v>
      </x:c>
      <x:c r="H50" s="32" t="n">
        <x:v>5610</x:v>
      </x:c>
      <x:c r="I50" s="32" t="n">
        <x:v>139</x:v>
      </x:c>
      <x:c r="J50" s="32" t="n">
        <x:v>133</x:v>
      </x:c>
      <x:c r="K50" s="36" t="n">
        <x:v>0.0242</x:v>
      </x:c>
      <x:c r="L50" s="36" t="n">
        <x:v>0.0231</x:v>
      </x:c>
    </x:row>
    <x:row r="51">
      <x:c r="A51" s="34" t="n">
        <x:v>45348</x:v>
      </x:c>
      <x:c r="B51" s="28" t="str">
        <x:v>Grupo Industrial S.A.</x:v>
      </x:c>
      <x:c r="C51" s="28" t="str">
        <x:v>Planta São Paulo</x:v>
      </x:c>
      <x:c r="D51" s="28" t="str">
        <x:v>Linha 2 - Montagem</x:v>
      </x:c>
      <x:c r="E51" s="28" t="str">
        <x:v>SKU-002</x:v>
      </x:c>
      <x:c r="F51" s="28" t="str">
        <x:v>Alimentos</x:v>
      </x:c>
      <x:c r="G51" s="32" t="n">
        <x:v>5120</x:v>
      </x:c>
      <x:c r="H51" s="32" t="n">
        <x:v>5036</x:v>
      </x:c>
      <x:c r="I51" s="32" t="n">
        <x:v>84</x:v>
      </x:c>
      <x:c r="J51" s="32" t="n">
        <x:v>128</x:v>
      </x:c>
      <x:c r="K51" s="36" t="n">
        <x:v>0.0164</x:v>
      </x:c>
      <x:c r="L51" s="36" t="n">
        <x:v>0.025</x:v>
      </x:c>
    </x:row>
    <x:row r="52">
      <x:c r="A52" s="34" t="n">
        <x:v>45348</x:v>
      </x:c>
      <x:c r="B52" s="28" t="str">
        <x:v>Grupo Industrial S.A.</x:v>
      </x:c>
      <x:c r="C52" s="28" t="str">
        <x:v>Planta Campinas</x:v>
      </x:c>
      <x:c r="D52" s="28" t="str">
        <x:v>Linha 3 - Extrusão</x:v>
      </x:c>
      <x:c r="E52" s="28" t="str">
        <x:v>SKU-078</x:v>
      </x:c>
      <x:c r="F52" s="28" t="str">
        <x:v>Higiene e Limpeza</x:v>
      </x:c>
      <x:c r="G52" s="32" t="n">
        <x:v>3930</x:v>
      </x:c>
      <x:c r="H52" s="32" t="n">
        <x:v>3764</x:v>
      </x:c>
      <x:c r="I52" s="32" t="n">
        <x:v>166</x:v>
      </x:c>
      <x:c r="J52" s="32" t="n">
        <x:v>138</x:v>
      </x:c>
      <x:c r="K52" s="36" t="n">
        <x:v>0.0422</x:v>
      </x:c>
      <x:c r="L52" s="36" t="n">
        <x:v>0.0351</x:v>
      </x:c>
    </x:row>
    <x:row r="53">
      <x:c r="A53" s="34" t="n">
        <x:v>45348</x:v>
      </x:c>
      <x:c r="B53" s="28" t="str">
        <x:v>Grupo Industrial S.A.</x:v>
      </x:c>
      <x:c r="C53" s="28" t="str">
        <x:v>Planta Campinas</x:v>
      </x:c>
      <x:c r="D53" s="28" t="str">
        <x:v>Linha 4 - Embalagem</x:v>
      </x:c>
      <x:c r="E53" s="28" t="str">
        <x:v>SKU-105</x:v>
      </x:c>
      <x:c r="F53" s="28" t="str">
        <x:v>Embalagens</x:v>
      </x:c>
      <x:c r="G53" s="32" t="n">
        <x:v>3766</x:v>
      </x:c>
      <x:c r="H53" s="32" t="n">
        <x:v>3577</x:v>
      </x:c>
      <x:c r="I53" s="32" t="n">
        <x:v>189</x:v>
      </x:c>
      <x:c r="J53" s="32" t="n">
        <x:v>126</x:v>
      </x:c>
      <x:c r="K53" s="36" t="n">
        <x:v>0.0502</x:v>
      </x:c>
      <x:c r="L53" s="36" t="n">
        <x:v>0.0335</x:v>
      </x:c>
    </x:row>
    <x:row r="54">
      <x:c r="A54" s="34" t="n">
        <x:v>45348</x:v>
      </x:c>
      <x:c r="B54" s="28" t="str">
        <x:v>Grupo Industrial S.A.</x:v>
      </x:c>
      <x:c r="C54" s="28" t="str">
        <x:v>Planta Curitiba</x:v>
      </x:c>
      <x:c r="D54" s="28" t="str">
        <x:v>Linha 5 - Usinagem</x:v>
      </x:c>
      <x:c r="E54" s="28" t="str">
        <x:v>SKU-223</x:v>
      </x:c>
      <x:c r="F54" s="28" t="str">
        <x:v>Bebidas</x:v>
      </x:c>
      <x:c r="G54" s="32" t="n">
        <x:v>4067</x:v>
      </x:c>
      <x:c r="H54" s="32" t="n">
        <x:v>3961</x:v>
      </x:c>
      <x:c r="I54" s="32" t="n">
        <x:v>106</x:v>
      </x:c>
      <x:c r="J54" s="32" t="n">
        <x:v>129</x:v>
      </x:c>
      <x:c r="K54" s="36" t="n">
        <x:v>0.0261</x:v>
      </x:c>
      <x:c r="L54" s="36" t="n">
        <x:v>0.0317</x:v>
      </x:c>
    </x:row>
    <x:row r="55">
      <x:c r="A55" s="34" t="n">
        <x:v>45348</x:v>
      </x:c>
      <x:c r="B55" s="28" t="str">
        <x:v>Grupo Industrial S.A.</x:v>
      </x:c>
      <x:c r="C55" s="28" t="str">
        <x:v>Planta Curitiba</x:v>
      </x:c>
      <x:c r="D55" s="28" t="str">
        <x:v>Linha 6 - Finalização</x:v>
      </x:c>
      <x:c r="E55" s="28" t="str">
        <x:v>SKU-432</x:v>
      </x:c>
      <x:c r="F55" s="28" t="str">
        <x:v>Alimentos</x:v>
      </x:c>
      <x:c r="G55" s="32" t="n">
        <x:v>3553</x:v>
      </x:c>
      <x:c r="H55" s="32" t="n">
        <x:v>3452</x:v>
      </x:c>
      <x:c r="I55" s="32" t="n">
        <x:v>101</x:v>
      </x:c>
      <x:c r="J55" s="32" t="n">
        <x:v>99</x:v>
      </x:c>
      <x:c r="K55" s="36" t="n">
        <x:v>0.0284</x:v>
      </x:c>
      <x:c r="L55" s="36" t="n">
        <x:v>0.0279</x:v>
      </x:c>
    </x:row>
    <x:row r="56">
      <x:c r="A56" s="34" t="n">
        <x:v>45355</x:v>
      </x:c>
      <x:c r="B56" s="28" t="str">
        <x:v>Grupo Industrial S.A.</x:v>
      </x:c>
      <x:c r="C56" s="28" t="str">
        <x:v>Planta São Paulo</x:v>
      </x:c>
      <x:c r="D56" s="28" t="str">
        <x:v>Linha 1 - Corte</x:v>
      </x:c>
      <x:c r="E56" s="28" t="str">
        <x:v>SKU-001</x:v>
      </x:c>
      <x:c r="F56" s="28" t="str">
        <x:v>Alimentos</x:v>
      </x:c>
      <x:c r="G56" s="32" t="n">
        <x:v>5947</x:v>
      </x:c>
      <x:c r="H56" s="32" t="n">
        <x:v>5764</x:v>
      </x:c>
      <x:c r="I56" s="32" t="n">
        <x:v>183</x:v>
      </x:c>
      <x:c r="J56" s="32" t="n">
        <x:v>151</x:v>
      </x:c>
      <x:c r="K56" s="36" t="n">
        <x:v>0.0308</x:v>
      </x:c>
      <x:c r="L56" s="36" t="n">
        <x:v>0.0254</x:v>
      </x:c>
    </x:row>
    <x:row r="57">
      <x:c r="A57" s="34" t="n">
        <x:v>45355</x:v>
      </x:c>
      <x:c r="B57" s="28" t="str">
        <x:v>Grupo Industrial S.A.</x:v>
      </x:c>
      <x:c r="C57" s="28" t="str">
        <x:v>Planta São Paulo</x:v>
      </x:c>
      <x:c r="D57" s="28" t="str">
        <x:v>Linha 2 - Montagem</x:v>
      </x:c>
      <x:c r="E57" s="28" t="str">
        <x:v>SKU-002</x:v>
      </x:c>
      <x:c r="F57" s="28" t="str">
        <x:v>Alimentos</x:v>
      </x:c>
      <x:c r="G57" s="32" t="n">
        <x:v>4874</x:v>
      </x:c>
      <x:c r="H57" s="32" t="n">
        <x:v>4779</x:v>
      </x:c>
      <x:c r="I57" s="32" t="n">
        <x:v>95</x:v>
      </x:c>
      <x:c r="J57" s="32" t="n">
        <x:v>109</x:v>
      </x:c>
      <x:c r="K57" s="36" t="n">
        <x:v>0.0195</x:v>
      </x:c>
      <x:c r="L57" s="36" t="n">
        <x:v>0.0224</x:v>
      </x:c>
    </x:row>
    <x:row r="58">
      <x:c r="A58" s="34" t="n">
        <x:v>45355</x:v>
      </x:c>
      <x:c r="B58" s="28" t="str">
        <x:v>Grupo Industrial S.A.</x:v>
      </x:c>
      <x:c r="C58" s="28" t="str">
        <x:v>Planta Campinas</x:v>
      </x:c>
      <x:c r="D58" s="28" t="str">
        <x:v>Linha 3 - Extrusão</x:v>
      </x:c>
      <x:c r="E58" s="28" t="str">
        <x:v>SKU-078</x:v>
      </x:c>
      <x:c r="F58" s="28" t="str">
        <x:v>Higiene e Limpeza</x:v>
      </x:c>
      <x:c r="G58" s="32" t="n">
        <x:v>3785</x:v>
      </x:c>
      <x:c r="H58" s="32" t="n">
        <x:v>3588</x:v>
      </x:c>
      <x:c r="I58" s="32" t="n">
        <x:v>197</x:v>
      </x:c>
      <x:c r="J58" s="32" t="n">
        <x:v>143</x:v>
      </x:c>
      <x:c r="K58" s="36" t="n">
        <x:v>0.052</x:v>
      </x:c>
      <x:c r="L58" s="36" t="n">
        <x:v>0.0378</x:v>
      </x:c>
    </x:row>
    <x:row r="59">
      <x:c r="A59" s="34" t="n">
        <x:v>45355</x:v>
      </x:c>
      <x:c r="B59" s="28" t="str">
        <x:v>Grupo Industrial S.A.</x:v>
      </x:c>
      <x:c r="C59" s="28" t="str">
        <x:v>Planta Campinas</x:v>
      </x:c>
      <x:c r="D59" s="28" t="str">
        <x:v>Linha 4 - Embalagem</x:v>
      </x:c>
      <x:c r="E59" s="28" t="str">
        <x:v>SKU-105</x:v>
      </x:c>
      <x:c r="F59" s="28" t="str">
        <x:v>Embalagens</x:v>
      </x:c>
      <x:c r="G59" s="32" t="n">
        <x:v>3735</x:v>
      </x:c>
      <x:c r="H59" s="32" t="n">
        <x:v>3594</x:v>
      </x:c>
      <x:c r="I59" s="32" t="n">
        <x:v>141</x:v>
      </x:c>
      <x:c r="J59" s="32" t="n">
        <x:v>126</x:v>
      </x:c>
      <x:c r="K59" s="36" t="n">
        <x:v>0.0378</x:v>
      </x:c>
      <x:c r="L59" s="36" t="n">
        <x:v>0.0337</x:v>
      </x:c>
    </x:row>
    <x:row r="60">
      <x:c r="A60" s="34" t="n">
        <x:v>45355</x:v>
      </x:c>
      <x:c r="B60" s="28" t="str">
        <x:v>Grupo Industrial S.A.</x:v>
      </x:c>
      <x:c r="C60" s="28" t="str">
        <x:v>Planta Curitiba</x:v>
      </x:c>
      <x:c r="D60" s="28" t="str">
        <x:v>Linha 5 - Usinagem</x:v>
      </x:c>
      <x:c r="E60" s="28" t="str">
        <x:v>SKU-223</x:v>
      </x:c>
      <x:c r="F60" s="28" t="str">
        <x:v>Bebidas</x:v>
      </x:c>
      <x:c r="G60" s="32" t="n">
        <x:v>4027</x:v>
      </x:c>
      <x:c r="H60" s="32" t="n">
        <x:v>3904</x:v>
      </x:c>
      <x:c r="I60" s="32" t="n">
        <x:v>123</x:v>
      </x:c>
      <x:c r="J60" s="32" t="n">
        <x:v>88</x:v>
      </x:c>
      <x:c r="K60" s="36" t="n">
        <x:v>0.0305</x:v>
      </x:c>
      <x:c r="L60" s="36" t="n">
        <x:v>0.0219</x:v>
      </x:c>
    </x:row>
    <x:row r="61">
      <x:c r="A61" s="34" t="n">
        <x:v>45355</x:v>
      </x:c>
      <x:c r="B61" s="28" t="str">
        <x:v>Grupo Industrial S.A.</x:v>
      </x:c>
      <x:c r="C61" s="28" t="str">
        <x:v>Planta Curitiba</x:v>
      </x:c>
      <x:c r="D61" s="28" t="str">
        <x:v>Linha 6 - Finalização</x:v>
      </x:c>
      <x:c r="E61" s="28" t="str">
        <x:v>SKU-432</x:v>
      </x:c>
      <x:c r="F61" s="28" t="str">
        <x:v>Alimentos</x:v>
      </x:c>
      <x:c r="G61" s="32" t="n">
        <x:v>3860</x:v>
      </x:c>
      <x:c r="H61" s="32" t="n">
        <x:v>3733</x:v>
      </x:c>
      <x:c r="I61" s="32" t="n">
        <x:v>127</x:v>
      </x:c>
      <x:c r="J61" s="32" t="n">
        <x:v>103</x:v>
      </x:c>
      <x:c r="K61" s="36" t="n">
        <x:v>0.0329</x:v>
      </x:c>
      <x:c r="L61" s="36" t="n">
        <x:v>0.0267</x:v>
      </x:c>
    </x:row>
    <x:row r="62">
      <x:c r="A62" s="34" t="n">
        <x:v>45362</x:v>
      </x:c>
      <x:c r="B62" s="28" t="str">
        <x:v>Grupo Industrial S.A.</x:v>
      </x:c>
      <x:c r="C62" s="28" t="str">
        <x:v>Planta São Paulo</x:v>
      </x:c>
      <x:c r="D62" s="28" t="str">
        <x:v>Linha 1 - Corte</x:v>
      </x:c>
      <x:c r="E62" s="28" t="str">
        <x:v>SKU-001</x:v>
      </x:c>
      <x:c r="F62" s="28" t="str">
        <x:v>Alimentos</x:v>
      </x:c>
      <x:c r="G62" s="32" t="n">
        <x:v>5962</x:v>
      </x:c>
      <x:c r="H62" s="32" t="n">
        <x:v>5830</x:v>
      </x:c>
      <x:c r="I62" s="32" t="n">
        <x:v>132</x:v>
      </x:c>
      <x:c r="J62" s="32" t="n">
        <x:v>185</x:v>
      </x:c>
      <x:c r="K62" s="36" t="n">
        <x:v>0.0221</x:v>
      </x:c>
      <x:c r="L62" s="36" t="n">
        <x:v>0.031</x:v>
      </x:c>
    </x:row>
    <x:row r="63">
      <x:c r="A63" s="34" t="n">
        <x:v>45362</x:v>
      </x:c>
      <x:c r="B63" s="28" t="str">
        <x:v>Grupo Industrial S.A.</x:v>
      </x:c>
      <x:c r="C63" s="28" t="str">
        <x:v>Planta São Paulo</x:v>
      </x:c>
      <x:c r="D63" s="28" t="str">
        <x:v>Linha 2 - Montagem</x:v>
      </x:c>
      <x:c r="E63" s="28" t="str">
        <x:v>SKU-002</x:v>
      </x:c>
      <x:c r="F63" s="28" t="str">
        <x:v>Alimentos</x:v>
      </x:c>
      <x:c r="G63" s="32" t="n">
        <x:v>4950</x:v>
      </x:c>
      <x:c r="H63" s="32" t="n">
        <x:v>4811</x:v>
      </x:c>
      <x:c r="I63" s="32" t="n">
        <x:v>139</x:v>
      </x:c>
      <x:c r="J63" s="32" t="n">
        <x:v>109</x:v>
      </x:c>
      <x:c r="K63" s="36" t="n">
        <x:v>0.0281</x:v>
      </x:c>
      <x:c r="L63" s="36" t="n">
        <x:v>0.022</x:v>
      </x:c>
    </x:row>
    <x:row r="64">
      <x:c r="A64" s="34" t="n">
        <x:v>45362</x:v>
      </x:c>
      <x:c r="B64" s="28" t="str">
        <x:v>Grupo Industrial S.A.</x:v>
      </x:c>
      <x:c r="C64" s="28" t="str">
        <x:v>Planta Campinas</x:v>
      </x:c>
      <x:c r="D64" s="28" t="str">
        <x:v>Linha 3 - Extrusão</x:v>
      </x:c>
      <x:c r="E64" s="28" t="str">
        <x:v>SKU-078</x:v>
      </x:c>
      <x:c r="F64" s="28" t="str">
        <x:v>Higiene e Limpeza</x:v>
      </x:c>
      <x:c r="G64" s="32" t="n">
        <x:v>3924</x:v>
      </x:c>
      <x:c r="H64" s="32" t="n">
        <x:v>3732</x:v>
      </x:c>
      <x:c r="I64" s="32" t="n">
        <x:v>192</x:v>
      </x:c>
      <x:c r="J64" s="32" t="n">
        <x:v>150</x:v>
      </x:c>
      <x:c r="K64" s="36" t="n">
        <x:v>0.0489</x:v>
      </x:c>
      <x:c r="L64" s="36" t="n">
        <x:v>0.0382</x:v>
      </x:c>
    </x:row>
    <x:row r="65">
      <x:c r="A65" s="34" t="n">
        <x:v>45362</x:v>
      </x:c>
      <x:c r="B65" s="28" t="str">
        <x:v>Grupo Industrial S.A.</x:v>
      </x:c>
      <x:c r="C65" s="28" t="str">
        <x:v>Planta Campinas</x:v>
      </x:c>
      <x:c r="D65" s="28" t="str">
        <x:v>Linha 4 - Embalagem</x:v>
      </x:c>
      <x:c r="E65" s="28" t="str">
        <x:v>SKU-105</x:v>
      </x:c>
      <x:c r="F65" s="28" t="str">
        <x:v>Embalagens</x:v>
      </x:c>
      <x:c r="G65" s="32" t="n">
        <x:v>3762</x:v>
      </x:c>
      <x:c r="H65" s="32" t="n">
        <x:v>3569</x:v>
      </x:c>
      <x:c r="I65" s="32" t="n">
        <x:v>193</x:v>
      </x:c>
      <x:c r="J65" s="32" t="n">
        <x:v>113</x:v>
      </x:c>
      <x:c r="K65" s="36" t="n">
        <x:v>0.0513</x:v>
      </x:c>
      <x:c r="L65" s="36" t="n">
        <x:v>0.03</x:v>
      </x:c>
    </x:row>
    <x:row r="66">
      <x:c r="A66" s="34" t="n">
        <x:v>45362</x:v>
      </x:c>
      <x:c r="B66" s="28" t="str">
        <x:v>Grupo Industrial S.A.</x:v>
      </x:c>
      <x:c r="C66" s="28" t="str">
        <x:v>Planta Curitiba</x:v>
      </x:c>
      <x:c r="D66" s="28" t="str">
        <x:v>Linha 5 - Usinagem</x:v>
      </x:c>
      <x:c r="E66" s="28" t="str">
        <x:v>SKU-223</x:v>
      </x:c>
      <x:c r="F66" s="28" t="str">
        <x:v>Bebidas</x:v>
      </x:c>
      <x:c r="G66" s="32" t="n">
        <x:v>4427</x:v>
      </x:c>
      <x:c r="H66" s="32" t="n">
        <x:v>4250</x:v>
      </x:c>
      <x:c r="I66" s="32" t="n">
        <x:v>177</x:v>
      </x:c>
      <x:c r="J66" s="32" t="n">
        <x:v>101</x:v>
      </x:c>
      <x:c r="K66" s="36" t="n">
        <x:v>0.04</x:v>
      </x:c>
      <x:c r="L66" s="36" t="n">
        <x:v>0.0228</x:v>
      </x:c>
    </x:row>
    <x:row r="67">
      <x:c r="A67" s="34" t="n">
        <x:v>45362</x:v>
      </x:c>
      <x:c r="B67" s="28" t="str">
        <x:v>Grupo Industrial S.A.</x:v>
      </x:c>
      <x:c r="C67" s="28" t="str">
        <x:v>Planta Curitiba</x:v>
      </x:c>
      <x:c r="D67" s="28" t="str">
        <x:v>Linha 6 - Finalização</x:v>
      </x:c>
      <x:c r="E67" s="28" t="str">
        <x:v>SKU-432</x:v>
      </x:c>
      <x:c r="F67" s="28" t="str">
        <x:v>Alimentos</x:v>
      </x:c>
      <x:c r="G67" s="32" t="n">
        <x:v>3718</x:v>
      </x:c>
      <x:c r="H67" s="32" t="n">
        <x:v>3609</x:v>
      </x:c>
      <x:c r="I67" s="32" t="n">
        <x:v>109</x:v>
      </x:c>
      <x:c r="J67" s="32" t="n">
        <x:v>83</x:v>
      </x:c>
      <x:c r="K67" s="36" t="n">
        <x:v>0.0293</x:v>
      </x:c>
      <x:c r="L67" s="36" t="n">
        <x:v>0.0223</x:v>
      </x:c>
    </x:row>
    <x:row r="68">
      <x:c r="A68" s="34" t="n">
        <x:v>45369</x:v>
      </x:c>
      <x:c r="B68" s="28" t="str">
        <x:v>Grupo Industrial S.A.</x:v>
      </x:c>
      <x:c r="C68" s="28" t="str">
        <x:v>Planta São Paulo</x:v>
      </x:c>
      <x:c r="D68" s="28" t="str">
        <x:v>Linha 1 - Corte</x:v>
      </x:c>
      <x:c r="E68" s="28" t="str">
        <x:v>SKU-001</x:v>
      </x:c>
      <x:c r="F68" s="28" t="str">
        <x:v>Alimentos</x:v>
      </x:c>
      <x:c r="G68" s="32" t="n">
        <x:v>5871</x:v>
      </x:c>
      <x:c r="H68" s="32" t="n">
        <x:v>5763</x:v>
      </x:c>
      <x:c r="I68" s="32" t="n">
        <x:v>108</x:v>
      </x:c>
      <x:c r="J68" s="32" t="n">
        <x:v>147</x:v>
      </x:c>
      <x:c r="K68" s="36" t="n">
        <x:v>0.0184</x:v>
      </x:c>
      <x:c r="L68" s="36" t="n">
        <x:v>0.025</x:v>
      </x:c>
    </x:row>
    <x:row r="69">
      <x:c r="A69" s="34" t="n">
        <x:v>45369</x:v>
      </x:c>
      <x:c r="B69" s="28" t="str">
        <x:v>Grupo Industrial S.A.</x:v>
      </x:c>
      <x:c r="C69" s="28" t="str">
        <x:v>Planta São Paulo</x:v>
      </x:c>
      <x:c r="D69" s="28" t="str">
        <x:v>Linha 2 - Montagem</x:v>
      </x:c>
      <x:c r="E69" s="28" t="str">
        <x:v>SKU-002</x:v>
      </x:c>
      <x:c r="F69" s="28" t="str">
        <x:v>Alimentos</x:v>
      </x:c>
      <x:c r="G69" s="32" t="n">
        <x:v>4954</x:v>
      </x:c>
      <x:c r="H69" s="32" t="n">
        <x:v>4875</x:v>
      </x:c>
      <x:c r="I69" s="32" t="n">
        <x:v>79</x:v>
      </x:c>
      <x:c r="J69" s="32" t="n">
        <x:v>126</x:v>
      </x:c>
      <x:c r="K69" s="36" t="n">
        <x:v>0.0159</x:v>
      </x:c>
      <x:c r="L69" s="36" t="n">
        <x:v>0.0254</x:v>
      </x:c>
    </x:row>
    <x:row r="70">
      <x:c r="A70" s="34" t="n">
        <x:v>45369</x:v>
      </x:c>
      <x:c r="B70" s="28" t="str">
        <x:v>Grupo Industrial S.A.</x:v>
      </x:c>
      <x:c r="C70" s="28" t="str">
        <x:v>Planta Campinas</x:v>
      </x:c>
      <x:c r="D70" s="28" t="str">
        <x:v>Linha 3 - Extrusão</x:v>
      </x:c>
      <x:c r="E70" s="28" t="str">
        <x:v>SKU-078</x:v>
      </x:c>
      <x:c r="F70" s="28" t="str">
        <x:v>Higiene e Limpeza</x:v>
      </x:c>
      <x:c r="G70" s="32" t="n">
        <x:v>4185</x:v>
      </x:c>
      <x:c r="H70" s="32" t="n">
        <x:v>4013</x:v>
      </x:c>
      <x:c r="I70" s="32" t="n">
        <x:v>172</x:v>
      </x:c>
      <x:c r="J70" s="32" t="n">
        <x:v>143</x:v>
      </x:c>
      <x:c r="K70" s="36" t="n">
        <x:v>0.0411</x:v>
      </x:c>
      <x:c r="L70" s="36" t="n">
        <x:v>0.0342</x:v>
      </x:c>
    </x:row>
    <x:row r="71">
      <x:c r="A71" s="34" t="n">
        <x:v>45369</x:v>
      </x:c>
      <x:c r="B71" s="28" t="str">
        <x:v>Grupo Industrial S.A.</x:v>
      </x:c>
      <x:c r="C71" s="28" t="str">
        <x:v>Planta Campinas</x:v>
      </x:c>
      <x:c r="D71" s="28" t="str">
        <x:v>Linha 4 - Embalagem</x:v>
      </x:c>
      <x:c r="E71" s="28" t="str">
        <x:v>SKU-105</x:v>
      </x:c>
      <x:c r="F71" s="28" t="str">
        <x:v>Embalagens</x:v>
      </x:c>
      <x:c r="G71" s="32" t="n">
        <x:v>3410</x:v>
      </x:c>
      <x:c r="H71" s="32" t="n">
        <x:v>3220</x:v>
      </x:c>
      <x:c r="I71" s="32" t="n">
        <x:v>190</x:v>
      </x:c>
      <x:c r="J71" s="32" t="n">
        <x:v>100</x:v>
      </x:c>
      <x:c r="K71" s="36" t="n">
        <x:v>0.0557</x:v>
      </x:c>
      <x:c r="L71" s="36" t="n">
        <x:v>0.0293</x:v>
      </x:c>
    </x:row>
    <x:row r="72">
      <x:c r="A72" s="34" t="n">
        <x:v>45369</x:v>
      </x:c>
      <x:c r="B72" s="28" t="str">
        <x:v>Grupo Industrial S.A.</x:v>
      </x:c>
      <x:c r="C72" s="28" t="str">
        <x:v>Planta Curitiba</x:v>
      </x:c>
      <x:c r="D72" s="28" t="str">
        <x:v>Linha 5 - Usinagem</x:v>
      </x:c>
      <x:c r="E72" s="28" t="str">
        <x:v>SKU-223</x:v>
      </x:c>
      <x:c r="F72" s="28" t="str">
        <x:v>Bebidas</x:v>
      </x:c>
      <x:c r="G72" s="32" t="n">
        <x:v>4166</x:v>
      </x:c>
      <x:c r="H72" s="32" t="n">
        <x:v>4019</x:v>
      </x:c>
      <x:c r="I72" s="32" t="n">
        <x:v>147</x:v>
      </x:c>
      <x:c r="J72" s="32" t="n">
        <x:v>135</x:v>
      </x:c>
      <x:c r="K72" s="36" t="n">
        <x:v>0.0353</x:v>
      </x:c>
      <x:c r="L72" s="36" t="n">
        <x:v>0.0324</x:v>
      </x:c>
    </x:row>
    <x:row r="73">
      <x:c r="A73" s="34" t="n">
        <x:v>45369</x:v>
      </x:c>
      <x:c r="B73" s="28" t="str">
        <x:v>Grupo Industrial S.A.</x:v>
      </x:c>
      <x:c r="C73" s="28" t="str">
        <x:v>Planta Curitiba</x:v>
      </x:c>
      <x:c r="D73" s="28" t="str">
        <x:v>Linha 6 - Finalização</x:v>
      </x:c>
      <x:c r="E73" s="28" t="str">
        <x:v>SKU-432</x:v>
      </x:c>
      <x:c r="F73" s="28" t="str">
        <x:v>Alimentos</x:v>
      </x:c>
      <x:c r="G73" s="32" t="n">
        <x:v>3920</x:v>
      </x:c>
      <x:c r="H73" s="32" t="n">
        <x:v>3805</x:v>
      </x:c>
      <x:c r="I73" s="32" t="n">
        <x:v>115</x:v>
      </x:c>
      <x:c r="J73" s="32" t="n">
        <x:v>127</x:v>
      </x:c>
      <x:c r="K73" s="36" t="n">
        <x:v>0.0293</x:v>
      </x:c>
      <x:c r="L73" s="36" t="n">
        <x:v>0.0324</x:v>
      </x:c>
    </x:row>
    <x:row r="74">
      <x:c r="A74" s="34" t="n">
        <x:v>45376</x:v>
      </x:c>
      <x:c r="B74" s="28" t="str">
        <x:v>Grupo Industrial S.A.</x:v>
      </x:c>
      <x:c r="C74" s="28" t="str">
        <x:v>Planta São Paulo</x:v>
      </x:c>
      <x:c r="D74" s="28" t="str">
        <x:v>Linha 1 - Corte</x:v>
      </x:c>
      <x:c r="E74" s="28" t="str">
        <x:v>SKU-001</x:v>
      </x:c>
      <x:c r="F74" s="28" t="str">
        <x:v>Alimentos</x:v>
      </x:c>
      <x:c r="G74" s="32" t="n">
        <x:v>5993</x:v>
      </x:c>
      <x:c r="H74" s="32" t="n">
        <x:v>5818</x:v>
      </x:c>
      <x:c r="I74" s="32" t="n">
        <x:v>175</x:v>
      </x:c>
      <x:c r="J74" s="32" t="n">
        <x:v>158</x:v>
      </x:c>
      <x:c r="K74" s="36" t="n">
        <x:v>0.0292</x:v>
      </x:c>
      <x:c r="L74" s="36" t="n">
        <x:v>0.0264</x:v>
      </x:c>
    </x:row>
    <x:row r="75">
      <x:c r="A75" s="34" t="n">
        <x:v>45376</x:v>
      </x:c>
      <x:c r="B75" s="28" t="str">
        <x:v>Grupo Industrial S.A.</x:v>
      </x:c>
      <x:c r="C75" s="28" t="str">
        <x:v>Planta São Paulo</x:v>
      </x:c>
      <x:c r="D75" s="28" t="str">
        <x:v>Linha 2 - Montagem</x:v>
      </x:c>
      <x:c r="E75" s="28" t="str">
        <x:v>SKU-002</x:v>
      </x:c>
      <x:c r="F75" s="28" t="str">
        <x:v>Alimentos</x:v>
      </x:c>
      <x:c r="G75" s="32" t="n">
        <x:v>5407</x:v>
      </x:c>
      <x:c r="H75" s="32" t="n">
        <x:v>5279</x:v>
      </x:c>
      <x:c r="I75" s="32" t="n">
        <x:v>128</x:v>
      </x:c>
      <x:c r="J75" s="32" t="n">
        <x:v>169</x:v>
      </x:c>
      <x:c r="K75" s="36" t="n">
        <x:v>0.0237</x:v>
      </x:c>
      <x:c r="L75" s="36" t="n">
        <x:v>0.0313</x:v>
      </x:c>
    </x:row>
    <x:row r="76">
      <x:c r="A76" s="34" t="n">
        <x:v>45376</x:v>
      </x:c>
      <x:c r="B76" s="28" t="str">
        <x:v>Grupo Industrial S.A.</x:v>
      </x:c>
      <x:c r="C76" s="28" t="str">
        <x:v>Planta Campinas</x:v>
      </x:c>
      <x:c r="D76" s="28" t="str">
        <x:v>Linha 3 - Extrusão</x:v>
      </x:c>
      <x:c r="E76" s="28" t="str">
        <x:v>SKU-078</x:v>
      </x:c>
      <x:c r="F76" s="28" t="str">
        <x:v>Higiene e Limpeza</x:v>
      </x:c>
      <x:c r="G76" s="32" t="n">
        <x:v>4128</x:v>
      </x:c>
      <x:c r="H76" s="32" t="n">
        <x:v>3950</x:v>
      </x:c>
      <x:c r="I76" s="32" t="n">
        <x:v>178</x:v>
      </x:c>
      <x:c r="J76" s="32" t="n">
        <x:v>143</x:v>
      </x:c>
      <x:c r="K76" s="36" t="n">
        <x:v>0.0431</x:v>
      </x:c>
      <x:c r="L76" s="36" t="n">
        <x:v>0.0346</x:v>
      </x:c>
    </x:row>
    <x:row r="77">
      <x:c r="A77" s="34" t="n">
        <x:v>45376</x:v>
      </x:c>
      <x:c r="B77" s="28" t="str">
        <x:v>Grupo Industrial S.A.</x:v>
      </x:c>
      <x:c r="C77" s="28" t="str">
        <x:v>Planta Campinas</x:v>
      </x:c>
      <x:c r="D77" s="28" t="str">
        <x:v>Linha 4 - Embalagem</x:v>
      </x:c>
      <x:c r="E77" s="28" t="str">
        <x:v>SKU-105</x:v>
      </x:c>
      <x:c r="F77" s="28" t="str">
        <x:v>Embalagens</x:v>
      </x:c>
      <x:c r="G77" s="32" t="n">
        <x:v>3717</x:v>
      </x:c>
      <x:c r="H77" s="32" t="n">
        <x:v>3518</x:v>
      </x:c>
      <x:c r="I77" s="32" t="n">
        <x:v>199</x:v>
      </x:c>
      <x:c r="J77" s="32" t="n">
        <x:v>143</x:v>
      </x:c>
      <x:c r="K77" s="36" t="n">
        <x:v>0.0535</x:v>
      </x:c>
      <x:c r="L77" s="36" t="n">
        <x:v>0.0385</x:v>
      </x:c>
    </x:row>
    <x:row r="78">
      <x:c r="A78" s="34" t="n">
        <x:v>45376</x:v>
      </x:c>
      <x:c r="B78" s="28" t="str">
        <x:v>Grupo Industrial S.A.</x:v>
      </x:c>
      <x:c r="C78" s="28" t="str">
        <x:v>Planta Curitiba</x:v>
      </x:c>
      <x:c r="D78" s="28" t="str">
        <x:v>Linha 5 - Usinagem</x:v>
      </x:c>
      <x:c r="E78" s="28" t="str">
        <x:v>SKU-223</x:v>
      </x:c>
      <x:c r="F78" s="28" t="str">
        <x:v>Bebidas</x:v>
      </x:c>
      <x:c r="G78" s="32" t="n">
        <x:v>4277</x:v>
      </x:c>
      <x:c r="H78" s="32" t="n">
        <x:v>4113</x:v>
      </x:c>
      <x:c r="I78" s="32" t="n">
        <x:v>164</x:v>
      </x:c>
      <x:c r="J78" s="32" t="n">
        <x:v>134</x:v>
      </x:c>
      <x:c r="K78" s="36" t="n">
        <x:v>0.0383</x:v>
      </x:c>
      <x:c r="L78" s="36" t="n">
        <x:v>0.0313</x:v>
      </x:c>
    </x:row>
    <x:row r="79">
      <x:c r="A79" s="34" t="n">
        <x:v>45376</x:v>
      </x:c>
      <x:c r="B79" s="28" t="str">
        <x:v>Grupo Industrial S.A.</x:v>
      </x:c>
      <x:c r="C79" s="28" t="str">
        <x:v>Planta Curitiba</x:v>
      </x:c>
      <x:c r="D79" s="28" t="str">
        <x:v>Linha 6 - Finalização</x:v>
      </x:c>
      <x:c r="E79" s="28" t="str">
        <x:v>SKU-432</x:v>
      </x:c>
      <x:c r="F79" s="28" t="str">
        <x:v>Alimentos</x:v>
      </x:c>
      <x:c r="G79" s="32" t="n">
        <x:v>3683</x:v>
      </x:c>
      <x:c r="H79" s="32" t="n">
        <x:v>3582</x:v>
      </x:c>
      <x:c r="I79" s="32" t="n">
        <x:v>101</x:v>
      </x:c>
      <x:c r="J79" s="32" t="n">
        <x:v>80</x:v>
      </x:c>
      <x:c r="K79" s="36" t="n">
        <x:v>0.0274</x:v>
      </x:c>
      <x:c r="L79" s="36" t="n">
        <x:v>0.0217</x:v>
      </x:c>
    </x:row>
    <x:row r="80">
      <x:c r="A80" s="34" t="n">
        <x:v>45383</x:v>
      </x:c>
      <x:c r="B80" s="28" t="str">
        <x:v>Grupo Industrial S.A.</x:v>
      </x:c>
      <x:c r="C80" s="28" t="str">
        <x:v>Planta São Paulo</x:v>
      </x:c>
      <x:c r="D80" s="28" t="str">
        <x:v>Linha 1 - Corte</x:v>
      </x:c>
      <x:c r="E80" s="28" t="str">
        <x:v>SKU-001</x:v>
      </x:c>
      <x:c r="F80" s="28" t="str">
        <x:v>Alimentos</x:v>
      </x:c>
      <x:c r="G80" s="32" t="n">
        <x:v>5595</x:v>
      </x:c>
      <x:c r="H80" s="32" t="n">
        <x:v>5466</x:v>
      </x:c>
      <x:c r="I80" s="32" t="n">
        <x:v>129</x:v>
      </x:c>
      <x:c r="J80" s="32" t="n">
        <x:v>176</x:v>
      </x:c>
      <x:c r="K80" s="36" t="n">
        <x:v>0.0231</x:v>
      </x:c>
      <x:c r="L80" s="36" t="n">
        <x:v>0.0315</x:v>
      </x:c>
    </x:row>
    <x:row r="81">
      <x:c r="A81" s="34" t="n">
        <x:v>45383</x:v>
      </x:c>
      <x:c r="B81" s="28" t="str">
        <x:v>Grupo Industrial S.A.</x:v>
      </x:c>
      <x:c r="C81" s="28" t="str">
        <x:v>Planta São Paulo</x:v>
      </x:c>
      <x:c r="D81" s="28" t="str">
        <x:v>Linha 2 - Montagem</x:v>
      </x:c>
      <x:c r="E81" s="28" t="str">
        <x:v>SKU-002</x:v>
      </x:c>
      <x:c r="F81" s="28" t="str">
        <x:v>Alimentos</x:v>
      </x:c>
      <x:c r="G81" s="32" t="n">
        <x:v>5299</x:v>
      </x:c>
      <x:c r="H81" s="32" t="n">
        <x:v>5120</x:v>
      </x:c>
      <x:c r="I81" s="32" t="n">
        <x:v>179</x:v>
      </x:c>
      <x:c r="J81" s="32" t="n">
        <x:v>156</x:v>
      </x:c>
      <x:c r="K81" s="36" t="n">
        <x:v>0.0338</x:v>
      </x:c>
      <x:c r="L81" s="36" t="n">
        <x:v>0.0294</x:v>
      </x:c>
    </x:row>
    <x:row r="82">
      <x:c r="A82" s="34" t="n">
        <x:v>45383</x:v>
      </x:c>
      <x:c r="B82" s="28" t="str">
        <x:v>Grupo Industrial S.A.</x:v>
      </x:c>
      <x:c r="C82" s="28" t="str">
        <x:v>Planta Campinas</x:v>
      </x:c>
      <x:c r="D82" s="28" t="str">
        <x:v>Linha 3 - Extrusão</x:v>
      </x:c>
      <x:c r="E82" s="28" t="str">
        <x:v>SKU-078</x:v>
      </x:c>
      <x:c r="F82" s="28" t="str">
        <x:v>Higiene e Limpeza</x:v>
      </x:c>
      <x:c r="G82" s="32" t="n">
        <x:v>3857</x:v>
      </x:c>
      <x:c r="H82" s="32" t="n">
        <x:v>3674</x:v>
      </x:c>
      <x:c r="I82" s="32" t="n">
        <x:v>183</x:v>
      </x:c>
      <x:c r="J82" s="32" t="n">
        <x:v>136</x:v>
      </x:c>
      <x:c r="K82" s="36" t="n">
        <x:v>0.0474</x:v>
      </x:c>
      <x:c r="L82" s="36" t="n">
        <x:v>0.0353</x:v>
      </x:c>
    </x:row>
    <x:row r="83">
      <x:c r="A83" s="34" t="n">
        <x:v>45383</x:v>
      </x:c>
      <x:c r="B83" s="28" t="str">
        <x:v>Grupo Industrial S.A.</x:v>
      </x:c>
      <x:c r="C83" s="28" t="str">
        <x:v>Planta Campinas</x:v>
      </x:c>
      <x:c r="D83" s="28" t="str">
        <x:v>Linha 4 - Embalagem</x:v>
      </x:c>
      <x:c r="E83" s="28" t="str">
        <x:v>SKU-105</x:v>
      </x:c>
      <x:c r="F83" s="28" t="str">
        <x:v>Embalagens</x:v>
      </x:c>
      <x:c r="G83" s="32" t="n">
        <x:v>3520</x:v>
      </x:c>
      <x:c r="H83" s="32" t="n">
        <x:v>3365</x:v>
      </x:c>
      <x:c r="I83" s="32" t="n">
        <x:v>155</x:v>
      </x:c>
      <x:c r="J83" s="32" t="n">
        <x:v>128</x:v>
      </x:c>
      <x:c r="K83" s="36" t="n">
        <x:v>0.044</x:v>
      </x:c>
      <x:c r="L83" s="36" t="n">
        <x:v>0.0364</x:v>
      </x:c>
    </x:row>
    <x:row r="84">
      <x:c r="A84" s="34" t="n">
        <x:v>45383</x:v>
      </x:c>
      <x:c r="B84" s="28" t="str">
        <x:v>Grupo Industrial S.A.</x:v>
      </x:c>
      <x:c r="C84" s="28" t="str">
        <x:v>Planta Curitiba</x:v>
      </x:c>
      <x:c r="D84" s="28" t="str">
        <x:v>Linha 5 - Usinagem</x:v>
      </x:c>
      <x:c r="E84" s="28" t="str">
        <x:v>SKU-223</x:v>
      </x:c>
      <x:c r="F84" s="28" t="str">
        <x:v>Bebidas</x:v>
      </x:c>
      <x:c r="G84" s="32" t="n">
        <x:v>3985</x:v>
      </x:c>
      <x:c r="H84" s="32" t="n">
        <x:v>3873</x:v>
      </x:c>
      <x:c r="I84" s="32" t="n">
        <x:v>112</x:v>
      </x:c>
      <x:c r="J84" s="32" t="n">
        <x:v>115</x:v>
      </x:c>
      <x:c r="K84" s="36" t="n">
        <x:v>0.0281</x:v>
      </x:c>
      <x:c r="L84" s="36" t="n">
        <x:v>0.0289</x:v>
      </x:c>
    </x:row>
    <x:row r="85">
      <x:c r="A85" s="34" t="n">
        <x:v>45383</x:v>
      </x:c>
      <x:c r="B85" s="28" t="str">
        <x:v>Grupo Industrial S.A.</x:v>
      </x:c>
      <x:c r="C85" s="28" t="str">
        <x:v>Planta Curitiba</x:v>
      </x:c>
      <x:c r="D85" s="28" t="str">
        <x:v>Linha 6 - Finalização</x:v>
      </x:c>
      <x:c r="E85" s="28" t="str">
        <x:v>SKU-432</x:v>
      </x:c>
      <x:c r="F85" s="28" t="str">
        <x:v>Alimentos</x:v>
      </x:c>
      <x:c r="G85" s="32" t="n">
        <x:v>3887</x:v>
      </x:c>
      <x:c r="H85" s="32" t="n">
        <x:v>3719</x:v>
      </x:c>
      <x:c r="I85" s="32" t="n">
        <x:v>168</x:v>
      </x:c>
      <x:c r="J85" s="32" t="n">
        <x:v>98</x:v>
      </x:c>
      <x:c r="K85" s="36" t="n">
        <x:v>0.0432</x:v>
      </x:c>
      <x:c r="L85" s="36" t="n">
        <x:v>0.0252</x:v>
      </x:c>
    </x:row>
    <x:row r="86">
      <x:c r="A86" s="34" t="n">
        <x:v>45390</x:v>
      </x:c>
      <x:c r="B86" s="28" t="str">
        <x:v>Grupo Industrial S.A.</x:v>
      </x:c>
      <x:c r="C86" s="28" t="str">
        <x:v>Planta São Paulo</x:v>
      </x:c>
      <x:c r="D86" s="28" t="str">
        <x:v>Linha 1 - Corte</x:v>
      </x:c>
      <x:c r="E86" s="28" t="str">
        <x:v>SKU-001</x:v>
      </x:c>
      <x:c r="F86" s="28" t="str">
        <x:v>Alimentos</x:v>
      </x:c>
      <x:c r="G86" s="32" t="n">
        <x:v>5818</x:v>
      </x:c>
      <x:c r="H86" s="32" t="n">
        <x:v>5703</x:v>
      </x:c>
      <x:c r="I86" s="32" t="n">
        <x:v>115</x:v>
      </x:c>
      <x:c r="J86" s="32" t="n">
        <x:v>177</x:v>
      </x:c>
      <x:c r="K86" s="36" t="n">
        <x:v>0.0198</x:v>
      </x:c>
      <x:c r="L86" s="36" t="n">
        <x:v>0.0304</x:v>
      </x:c>
    </x:row>
    <x:row r="87">
      <x:c r="A87" s="34" t="n">
        <x:v>45390</x:v>
      </x:c>
      <x:c r="B87" s="28" t="str">
        <x:v>Grupo Industrial S.A.</x:v>
      </x:c>
      <x:c r="C87" s="28" t="str">
        <x:v>Planta São Paulo</x:v>
      </x:c>
      <x:c r="D87" s="28" t="str">
        <x:v>Linha 2 - Montagem</x:v>
      </x:c>
      <x:c r="E87" s="28" t="str">
        <x:v>SKU-002</x:v>
      </x:c>
      <x:c r="F87" s="28" t="str">
        <x:v>Alimentos</x:v>
      </x:c>
      <x:c r="G87" s="32" t="n">
        <x:v>4789</x:v>
      </x:c>
      <x:c r="H87" s="32" t="n">
        <x:v>4665</x:v>
      </x:c>
      <x:c r="I87" s="32" t="n">
        <x:v>124</x:v>
      </x:c>
      <x:c r="J87" s="32" t="n">
        <x:v>141</x:v>
      </x:c>
      <x:c r="K87" s="36" t="n">
        <x:v>0.0259</x:v>
      </x:c>
      <x:c r="L87" s="36" t="n">
        <x:v>0.0294</x:v>
      </x:c>
    </x:row>
    <x:row r="88">
      <x:c r="A88" s="34" t="n">
        <x:v>45390</x:v>
      </x:c>
      <x:c r="B88" s="28" t="str">
        <x:v>Grupo Industrial S.A.</x:v>
      </x:c>
      <x:c r="C88" s="28" t="str">
        <x:v>Planta Campinas</x:v>
      </x:c>
      <x:c r="D88" s="28" t="str">
        <x:v>Linha 3 - Extrusão</x:v>
      </x:c>
      <x:c r="E88" s="28" t="str">
        <x:v>SKU-078</x:v>
      </x:c>
      <x:c r="F88" s="28" t="str">
        <x:v>Higiene e Limpeza</x:v>
      </x:c>
      <x:c r="G88" s="32" t="n">
        <x:v>4031</x:v>
      </x:c>
      <x:c r="H88" s="32" t="n">
        <x:v>3828</x:v>
      </x:c>
      <x:c r="I88" s="32" t="n">
        <x:v>203</x:v>
      </x:c>
      <x:c r="J88" s="32" t="n">
        <x:v>114</x:v>
      </x:c>
      <x:c r="K88" s="36" t="n">
        <x:v>0.0504</x:v>
      </x:c>
      <x:c r="L88" s="36" t="n">
        <x:v>0.0283</x:v>
      </x:c>
    </x:row>
    <x:row r="89">
      <x:c r="A89" s="34" t="n">
        <x:v>45390</x:v>
      </x:c>
      <x:c r="B89" s="28" t="str">
        <x:v>Grupo Industrial S.A.</x:v>
      </x:c>
      <x:c r="C89" s="28" t="str">
        <x:v>Planta Campinas</x:v>
      </x:c>
      <x:c r="D89" s="28" t="str">
        <x:v>Linha 4 - Embalagem</x:v>
      </x:c>
      <x:c r="E89" s="28" t="str">
        <x:v>SKU-105</x:v>
      </x:c>
      <x:c r="F89" s="28" t="str">
        <x:v>Embalagens</x:v>
      </x:c>
      <x:c r="G89" s="32" t="n">
        <x:v>3762</x:v>
      </x:c>
      <x:c r="H89" s="32" t="n">
        <x:v>3592</x:v>
      </x:c>
      <x:c r="I89" s="32" t="n">
        <x:v>170</x:v>
      </x:c>
      <x:c r="J89" s="32" t="n">
        <x:v>117</x:v>
      </x:c>
      <x:c r="K89" s="36" t="n">
        <x:v>0.0452</x:v>
      </x:c>
      <x:c r="L89" s="36" t="n">
        <x:v>0.0311</x:v>
      </x:c>
    </x:row>
    <x:row r="90">
      <x:c r="A90" s="34" t="n">
        <x:v>45390</x:v>
      </x:c>
      <x:c r="B90" s="28" t="str">
        <x:v>Grupo Industrial S.A.</x:v>
      </x:c>
      <x:c r="C90" s="28" t="str">
        <x:v>Planta Curitiba</x:v>
      </x:c>
      <x:c r="D90" s="28" t="str">
        <x:v>Linha 5 - Usinagem</x:v>
      </x:c>
      <x:c r="E90" s="28" t="str">
        <x:v>SKU-223</x:v>
      </x:c>
      <x:c r="F90" s="28" t="str">
        <x:v>Bebidas</x:v>
      </x:c>
      <x:c r="G90" s="32" t="n">
        <x:v>4322</x:v>
      </x:c>
      <x:c r="H90" s="32" t="n">
        <x:v>4153</x:v>
      </x:c>
      <x:c r="I90" s="32" t="n">
        <x:v>169</x:v>
      </x:c>
      <x:c r="J90" s="32" t="n">
        <x:v>93</x:v>
      </x:c>
      <x:c r="K90" s="36" t="n">
        <x:v>0.0391</x:v>
      </x:c>
      <x:c r="L90" s="36" t="n">
        <x:v>0.0215</x:v>
      </x:c>
    </x:row>
    <x:row r="91">
      <x:c r="A91" s="34" t="n">
        <x:v>45390</x:v>
      </x:c>
      <x:c r="B91" s="28" t="str">
        <x:v>Grupo Industrial S.A.</x:v>
      </x:c>
      <x:c r="C91" s="28" t="str">
        <x:v>Planta Curitiba</x:v>
      </x:c>
      <x:c r="D91" s="28" t="str">
        <x:v>Linha 6 - Finalização</x:v>
      </x:c>
      <x:c r="E91" s="28" t="str">
        <x:v>SKU-432</x:v>
      </x:c>
      <x:c r="F91" s="28" t="str">
        <x:v>Alimentos</x:v>
      </x:c>
      <x:c r="G91" s="32" t="n">
        <x:v>3858</x:v>
      </x:c>
      <x:c r="H91" s="32" t="n">
        <x:v>3715</x:v>
      </x:c>
      <x:c r="I91" s="32" t="n">
        <x:v>143</x:v>
      </x:c>
      <x:c r="J91" s="32" t="n">
        <x:v>116</x:v>
      </x:c>
      <x:c r="K91" s="36" t="n">
        <x:v>0.0371</x:v>
      </x:c>
      <x:c r="L91" s="36" t="n">
        <x:v>0.0301</x:v>
      </x:c>
    </x:row>
    <x:row r="92">
      <x:c r="A92" s="34" t="n">
        <x:v>45397</x:v>
      </x:c>
      <x:c r="B92" s="28" t="str">
        <x:v>Grupo Industrial S.A.</x:v>
      </x:c>
      <x:c r="C92" s="28" t="str">
        <x:v>Planta São Paulo</x:v>
      </x:c>
      <x:c r="D92" s="28" t="str">
        <x:v>Linha 1 - Corte</x:v>
      </x:c>
      <x:c r="E92" s="28" t="str">
        <x:v>SKU-001</x:v>
      </x:c>
      <x:c r="F92" s="28" t="str">
        <x:v>Alimentos</x:v>
      </x:c>
      <x:c r="G92" s="32" t="n">
        <x:v>5676</x:v>
      </x:c>
      <x:c r="H92" s="32" t="n">
        <x:v>5504</x:v>
      </x:c>
      <x:c r="I92" s="32" t="n">
        <x:v>172</x:v>
      </x:c>
      <x:c r="J92" s="32" t="n">
        <x:v>179</x:v>
      </x:c>
      <x:c r="K92" s="36" t="n">
        <x:v>0.0303</x:v>
      </x:c>
      <x:c r="L92" s="36" t="n">
        <x:v>0.0315</x:v>
      </x:c>
    </x:row>
    <x:row r="93">
      <x:c r="A93" s="34" t="n">
        <x:v>45397</x:v>
      </x:c>
      <x:c r="B93" s="28" t="str">
        <x:v>Grupo Industrial S.A.</x:v>
      </x:c>
      <x:c r="C93" s="28" t="str">
        <x:v>Planta São Paulo</x:v>
      </x:c>
      <x:c r="D93" s="28" t="str">
        <x:v>Linha 2 - Montagem</x:v>
      </x:c>
      <x:c r="E93" s="28" t="str">
        <x:v>SKU-002</x:v>
      </x:c>
      <x:c r="F93" s="28" t="str">
        <x:v>Alimentos</x:v>
      </x:c>
      <x:c r="G93" s="32" t="n">
        <x:v>5233</x:v>
      </x:c>
      <x:c r="H93" s="32" t="n">
        <x:v>5067</x:v>
      </x:c>
      <x:c r="I93" s="32" t="n">
        <x:v>166</x:v>
      </x:c>
      <x:c r="J93" s="32" t="n">
        <x:v>121</x:v>
      </x:c>
      <x:c r="K93" s="36" t="n">
        <x:v>0.0317</x:v>
      </x:c>
      <x:c r="L93" s="36" t="n">
        <x:v>0.0231</x:v>
      </x:c>
    </x:row>
    <x:row r="94">
      <x:c r="A94" s="34" t="n">
        <x:v>45397</x:v>
      </x:c>
      <x:c r="B94" s="28" t="str">
        <x:v>Grupo Industrial S.A.</x:v>
      </x:c>
      <x:c r="C94" s="28" t="str">
        <x:v>Planta Campinas</x:v>
      </x:c>
      <x:c r="D94" s="28" t="str">
        <x:v>Linha 3 - Extrusão</x:v>
      </x:c>
      <x:c r="E94" s="28" t="str">
        <x:v>SKU-078</x:v>
      </x:c>
      <x:c r="F94" s="28" t="str">
        <x:v>Higiene e Limpeza</x:v>
      </x:c>
      <x:c r="G94" s="32" t="n">
        <x:v>3797</x:v>
      </x:c>
      <x:c r="H94" s="32" t="n">
        <x:v>3591</x:v>
      </x:c>
      <x:c r="I94" s="32" t="n">
        <x:v>206</x:v>
      </x:c>
      <x:c r="J94" s="32" t="n">
        <x:v>147</x:v>
      </x:c>
      <x:c r="K94" s="36" t="n">
        <x:v>0.0543</x:v>
      </x:c>
      <x:c r="L94" s="36" t="n">
        <x:v>0.0387</x:v>
      </x:c>
    </x:row>
    <x:row r="95">
      <x:c r="A95" s="34" t="n">
        <x:v>45397</x:v>
      </x:c>
      <x:c r="B95" s="28" t="str">
        <x:v>Grupo Industrial S.A.</x:v>
      </x:c>
      <x:c r="C95" s="28" t="str">
        <x:v>Planta Campinas</x:v>
      </x:c>
      <x:c r="D95" s="28" t="str">
        <x:v>Linha 4 - Embalagem</x:v>
      </x:c>
      <x:c r="E95" s="28" t="str">
        <x:v>SKU-105</x:v>
      </x:c>
      <x:c r="F95" s="28" t="str">
        <x:v>Embalagens</x:v>
      </x:c>
      <x:c r="G95" s="32" t="n">
        <x:v>3653</x:v>
      </x:c>
      <x:c r="H95" s="32" t="n">
        <x:v>3506</x:v>
      </x:c>
      <x:c r="I95" s="32" t="n">
        <x:v>147</x:v>
      </x:c>
      <x:c r="J95" s="32" t="n">
        <x:v>116</x:v>
      </x:c>
      <x:c r="K95" s="36" t="n">
        <x:v>0.0402</x:v>
      </x:c>
      <x:c r="L95" s="36" t="n">
        <x:v>0.0318</x:v>
      </x:c>
    </x:row>
    <x:row r="96">
      <x:c r="A96" s="34" t="n">
        <x:v>45397</x:v>
      </x:c>
      <x:c r="B96" s="28" t="str">
        <x:v>Grupo Industrial S.A.</x:v>
      </x:c>
      <x:c r="C96" s="28" t="str">
        <x:v>Planta Curitiba</x:v>
      </x:c>
      <x:c r="D96" s="28" t="str">
        <x:v>Linha 5 - Usinagem</x:v>
      </x:c>
      <x:c r="E96" s="28" t="str">
        <x:v>SKU-223</x:v>
      </x:c>
      <x:c r="F96" s="28" t="str">
        <x:v>Bebidas</x:v>
      </x:c>
      <x:c r="G96" s="32" t="n">
        <x:v>4075</x:v>
      </x:c>
      <x:c r="H96" s="32" t="n">
        <x:v>3937</x:v>
      </x:c>
      <x:c r="I96" s="32" t="n">
        <x:v>138</x:v>
      </x:c>
      <x:c r="J96" s="32" t="n">
        <x:v>94</x:v>
      </x:c>
      <x:c r="K96" s="36" t="n">
        <x:v>0.0339</x:v>
      </x:c>
      <x:c r="L96" s="36" t="n">
        <x:v>0.0231</x:v>
      </x:c>
    </x:row>
    <x:row r="97">
      <x:c r="A97" s="34" t="n">
        <x:v>45397</x:v>
      </x:c>
      <x:c r="B97" s="28" t="str">
        <x:v>Grupo Industrial S.A.</x:v>
      </x:c>
      <x:c r="C97" s="28" t="str">
        <x:v>Planta Curitiba</x:v>
      </x:c>
      <x:c r="D97" s="28" t="str">
        <x:v>Linha 6 - Finalização</x:v>
      </x:c>
      <x:c r="E97" s="28" t="str">
        <x:v>SKU-432</x:v>
      </x:c>
      <x:c r="F97" s="28" t="str">
        <x:v>Alimentos</x:v>
      </x:c>
      <x:c r="G97" s="32" t="n">
        <x:v>3789</x:v>
      </x:c>
      <x:c r="H97" s="32" t="n">
        <x:v>3666</x:v>
      </x:c>
      <x:c r="I97" s="32" t="n">
        <x:v>123</x:v>
      </x:c>
      <x:c r="J97" s="32" t="n">
        <x:v>99</x:v>
      </x:c>
      <x:c r="K97" s="36" t="n">
        <x:v>0.0325</x:v>
      </x:c>
      <x:c r="L97" s="36" t="n">
        <x:v>0.0261</x:v>
      </x:c>
    </x:row>
    <x:row r="98">
      <x:c r="A98" s="34" t="n">
        <x:v>45404</x:v>
      </x:c>
      <x:c r="B98" s="28" t="str">
        <x:v>Grupo Industrial S.A.</x:v>
      </x:c>
      <x:c r="C98" s="28" t="str">
        <x:v>Planta São Paulo</x:v>
      </x:c>
      <x:c r="D98" s="28" t="str">
        <x:v>Linha 1 - Corte</x:v>
      </x:c>
      <x:c r="E98" s="28" t="str">
        <x:v>SKU-001</x:v>
      </x:c>
      <x:c r="F98" s="28" t="str">
        <x:v>Alimentos</x:v>
      </x:c>
      <x:c r="G98" s="32" t="n">
        <x:v>6110</x:v>
      </x:c>
      <x:c r="H98" s="32" t="n">
        <x:v>5925</x:v>
      </x:c>
      <x:c r="I98" s="32" t="n">
        <x:v>185</x:v>
      </x:c>
      <x:c r="J98" s="32" t="n">
        <x:v>164</x:v>
      </x:c>
      <x:c r="K98" s="36" t="n">
        <x:v>0.0303</x:v>
      </x:c>
      <x:c r="L98" s="36" t="n">
        <x:v>0.0268</x:v>
      </x:c>
    </x:row>
    <x:row r="99">
      <x:c r="A99" s="34" t="n">
        <x:v>45404</x:v>
      </x:c>
      <x:c r="B99" s="28" t="str">
        <x:v>Grupo Industrial S.A.</x:v>
      </x:c>
      <x:c r="C99" s="28" t="str">
        <x:v>Planta São Paulo</x:v>
      </x:c>
      <x:c r="D99" s="28" t="str">
        <x:v>Linha 2 - Montagem</x:v>
      </x:c>
      <x:c r="E99" s="28" t="str">
        <x:v>SKU-002</x:v>
      </x:c>
      <x:c r="F99" s="28" t="str">
        <x:v>Alimentos</x:v>
      </x:c>
      <x:c r="G99" s="32" t="n">
        <x:v>4924</x:v>
      </x:c>
      <x:c r="H99" s="32" t="n">
        <x:v>4813</x:v>
      </x:c>
      <x:c r="I99" s="32" t="n">
        <x:v>111</x:v>
      </x:c>
      <x:c r="J99" s="32" t="n">
        <x:v>154</x:v>
      </x:c>
      <x:c r="K99" s="36" t="n">
        <x:v>0.0225</x:v>
      </x:c>
      <x:c r="L99" s="36" t="n">
        <x:v>0.0313</x:v>
      </x:c>
    </x:row>
    <x:row r="100">
      <x:c r="A100" s="34" t="n">
        <x:v>45404</x:v>
      </x:c>
      <x:c r="B100" s="28" t="str">
        <x:v>Grupo Industrial S.A.</x:v>
      </x:c>
      <x:c r="C100" s="28" t="str">
        <x:v>Planta Campinas</x:v>
      </x:c>
      <x:c r="D100" s="28" t="str">
        <x:v>Linha 3 - Extrusão</x:v>
      </x:c>
      <x:c r="E100" s="28" t="str">
        <x:v>SKU-078</x:v>
      </x:c>
      <x:c r="F100" s="28" t="str">
        <x:v>Higiene e Limpeza</x:v>
      </x:c>
      <x:c r="G100" s="32" t="n">
        <x:v>3877</x:v>
      </x:c>
      <x:c r="H100" s="32" t="n">
        <x:v>3660</x:v>
      </x:c>
      <x:c r="I100" s="32" t="n">
        <x:v>217</x:v>
      </x:c>
      <x:c r="J100" s="32" t="n">
        <x:v>142</x:v>
      </x:c>
      <x:c r="K100" s="36" t="n">
        <x:v>0.056</x:v>
      </x:c>
      <x:c r="L100" s="36" t="n">
        <x:v>0.0366</x:v>
      </x:c>
    </x:row>
    <x:row r="101">
      <x:c r="A101" s="34" t="n">
        <x:v>45404</x:v>
      </x:c>
      <x:c r="B101" s="28" t="str">
        <x:v>Grupo Industrial S.A.</x:v>
      </x:c>
      <x:c r="C101" s="28" t="str">
        <x:v>Planta Campinas</x:v>
      </x:c>
      <x:c r="D101" s="28" t="str">
        <x:v>Linha 4 - Embalagem</x:v>
      </x:c>
      <x:c r="E101" s="28" t="str">
        <x:v>SKU-105</x:v>
      </x:c>
      <x:c r="F101" s="28" t="str">
        <x:v>Embalagens</x:v>
      </x:c>
      <x:c r="G101" s="32" t="n">
        <x:v>3491</x:v>
      </x:c>
      <x:c r="H101" s="32" t="n">
        <x:v>3316</x:v>
      </x:c>
      <x:c r="I101" s="32" t="n">
        <x:v>175</x:v>
      </x:c>
      <x:c r="J101" s="32" t="n">
        <x:v>121</x:v>
      </x:c>
      <x:c r="K101" s="36" t="n">
        <x:v>0.0501</x:v>
      </x:c>
      <x:c r="L101" s="36" t="n">
        <x:v>0.0347</x:v>
      </x:c>
    </x:row>
    <x:row r="102">
      <x:c r="A102" s="34" t="n">
        <x:v>45404</x:v>
      </x:c>
      <x:c r="B102" s="28" t="str">
        <x:v>Grupo Industrial S.A.</x:v>
      </x:c>
      <x:c r="C102" s="28" t="str">
        <x:v>Planta Curitiba</x:v>
      </x:c>
      <x:c r="D102" s="28" t="str">
        <x:v>Linha 5 - Usinagem</x:v>
      </x:c>
      <x:c r="E102" s="28" t="str">
        <x:v>SKU-223</x:v>
      </x:c>
      <x:c r="F102" s="28" t="str">
        <x:v>Bebidas</x:v>
      </x:c>
      <x:c r="G102" s="32" t="n">
        <x:v>4222</x:v>
      </x:c>
      <x:c r="H102" s="32" t="n">
        <x:v>4076</x:v>
      </x:c>
      <x:c r="I102" s="32" t="n">
        <x:v>146</x:v>
      </x:c>
      <x:c r="J102" s="32" t="n">
        <x:v>104</x:v>
      </x:c>
      <x:c r="K102" s="36" t="n">
        <x:v>0.0346</x:v>
      </x:c>
      <x:c r="L102" s="36" t="n">
        <x:v>0.0246</x:v>
      </x:c>
    </x:row>
    <x:row r="103">
      <x:c r="A103" s="34" t="n">
        <x:v>45404</x:v>
      </x:c>
      <x:c r="B103" s="28" t="str">
        <x:v>Grupo Industrial S.A.</x:v>
      </x:c>
      <x:c r="C103" s="28" t="str">
        <x:v>Planta Curitiba</x:v>
      </x:c>
      <x:c r="D103" s="28" t="str">
        <x:v>Linha 6 - Finalização</x:v>
      </x:c>
      <x:c r="E103" s="28" t="str">
        <x:v>SKU-432</x:v>
      </x:c>
      <x:c r="F103" s="28" t="str">
        <x:v>Alimentos</x:v>
      </x:c>
      <x:c r="G103" s="32" t="n">
        <x:v>3609</x:v>
      </x:c>
      <x:c r="H103" s="32" t="n">
        <x:v>3453</x:v>
      </x:c>
      <x:c r="I103" s="32" t="n">
        <x:v>156</x:v>
      </x:c>
      <x:c r="J103" s="32" t="n">
        <x:v>107</x:v>
      </x:c>
      <x:c r="K103" s="36" t="n">
        <x:v>0.0432</x:v>
      </x:c>
      <x:c r="L103" s="36" t="n">
        <x:v>0.0296</x:v>
      </x:c>
    </x:row>
    <x:row r="104">
      <x:c r="A104" s="34" t="n">
        <x:v>45411</x:v>
      </x:c>
      <x:c r="B104" s="28" t="str">
        <x:v>Grupo Industrial S.A.</x:v>
      </x:c>
      <x:c r="C104" s="28" t="str">
        <x:v>Planta São Paulo</x:v>
      </x:c>
      <x:c r="D104" s="28" t="str">
        <x:v>Linha 1 - Corte</x:v>
      </x:c>
      <x:c r="E104" s="28" t="str">
        <x:v>SKU-001</x:v>
      </x:c>
      <x:c r="F104" s="28" t="str">
        <x:v>Alimentos</x:v>
      </x:c>
      <x:c r="G104" s="32" t="n">
        <x:v>5732</x:v>
      </x:c>
      <x:c r="H104" s="32" t="n">
        <x:v>5610</x:v>
      </x:c>
      <x:c r="I104" s="32" t="n">
        <x:v>122</x:v>
      </x:c>
      <x:c r="J104" s="32" t="n">
        <x:v>131</x:v>
      </x:c>
      <x:c r="K104" s="36" t="n">
        <x:v>0.0213</x:v>
      </x:c>
      <x:c r="L104" s="36" t="n">
        <x:v>0.0229</x:v>
      </x:c>
    </x:row>
    <x:row r="105">
      <x:c r="A105" s="34" t="n">
        <x:v>45411</x:v>
      </x:c>
      <x:c r="B105" s="28" t="str">
        <x:v>Grupo Industrial S.A.</x:v>
      </x:c>
      <x:c r="C105" s="28" t="str">
        <x:v>Planta São Paulo</x:v>
      </x:c>
      <x:c r="D105" s="28" t="str">
        <x:v>Linha 2 - Montagem</x:v>
      </x:c>
      <x:c r="E105" s="28" t="str">
        <x:v>SKU-002</x:v>
      </x:c>
      <x:c r="F105" s="28" t="str">
        <x:v>Alimentos</x:v>
      </x:c>
      <x:c r="G105" s="32" t="n">
        <x:v>5199</x:v>
      </x:c>
      <x:c r="H105" s="32" t="n">
        <x:v>5066</x:v>
      </x:c>
      <x:c r="I105" s="32" t="n">
        <x:v>133</x:v>
      </x:c>
      <x:c r="J105" s="32" t="n">
        <x:v>138</x:v>
      </x:c>
      <x:c r="K105" s="36" t="n">
        <x:v>0.0256</x:v>
      </x:c>
      <x:c r="L105" s="36" t="n">
        <x:v>0.0265</x:v>
      </x:c>
    </x:row>
    <x:row r="106">
      <x:c r="A106" s="34" t="n">
        <x:v>45411</x:v>
      </x:c>
      <x:c r="B106" s="28" t="str">
        <x:v>Grupo Industrial S.A.</x:v>
      </x:c>
      <x:c r="C106" s="28" t="str">
        <x:v>Planta Campinas</x:v>
      </x:c>
      <x:c r="D106" s="28" t="str">
        <x:v>Linha 3 - Extrusão</x:v>
      </x:c>
      <x:c r="E106" s="28" t="str">
        <x:v>SKU-078</x:v>
      </x:c>
      <x:c r="F106" s="28" t="str">
        <x:v>Higiene e Limpeza</x:v>
      </x:c>
      <x:c r="G106" s="32" t="n">
        <x:v>4088</x:v>
      </x:c>
      <x:c r="H106" s="32" t="n">
        <x:v>3926</x:v>
      </x:c>
      <x:c r="I106" s="32" t="n">
        <x:v>162</x:v>
      </x:c>
      <x:c r="J106" s="32" t="n">
        <x:v>120</x:v>
      </x:c>
      <x:c r="K106" s="36" t="n">
        <x:v>0.0396</x:v>
      </x:c>
      <x:c r="L106" s="36" t="n">
        <x:v>0.0294</x:v>
      </x:c>
    </x:row>
    <x:row r="107">
      <x:c r="A107" s="34" t="n">
        <x:v>45411</x:v>
      </x:c>
      <x:c r="B107" s="28" t="str">
        <x:v>Grupo Industrial S.A.</x:v>
      </x:c>
      <x:c r="C107" s="28" t="str">
        <x:v>Planta Campinas</x:v>
      </x:c>
      <x:c r="D107" s="28" t="str">
        <x:v>Linha 4 - Embalagem</x:v>
      </x:c>
      <x:c r="E107" s="28" t="str">
        <x:v>SKU-105</x:v>
      </x:c>
      <x:c r="F107" s="28" t="str">
        <x:v>Embalagens</x:v>
      </x:c>
      <x:c r="G107" s="32" t="n">
        <x:v>3310</x:v>
      </x:c>
      <x:c r="H107" s="32" t="n">
        <x:v>3134</x:v>
      </x:c>
      <x:c r="I107" s="32" t="n">
        <x:v>176</x:v>
      </x:c>
      <x:c r="J107" s="32" t="n">
        <x:v>110</x:v>
      </x:c>
      <x:c r="K107" s="36" t="n">
        <x:v>0.0532</x:v>
      </x:c>
      <x:c r="L107" s="36" t="n">
        <x:v>0.0332</x:v>
      </x:c>
    </x:row>
    <x:row r="108">
      <x:c r="A108" s="34" t="n">
        <x:v>45411</x:v>
      </x:c>
      <x:c r="B108" s="28" t="str">
        <x:v>Grupo Industrial S.A.</x:v>
      </x:c>
      <x:c r="C108" s="28" t="str">
        <x:v>Planta Curitiba</x:v>
      </x:c>
      <x:c r="D108" s="28" t="str">
        <x:v>Linha 5 - Usinagem</x:v>
      </x:c>
      <x:c r="E108" s="28" t="str">
        <x:v>SKU-223</x:v>
      </x:c>
      <x:c r="F108" s="28" t="str">
        <x:v>Bebidas</x:v>
      </x:c>
      <x:c r="G108" s="32" t="n">
        <x:v>4153</x:v>
      </x:c>
      <x:c r="H108" s="32" t="n">
        <x:v>4051</x:v>
      </x:c>
      <x:c r="I108" s="32" t="n">
        <x:v>102</x:v>
      </x:c>
      <x:c r="J108" s="32" t="n">
        <x:v>121</x:v>
      </x:c>
      <x:c r="K108" s="36" t="n">
        <x:v>0.0246</x:v>
      </x:c>
      <x:c r="L108" s="36" t="n">
        <x:v>0.0291</x:v>
      </x:c>
    </x:row>
    <x:row r="109">
      <x:c r="A109" s="34" t="n">
        <x:v>45411</x:v>
      </x:c>
      <x:c r="B109" s="28" t="str">
        <x:v>Grupo Industrial S.A.</x:v>
      </x:c>
      <x:c r="C109" s="28" t="str">
        <x:v>Planta Curitiba</x:v>
      </x:c>
      <x:c r="D109" s="28" t="str">
        <x:v>Linha 6 - Finalização</x:v>
      </x:c>
      <x:c r="E109" s="28" t="str">
        <x:v>SKU-432</x:v>
      </x:c>
      <x:c r="F109" s="28" t="str">
        <x:v>Alimentos</x:v>
      </x:c>
      <x:c r="G109" s="32" t="n">
        <x:v>3652</x:v>
      </x:c>
      <x:c r="H109" s="32" t="n">
        <x:v>3542</x:v>
      </x:c>
      <x:c r="I109" s="32" t="n">
        <x:v>110</x:v>
      </x:c>
      <x:c r="J109" s="32" t="n">
        <x:v>92</x:v>
      </x:c>
      <x:c r="K109" s="36" t="n">
        <x:v>0.0301</x:v>
      </x:c>
      <x:c r="L109" s="36" t="n">
        <x:v>0.0252</x:v>
      </x:c>
    </x:row>
    <x:row r="110">
      <x:c r="A110" s="34" t="n">
        <x:v>45418</x:v>
      </x:c>
      <x:c r="B110" s="28" t="str">
        <x:v>Grupo Industrial S.A.</x:v>
      </x:c>
      <x:c r="C110" s="28" t="str">
        <x:v>Planta São Paulo</x:v>
      </x:c>
      <x:c r="D110" s="28" t="str">
        <x:v>Linha 1 - Corte</x:v>
      </x:c>
      <x:c r="E110" s="28" t="str">
        <x:v>SKU-001</x:v>
      </x:c>
      <x:c r="F110" s="28" t="str">
        <x:v>Alimentos</x:v>
      </x:c>
      <x:c r="G110" s="32" t="n">
        <x:v>6055</x:v>
      </x:c>
      <x:c r="H110" s="32" t="n">
        <x:v>5866</x:v>
      </x:c>
      <x:c r="I110" s="32" t="n">
        <x:v>189</x:v>
      </x:c>
      <x:c r="J110" s="32" t="n">
        <x:v>190</x:v>
      </x:c>
      <x:c r="K110" s="36" t="n">
        <x:v>0.0312</x:v>
      </x:c>
      <x:c r="L110" s="36" t="n">
        <x:v>0.0314</x:v>
      </x:c>
    </x:row>
    <x:row r="111">
      <x:c r="A111" s="34" t="n">
        <x:v>45418</x:v>
      </x:c>
      <x:c r="B111" s="28" t="str">
        <x:v>Grupo Industrial S.A.</x:v>
      </x:c>
      <x:c r="C111" s="28" t="str">
        <x:v>Planta São Paulo</x:v>
      </x:c>
      <x:c r="D111" s="28" t="str">
        <x:v>Linha 2 - Montagem</x:v>
      </x:c>
      <x:c r="E111" s="28" t="str">
        <x:v>SKU-002</x:v>
      </x:c>
      <x:c r="F111" s="28" t="str">
        <x:v>Alimentos</x:v>
      </x:c>
      <x:c r="G111" s="32" t="n">
        <x:v>5445</x:v>
      </x:c>
      <x:c r="H111" s="32" t="n">
        <x:v>5267</x:v>
      </x:c>
      <x:c r="I111" s="32" t="n">
        <x:v>178</x:v>
      </x:c>
      <x:c r="J111" s="32" t="n">
        <x:v>133</x:v>
      </x:c>
      <x:c r="K111" s="36" t="n">
        <x:v>0.0327</x:v>
      </x:c>
      <x:c r="L111" s="36" t="n">
        <x:v>0.0244</x:v>
      </x:c>
    </x:row>
    <x:row r="112">
      <x:c r="A112" s="34" t="n">
        <x:v>45418</x:v>
      </x:c>
      <x:c r="B112" s="28" t="str">
        <x:v>Grupo Industrial S.A.</x:v>
      </x:c>
      <x:c r="C112" s="28" t="str">
        <x:v>Planta Campinas</x:v>
      </x:c>
      <x:c r="D112" s="28" t="str">
        <x:v>Linha 3 - Extrusão</x:v>
      </x:c>
      <x:c r="E112" s="28" t="str">
        <x:v>SKU-078</x:v>
      </x:c>
      <x:c r="F112" s="28" t="str">
        <x:v>Higiene e Limpeza</x:v>
      </x:c>
      <x:c r="G112" s="32" t="n">
        <x:v>4220</x:v>
      </x:c>
      <x:c r="H112" s="32" t="n">
        <x:v>4011</x:v>
      </x:c>
      <x:c r="I112" s="32" t="n">
        <x:v>209</x:v>
      </x:c>
      <x:c r="J112" s="32" t="n">
        <x:v>141</x:v>
      </x:c>
      <x:c r="K112" s="36" t="n">
        <x:v>0.0495</x:v>
      </x:c>
      <x:c r="L112" s="36" t="n">
        <x:v>0.0334</x:v>
      </x:c>
    </x:row>
    <x:row r="113">
      <x:c r="A113" s="34" t="n">
        <x:v>45418</x:v>
      </x:c>
      <x:c r="B113" s="28" t="str">
        <x:v>Grupo Industrial S.A.</x:v>
      </x:c>
      <x:c r="C113" s="28" t="str">
        <x:v>Planta Campinas</x:v>
      </x:c>
      <x:c r="D113" s="28" t="str">
        <x:v>Linha 4 - Embalagem</x:v>
      </x:c>
      <x:c r="E113" s="28" t="str">
        <x:v>SKU-105</x:v>
      </x:c>
      <x:c r="F113" s="28" t="str">
        <x:v>Embalagens</x:v>
      </x:c>
      <x:c r="G113" s="32" t="n">
        <x:v>3657</x:v>
      </x:c>
      <x:c r="H113" s="32" t="n">
        <x:v>3519</x:v>
      </x:c>
      <x:c r="I113" s="32" t="n">
        <x:v>138</x:v>
      </x:c>
      <x:c r="J113" s="32" t="n">
        <x:v>139</x:v>
      </x:c>
      <x:c r="K113" s="36" t="n">
        <x:v>0.0377</x:v>
      </x:c>
      <x:c r="L113" s="36" t="n">
        <x:v>0.038</x:v>
      </x:c>
    </x:row>
    <x:row r="114">
      <x:c r="A114" s="34" t="n">
        <x:v>45418</x:v>
      </x:c>
      <x:c r="B114" s="28" t="str">
        <x:v>Grupo Industrial S.A.</x:v>
      </x:c>
      <x:c r="C114" s="28" t="str">
        <x:v>Planta Curitiba</x:v>
      </x:c>
      <x:c r="D114" s="28" t="str">
        <x:v>Linha 5 - Usinagem</x:v>
      </x:c>
      <x:c r="E114" s="28" t="str">
        <x:v>SKU-223</x:v>
      </x:c>
      <x:c r="F114" s="28" t="str">
        <x:v>Bebidas</x:v>
      </x:c>
      <x:c r="G114" s="32" t="n">
        <x:v>4307</x:v>
      </x:c>
      <x:c r="H114" s="32" t="n">
        <x:v>4185</x:v>
      </x:c>
      <x:c r="I114" s="32" t="n">
        <x:v>122</x:v>
      </x:c>
      <x:c r="J114" s="32" t="n">
        <x:v>105</x:v>
      </x:c>
      <x:c r="K114" s="36" t="n">
        <x:v>0.0283</x:v>
      </x:c>
      <x:c r="L114" s="36" t="n">
        <x:v>0.0244</x:v>
      </x:c>
    </x:row>
    <x:row r="115">
      <x:c r="A115" s="34" t="n">
        <x:v>45418</x:v>
      </x:c>
      <x:c r="B115" s="28" t="str">
        <x:v>Grupo Industrial S.A.</x:v>
      </x:c>
      <x:c r="C115" s="28" t="str">
        <x:v>Planta Curitiba</x:v>
      </x:c>
      <x:c r="D115" s="28" t="str">
        <x:v>Linha 6 - Finalização</x:v>
      </x:c>
      <x:c r="E115" s="28" t="str">
        <x:v>SKU-432</x:v>
      </x:c>
      <x:c r="F115" s="28" t="str">
        <x:v>Alimentos</x:v>
      </x:c>
      <x:c r="G115" s="32" t="n">
        <x:v>3909</x:v>
      </x:c>
      <x:c r="H115" s="32" t="n">
        <x:v>3760</x:v>
      </x:c>
      <x:c r="I115" s="32" t="n">
        <x:v>149</x:v>
      </x:c>
      <x:c r="J115" s="32" t="n">
        <x:v>84</x:v>
      </x:c>
      <x:c r="K115" s="36" t="n">
        <x:v>0.0381</x:v>
      </x:c>
      <x:c r="L115" s="36" t="n">
        <x:v>0.0215</x:v>
      </x:c>
    </x:row>
    <x:row r="116">
      <x:c r="A116" s="34" t="n">
        <x:v>45425</x:v>
      </x:c>
      <x:c r="B116" s="28" t="str">
        <x:v>Grupo Industrial S.A.</x:v>
      </x:c>
      <x:c r="C116" s="28" t="str">
        <x:v>Planta São Paulo</x:v>
      </x:c>
      <x:c r="D116" s="28" t="str">
        <x:v>Linha 1 - Corte</x:v>
      </x:c>
      <x:c r="E116" s="28" t="str">
        <x:v>SKU-001</x:v>
      </x:c>
      <x:c r="F116" s="28" t="str">
        <x:v>Alimentos</x:v>
      </x:c>
      <x:c r="G116" s="32" t="n">
        <x:v>5786</x:v>
      </x:c>
      <x:c r="H116" s="32" t="n">
        <x:v>5595</x:v>
      </x:c>
      <x:c r="I116" s="32" t="n">
        <x:v>191</x:v>
      </x:c>
      <x:c r="J116" s="32" t="n">
        <x:v>159</x:v>
      </x:c>
      <x:c r="K116" s="36" t="n">
        <x:v>0.033</x:v>
      </x:c>
      <x:c r="L116" s="36" t="n">
        <x:v>0.0275</x:v>
      </x:c>
    </x:row>
    <x:row r="117">
      <x:c r="A117" s="34" t="n">
        <x:v>45425</x:v>
      </x:c>
      <x:c r="B117" s="28" t="str">
        <x:v>Grupo Industrial S.A.</x:v>
      </x:c>
      <x:c r="C117" s="28" t="str">
        <x:v>Planta São Paulo</x:v>
      </x:c>
      <x:c r="D117" s="28" t="str">
        <x:v>Linha 2 - Montagem</x:v>
      </x:c>
      <x:c r="E117" s="28" t="str">
        <x:v>SKU-002</x:v>
      </x:c>
      <x:c r="F117" s="28" t="str">
        <x:v>Alimentos</x:v>
      </x:c>
      <x:c r="G117" s="32" t="n">
        <x:v>5654</x:v>
      </x:c>
      <x:c r="H117" s="32" t="n">
        <x:v>5460</x:v>
      </x:c>
      <x:c r="I117" s="32" t="n">
        <x:v>194</x:v>
      </x:c>
      <x:c r="J117" s="32" t="n">
        <x:v>153</x:v>
      </x:c>
      <x:c r="K117" s="36" t="n">
        <x:v>0.0343</x:v>
      </x:c>
      <x:c r="L117" s="36" t="n">
        <x:v>0.0271</x:v>
      </x:c>
    </x:row>
    <x:row r="118">
      <x:c r="A118" s="34" t="n">
        <x:v>45425</x:v>
      </x:c>
      <x:c r="B118" s="28" t="str">
        <x:v>Grupo Industrial S.A.</x:v>
      </x:c>
      <x:c r="C118" s="28" t="str">
        <x:v>Planta Campinas</x:v>
      </x:c>
      <x:c r="D118" s="28" t="str">
        <x:v>Linha 3 - Extrusão</x:v>
      </x:c>
      <x:c r="E118" s="28" t="str">
        <x:v>SKU-078</x:v>
      </x:c>
      <x:c r="F118" s="28" t="str">
        <x:v>Higiene e Limpeza</x:v>
      </x:c>
      <x:c r="G118" s="32" t="n">
        <x:v>4210</x:v>
      </x:c>
      <x:c r="H118" s="32" t="n">
        <x:v>4053</x:v>
      </x:c>
      <x:c r="I118" s="32" t="n">
        <x:v>157</x:v>
      </x:c>
      <x:c r="J118" s="32" t="n">
        <x:v>121</x:v>
      </x:c>
      <x:c r="K118" s="36" t="n">
        <x:v>0.0373</x:v>
      </x:c>
      <x:c r="L118" s="36" t="n">
        <x:v>0.0287</x:v>
      </x:c>
    </x:row>
    <x:row r="119">
      <x:c r="A119" s="34" t="n">
        <x:v>45425</x:v>
      </x:c>
      <x:c r="B119" s="28" t="str">
        <x:v>Grupo Industrial S.A.</x:v>
      </x:c>
      <x:c r="C119" s="28" t="str">
        <x:v>Planta Campinas</x:v>
      </x:c>
      <x:c r="D119" s="28" t="str">
        <x:v>Linha 4 - Embalagem</x:v>
      </x:c>
      <x:c r="E119" s="28" t="str">
        <x:v>SKU-105</x:v>
      </x:c>
      <x:c r="F119" s="28" t="str">
        <x:v>Embalagens</x:v>
      </x:c>
      <x:c r="G119" s="32" t="n">
        <x:v>3874</x:v>
      </x:c>
      <x:c r="H119" s="32" t="n">
        <x:v>3717</x:v>
      </x:c>
      <x:c r="I119" s="32" t="n">
        <x:v>157</x:v>
      </x:c>
      <x:c r="J119" s="32" t="n">
        <x:v>138</x:v>
      </x:c>
      <x:c r="K119" s="36" t="n">
        <x:v>0.0405</x:v>
      </x:c>
      <x:c r="L119" s="36" t="n">
        <x:v>0.0356</x:v>
      </x:c>
    </x:row>
    <x:row r="120">
      <x:c r="A120" s="34" t="n">
        <x:v>45425</x:v>
      </x:c>
      <x:c r="B120" s="28" t="str">
        <x:v>Grupo Industrial S.A.</x:v>
      </x:c>
      <x:c r="C120" s="28" t="str">
        <x:v>Planta Curitiba</x:v>
      </x:c>
      <x:c r="D120" s="28" t="str">
        <x:v>Linha 5 - Usinagem</x:v>
      </x:c>
      <x:c r="E120" s="28" t="str">
        <x:v>SKU-223</x:v>
      </x:c>
      <x:c r="F120" s="28" t="str">
        <x:v>Bebidas</x:v>
      </x:c>
      <x:c r="G120" s="32" t="n">
        <x:v>4472</x:v>
      </x:c>
      <x:c r="H120" s="32" t="n">
        <x:v>4322</x:v>
      </x:c>
      <x:c r="I120" s="32" t="n">
        <x:v>150</x:v>
      </x:c>
      <x:c r="J120" s="32" t="n">
        <x:v>106</x:v>
      </x:c>
      <x:c r="K120" s="36" t="n">
        <x:v>0.0335</x:v>
      </x:c>
      <x:c r="L120" s="36" t="n">
        <x:v>0.0237</x:v>
      </x:c>
    </x:row>
    <x:row r="121">
      <x:c r="A121" s="34" t="n">
        <x:v>45425</x:v>
      </x:c>
      <x:c r="B121" s="28" t="str">
        <x:v>Grupo Industrial S.A.</x:v>
      </x:c>
      <x:c r="C121" s="28" t="str">
        <x:v>Planta Curitiba</x:v>
      </x:c>
      <x:c r="D121" s="28" t="str">
        <x:v>Linha 6 - Finalização</x:v>
      </x:c>
      <x:c r="E121" s="28" t="str">
        <x:v>SKU-432</x:v>
      </x:c>
      <x:c r="F121" s="28" t="str">
        <x:v>Alimentos</x:v>
      </x:c>
      <x:c r="G121" s="32" t="n">
        <x:v>3646</x:v>
      </x:c>
      <x:c r="H121" s="32" t="n">
        <x:v>3513</x:v>
      </x:c>
      <x:c r="I121" s="32" t="n">
        <x:v>133</x:v>
      </x:c>
      <x:c r="J121" s="32" t="n">
        <x:v>88</x:v>
      </x:c>
      <x:c r="K121" s="36" t="n">
        <x:v>0.0365</x:v>
      </x:c>
      <x:c r="L121" s="36" t="n">
        <x:v>0.0241</x:v>
      </x:c>
    </x:row>
    <x:row r="122">
      <x:c r="A122" s="34" t="n">
        <x:v>45432</x:v>
      </x:c>
      <x:c r="B122" s="28" t="str">
        <x:v>Grupo Industrial S.A.</x:v>
      </x:c>
      <x:c r="C122" s="28" t="str">
        <x:v>Planta São Paulo</x:v>
      </x:c>
      <x:c r="D122" s="28" t="str">
        <x:v>Linha 1 - Corte</x:v>
      </x:c>
      <x:c r="E122" s="28" t="str">
        <x:v>SKU-001</x:v>
      </x:c>
      <x:c r="F122" s="28" t="str">
        <x:v>Alimentos</x:v>
      </x:c>
      <x:c r="G122" s="32" t="n">
        <x:v>5820</x:v>
      </x:c>
      <x:c r="H122" s="32" t="n">
        <x:v>5691</x:v>
      </x:c>
      <x:c r="I122" s="32" t="n">
        <x:v>129</x:v>
      </x:c>
      <x:c r="J122" s="32" t="n">
        <x:v>126</x:v>
      </x:c>
      <x:c r="K122" s="36" t="n">
        <x:v>0.0222</x:v>
      </x:c>
      <x:c r="L122" s="36" t="n">
        <x:v>0.0216</x:v>
      </x:c>
    </x:row>
    <x:row r="123">
      <x:c r="A123" s="34" t="n">
        <x:v>45432</x:v>
      </x:c>
      <x:c r="B123" s="28" t="str">
        <x:v>Grupo Industrial S.A.</x:v>
      </x:c>
      <x:c r="C123" s="28" t="str">
        <x:v>Planta São Paulo</x:v>
      </x:c>
      <x:c r="D123" s="28" t="str">
        <x:v>Linha 2 - Montagem</x:v>
      </x:c>
      <x:c r="E123" s="28" t="str">
        <x:v>SKU-002</x:v>
      </x:c>
      <x:c r="F123" s="28" t="str">
        <x:v>Alimentos</x:v>
      </x:c>
      <x:c r="G123" s="32" t="n">
        <x:v>5327</x:v>
      </x:c>
      <x:c r="H123" s="32" t="n">
        <x:v>5149</x:v>
      </x:c>
      <x:c r="I123" s="32" t="n">
        <x:v>178</x:v>
      </x:c>
      <x:c r="J123" s="32" t="n">
        <x:v>172</x:v>
      </x:c>
      <x:c r="K123" s="36" t="n">
        <x:v>0.0334</x:v>
      </x:c>
      <x:c r="L123" s="36" t="n">
        <x:v>0.0323</x:v>
      </x:c>
    </x:row>
    <x:row r="124">
      <x:c r="A124" s="34" t="n">
        <x:v>45432</x:v>
      </x:c>
      <x:c r="B124" s="28" t="str">
        <x:v>Grupo Industrial S.A.</x:v>
      </x:c>
      <x:c r="C124" s="28" t="str">
        <x:v>Planta Campinas</x:v>
      </x:c>
      <x:c r="D124" s="28" t="str">
        <x:v>Linha 3 - Extrusão</x:v>
      </x:c>
      <x:c r="E124" s="28" t="str">
        <x:v>SKU-078</x:v>
      </x:c>
      <x:c r="F124" s="28" t="str">
        <x:v>Higiene e Limpeza</x:v>
      </x:c>
      <x:c r="G124" s="32" t="n">
        <x:v>4077</x:v>
      </x:c>
      <x:c r="H124" s="32" t="n">
        <x:v>3855</x:v>
      </x:c>
      <x:c r="I124" s="32" t="n">
        <x:v>222</x:v>
      </x:c>
      <x:c r="J124" s="32" t="n">
        <x:v>154</x:v>
      </x:c>
      <x:c r="K124" s="36" t="n">
        <x:v>0.0545</x:v>
      </x:c>
      <x:c r="L124" s="36" t="n">
        <x:v>0.0378</x:v>
      </x:c>
    </x:row>
    <x:row r="125">
      <x:c r="A125" s="34" t="n">
        <x:v>45432</x:v>
      </x:c>
      <x:c r="B125" s="28" t="str">
        <x:v>Grupo Industrial S.A.</x:v>
      </x:c>
      <x:c r="C125" s="28" t="str">
        <x:v>Planta Campinas</x:v>
      </x:c>
      <x:c r="D125" s="28" t="str">
        <x:v>Linha 4 - Embalagem</x:v>
      </x:c>
      <x:c r="E125" s="28" t="str">
        <x:v>SKU-105</x:v>
      </x:c>
      <x:c r="F125" s="28" t="str">
        <x:v>Embalagens</x:v>
      </x:c>
      <x:c r="G125" s="32" t="n">
        <x:v>3520</x:v>
      </x:c>
      <x:c r="H125" s="32" t="n">
        <x:v>3324</x:v>
      </x:c>
      <x:c r="I125" s="32" t="n">
        <x:v>196</x:v>
      </x:c>
      <x:c r="J125" s="32" t="n">
        <x:v>109</x:v>
      </x:c>
      <x:c r="K125" s="36" t="n">
        <x:v>0.0557</x:v>
      </x:c>
      <x:c r="L125" s="36" t="n">
        <x:v>0.031</x:v>
      </x:c>
    </x:row>
    <x:row r="126">
      <x:c r="A126" s="34" t="n">
        <x:v>45432</x:v>
      </x:c>
      <x:c r="B126" s="28" t="str">
        <x:v>Grupo Industrial S.A.</x:v>
      </x:c>
      <x:c r="C126" s="28" t="str">
        <x:v>Planta Curitiba</x:v>
      </x:c>
      <x:c r="D126" s="28" t="str">
        <x:v>Linha 5 - Usinagem</x:v>
      </x:c>
      <x:c r="E126" s="28" t="str">
        <x:v>SKU-223</x:v>
      </x:c>
      <x:c r="F126" s="28" t="str">
        <x:v>Bebidas</x:v>
      </x:c>
      <x:c r="G126" s="32" t="n">
        <x:v>4267</x:v>
      </x:c>
      <x:c r="H126" s="32" t="n">
        <x:v>4108</x:v>
      </x:c>
      <x:c r="I126" s="32" t="n">
        <x:v>159</x:v>
      </x:c>
      <x:c r="J126" s="32" t="n">
        <x:v>96</x:v>
      </x:c>
      <x:c r="K126" s="36" t="n">
        <x:v>0.0373</x:v>
      </x:c>
      <x:c r="L126" s="36" t="n">
        <x:v>0.0225</x:v>
      </x:c>
    </x:row>
    <x:row r="127">
      <x:c r="A127" s="34" t="n">
        <x:v>45432</x:v>
      </x:c>
      <x:c r="B127" s="28" t="str">
        <x:v>Grupo Industrial S.A.</x:v>
      </x:c>
      <x:c r="C127" s="28" t="str">
        <x:v>Planta Curitiba</x:v>
      </x:c>
      <x:c r="D127" s="28" t="str">
        <x:v>Linha 6 - Finalização</x:v>
      </x:c>
      <x:c r="E127" s="28" t="str">
        <x:v>SKU-432</x:v>
      </x:c>
      <x:c r="F127" s="28" t="str">
        <x:v>Alimentos</x:v>
      </x:c>
      <x:c r="G127" s="32" t="n">
        <x:v>3917</x:v>
      </x:c>
      <x:c r="H127" s="32" t="n">
        <x:v>3756</x:v>
      </x:c>
      <x:c r="I127" s="32" t="n">
        <x:v>161</x:v>
      </x:c>
      <x:c r="J127" s="32" t="n">
        <x:v>102</x:v>
      </x:c>
      <x:c r="K127" s="36" t="n">
        <x:v>0.0411</x:v>
      </x:c>
      <x:c r="L127" s="36" t="n">
        <x:v>0.026</x:v>
      </x:c>
    </x:row>
    <x:row r="128">
      <x:c r="A128" s="34" t="n">
        <x:v>45439</x:v>
      </x:c>
      <x:c r="B128" s="28" t="str">
        <x:v>Grupo Industrial S.A.</x:v>
      </x:c>
      <x:c r="C128" s="28" t="str">
        <x:v>Planta São Paulo</x:v>
      </x:c>
      <x:c r="D128" s="28" t="str">
        <x:v>Linha 1 - Corte</x:v>
      </x:c>
      <x:c r="E128" s="28" t="str">
        <x:v>SKU-001</x:v>
      </x:c>
      <x:c r="F128" s="28" t="str">
        <x:v>Alimentos</x:v>
      </x:c>
      <x:c r="G128" s="32" t="n">
        <x:v>5650</x:v>
      </x:c>
      <x:c r="H128" s="32" t="n">
        <x:v>5548</x:v>
      </x:c>
      <x:c r="I128" s="32" t="n">
        <x:v>102</x:v>
      </x:c>
      <x:c r="J128" s="32" t="n">
        <x:v>149</x:v>
      </x:c>
      <x:c r="K128" s="36" t="n">
        <x:v>0.0181</x:v>
      </x:c>
      <x:c r="L128" s="36" t="n">
        <x:v>0.0264</x:v>
      </x:c>
    </x:row>
    <x:row r="129">
      <x:c r="A129" s="34" t="n">
        <x:v>45439</x:v>
      </x:c>
      <x:c r="B129" s="28" t="str">
        <x:v>Grupo Industrial S.A.</x:v>
      </x:c>
      <x:c r="C129" s="28" t="str">
        <x:v>Planta São Paulo</x:v>
      </x:c>
      <x:c r="D129" s="28" t="str">
        <x:v>Linha 2 - Montagem</x:v>
      </x:c>
      <x:c r="E129" s="28" t="str">
        <x:v>SKU-002</x:v>
      </x:c>
      <x:c r="F129" s="28" t="str">
        <x:v>Alimentos</x:v>
      </x:c>
      <x:c r="G129" s="32" t="n">
        <x:v>5116</x:v>
      </x:c>
      <x:c r="H129" s="32" t="n">
        <x:v>4960</x:v>
      </x:c>
      <x:c r="I129" s="32" t="n">
        <x:v>156</x:v>
      </x:c>
      <x:c r="J129" s="32" t="n">
        <x:v>160</x:v>
      </x:c>
      <x:c r="K129" s="36" t="n">
        <x:v>0.0305</x:v>
      </x:c>
      <x:c r="L129" s="36" t="n">
        <x:v>0.0313</x:v>
      </x:c>
    </x:row>
    <x:row r="130">
      <x:c r="A130" s="34" t="n">
        <x:v>45439</x:v>
      </x:c>
      <x:c r="B130" s="28" t="str">
        <x:v>Grupo Industrial S.A.</x:v>
      </x:c>
      <x:c r="C130" s="28" t="str">
        <x:v>Planta Campinas</x:v>
      </x:c>
      <x:c r="D130" s="28" t="str">
        <x:v>Linha 3 - Extrusão</x:v>
      </x:c>
      <x:c r="E130" s="28" t="str">
        <x:v>SKU-078</x:v>
      </x:c>
      <x:c r="F130" s="28" t="str">
        <x:v>Higiene e Limpeza</x:v>
      </x:c>
      <x:c r="G130" s="32" t="n">
        <x:v>4029</x:v>
      </x:c>
      <x:c r="H130" s="32" t="n">
        <x:v>3861</x:v>
      </x:c>
      <x:c r="I130" s="32" t="n">
        <x:v>168</x:v>
      </x:c>
      <x:c r="J130" s="32" t="n">
        <x:v>143</x:v>
      </x:c>
      <x:c r="K130" s="36" t="n">
        <x:v>0.0417</x:v>
      </x:c>
      <x:c r="L130" s="36" t="n">
        <x:v>0.0355</x:v>
      </x:c>
    </x:row>
    <x:row r="131">
      <x:c r="A131" s="34" t="n">
        <x:v>45439</x:v>
      </x:c>
      <x:c r="B131" s="28" t="str">
        <x:v>Grupo Industrial S.A.</x:v>
      </x:c>
      <x:c r="C131" s="28" t="str">
        <x:v>Planta Campinas</x:v>
      </x:c>
      <x:c r="D131" s="28" t="str">
        <x:v>Linha 4 - Embalagem</x:v>
      </x:c>
      <x:c r="E131" s="28" t="str">
        <x:v>SKU-105</x:v>
      </x:c>
      <x:c r="F131" s="28" t="str">
        <x:v>Embalagens</x:v>
      </x:c>
      <x:c r="G131" s="32" t="n">
        <x:v>3668</x:v>
      </x:c>
      <x:c r="H131" s="32" t="n">
        <x:v>3512</x:v>
      </x:c>
      <x:c r="I131" s="32" t="n">
        <x:v>156</x:v>
      </x:c>
      <x:c r="J131" s="32" t="n">
        <x:v>115</x:v>
      </x:c>
      <x:c r="K131" s="36" t="n">
        <x:v>0.0425</x:v>
      </x:c>
      <x:c r="L131" s="36" t="n">
        <x:v>0.0314</x:v>
      </x:c>
    </x:row>
    <x:row r="132">
      <x:c r="A132" s="34" t="n">
        <x:v>45439</x:v>
      </x:c>
      <x:c r="B132" s="28" t="str">
        <x:v>Grupo Industrial S.A.</x:v>
      </x:c>
      <x:c r="C132" s="28" t="str">
        <x:v>Planta Curitiba</x:v>
      </x:c>
      <x:c r="D132" s="28" t="str">
        <x:v>Linha 5 - Usinagem</x:v>
      </x:c>
      <x:c r="E132" s="28" t="str">
        <x:v>SKU-223</x:v>
      </x:c>
      <x:c r="F132" s="28" t="str">
        <x:v>Bebidas</x:v>
      </x:c>
      <x:c r="G132" s="32" t="n">
        <x:v>4574</x:v>
      </x:c>
      <x:c r="H132" s="32" t="n">
        <x:v>4381</x:v>
      </x:c>
      <x:c r="I132" s="32" t="n">
        <x:v>193</x:v>
      </x:c>
      <x:c r="J132" s="32" t="n">
        <x:v>118</x:v>
      </x:c>
      <x:c r="K132" s="36" t="n">
        <x:v>0.0422</x:v>
      </x:c>
      <x:c r="L132" s="36" t="n">
        <x:v>0.0258</x:v>
      </x:c>
    </x:row>
    <x:row r="133">
      <x:c r="A133" s="34" t="n">
        <x:v>45439</x:v>
      </x:c>
      <x:c r="B133" s="28" t="str">
        <x:v>Grupo Industrial S.A.</x:v>
      </x:c>
      <x:c r="C133" s="28" t="str">
        <x:v>Planta Curitiba</x:v>
      </x:c>
      <x:c r="D133" s="28" t="str">
        <x:v>Linha 6 - Finalização</x:v>
      </x:c>
      <x:c r="E133" s="28" t="str">
        <x:v>SKU-432</x:v>
      </x:c>
      <x:c r="F133" s="28" t="str">
        <x:v>Alimentos</x:v>
      </x:c>
      <x:c r="G133" s="32" t="n">
        <x:v>3746</x:v>
      </x:c>
      <x:c r="H133" s="32" t="n">
        <x:v>3625</x:v>
      </x:c>
      <x:c r="I133" s="32" t="n">
        <x:v>121</x:v>
      </x:c>
      <x:c r="J133" s="32" t="n">
        <x:v>86</x:v>
      </x:c>
      <x:c r="K133" s="36" t="n">
        <x:v>0.0323</x:v>
      </x:c>
      <x:c r="L133" s="36" t="n">
        <x:v>0.023</x:v>
      </x:c>
    </x:row>
    <x:row r="134">
      <x:c r="A134" s="34" t="n">
        <x:v>45446</x:v>
      </x:c>
      <x:c r="B134" s="28" t="str">
        <x:v>Grupo Industrial S.A.</x:v>
      </x:c>
      <x:c r="C134" s="28" t="str">
        <x:v>Planta São Paulo</x:v>
      </x:c>
      <x:c r="D134" s="28" t="str">
        <x:v>Linha 1 - Corte</x:v>
      </x:c>
      <x:c r="E134" s="28" t="str">
        <x:v>SKU-001</x:v>
      </x:c>
      <x:c r="F134" s="28" t="str">
        <x:v>Alimentos</x:v>
      </x:c>
      <x:c r="G134" s="32" t="n">
        <x:v>5733</x:v>
      </x:c>
      <x:c r="H134" s="32" t="n">
        <x:v>5578</x:v>
      </x:c>
      <x:c r="I134" s="32" t="n">
        <x:v>155</x:v>
      </x:c>
      <x:c r="J134" s="32" t="n">
        <x:v>150</x:v>
      </x:c>
      <x:c r="K134" s="36" t="n">
        <x:v>0.027</x:v>
      </x:c>
      <x:c r="L134" s="36" t="n">
        <x:v>0.0262</x:v>
      </x:c>
    </x:row>
    <x:row r="135">
      <x:c r="A135" s="34" t="n">
        <x:v>45446</x:v>
      </x:c>
      <x:c r="B135" s="28" t="str">
        <x:v>Grupo Industrial S.A.</x:v>
      </x:c>
      <x:c r="C135" s="28" t="str">
        <x:v>Planta São Paulo</x:v>
      </x:c>
      <x:c r="D135" s="28" t="str">
        <x:v>Linha 2 - Montagem</x:v>
      </x:c>
      <x:c r="E135" s="28" t="str">
        <x:v>SKU-002</x:v>
      </x:c>
      <x:c r="F135" s="28" t="str">
        <x:v>Alimentos</x:v>
      </x:c>
      <x:c r="G135" s="32" t="n">
        <x:v>5258</x:v>
      </x:c>
      <x:c r="H135" s="32" t="n">
        <x:v>5081</x:v>
      </x:c>
      <x:c r="I135" s="32" t="n">
        <x:v>177</x:v>
      </x:c>
      <x:c r="J135" s="32" t="n">
        <x:v>129</x:v>
      </x:c>
      <x:c r="K135" s="36" t="n">
        <x:v>0.0337</x:v>
      </x:c>
      <x:c r="L135" s="36" t="n">
        <x:v>0.0245</x:v>
      </x:c>
    </x:row>
    <x:row r="136">
      <x:c r="A136" s="34" t="n">
        <x:v>45446</x:v>
      </x:c>
      <x:c r="B136" s="28" t="str">
        <x:v>Grupo Industrial S.A.</x:v>
      </x:c>
      <x:c r="C136" s="28" t="str">
        <x:v>Planta Campinas</x:v>
      </x:c>
      <x:c r="D136" s="28" t="str">
        <x:v>Linha 3 - Extrusão</x:v>
      </x:c>
      <x:c r="E136" s="28" t="str">
        <x:v>SKU-078</x:v>
      </x:c>
      <x:c r="F136" s="28" t="str">
        <x:v>Higiene e Limpeza</x:v>
      </x:c>
      <x:c r="G136" s="32" t="n">
        <x:v>4080</x:v>
      </x:c>
      <x:c r="H136" s="32" t="n">
        <x:v>3881</x:v>
      </x:c>
      <x:c r="I136" s="32" t="n">
        <x:v>199</x:v>
      </x:c>
      <x:c r="J136" s="32" t="n">
        <x:v>123</x:v>
      </x:c>
      <x:c r="K136" s="36" t="n">
        <x:v>0.0488</x:v>
      </x:c>
      <x:c r="L136" s="36" t="n">
        <x:v>0.0301</x:v>
      </x:c>
    </x:row>
    <x:row r="137">
      <x:c r="A137" s="34" t="n">
        <x:v>45446</x:v>
      </x:c>
      <x:c r="B137" s="28" t="str">
        <x:v>Grupo Industrial S.A.</x:v>
      </x:c>
      <x:c r="C137" s="28" t="str">
        <x:v>Planta Campinas</x:v>
      </x:c>
      <x:c r="D137" s="28" t="str">
        <x:v>Linha 4 - Embalagem</x:v>
      </x:c>
      <x:c r="E137" s="28" t="str">
        <x:v>SKU-105</x:v>
      </x:c>
      <x:c r="F137" s="28" t="str">
        <x:v>Embalagens</x:v>
      </x:c>
      <x:c r="G137" s="32" t="n">
        <x:v>3354</x:v>
      </x:c>
      <x:c r="H137" s="32" t="n">
        <x:v>3194</x:v>
      </x:c>
      <x:c r="I137" s="32" t="n">
        <x:v>160</x:v>
      </x:c>
      <x:c r="J137" s="32" t="n">
        <x:v>118</x:v>
      </x:c>
      <x:c r="K137" s="36" t="n">
        <x:v>0.0477</x:v>
      </x:c>
      <x:c r="L137" s="36" t="n">
        <x:v>0.0352</x:v>
      </x:c>
    </x:row>
    <x:row r="138">
      <x:c r="A138" s="34" t="n">
        <x:v>45446</x:v>
      </x:c>
      <x:c r="B138" s="28" t="str">
        <x:v>Grupo Industrial S.A.</x:v>
      </x:c>
      <x:c r="C138" s="28" t="str">
        <x:v>Planta Curitiba</x:v>
      </x:c>
      <x:c r="D138" s="28" t="str">
        <x:v>Linha 5 - Usinagem</x:v>
      </x:c>
      <x:c r="E138" s="28" t="str">
        <x:v>SKU-223</x:v>
      </x:c>
      <x:c r="F138" s="28" t="str">
        <x:v>Bebidas</x:v>
      </x:c>
      <x:c r="G138" s="32" t="n">
        <x:v>4226</x:v>
      </x:c>
      <x:c r="H138" s="32" t="n">
        <x:v>4064</x:v>
      </x:c>
      <x:c r="I138" s="32" t="n">
        <x:v>162</x:v>
      </x:c>
      <x:c r="J138" s="32" t="n">
        <x:v>123</x:v>
      </x:c>
      <x:c r="K138" s="36" t="n">
        <x:v>0.0383</x:v>
      </x:c>
      <x:c r="L138" s="36" t="n">
        <x:v>0.0291</x:v>
      </x:c>
    </x:row>
    <x:row r="139">
      <x:c r="A139" s="34" t="n">
        <x:v>45446</x:v>
      </x:c>
      <x:c r="B139" s="28" t="str">
        <x:v>Grupo Industrial S.A.</x:v>
      </x:c>
      <x:c r="C139" s="28" t="str">
        <x:v>Planta Curitiba</x:v>
      </x:c>
      <x:c r="D139" s="28" t="str">
        <x:v>Linha 6 - Finalização</x:v>
      </x:c>
      <x:c r="E139" s="28" t="str">
        <x:v>SKU-432</x:v>
      </x:c>
      <x:c r="F139" s="28" t="str">
        <x:v>Alimentos</x:v>
      </x:c>
      <x:c r="G139" s="32" t="n">
        <x:v>3748</x:v>
      </x:c>
      <x:c r="H139" s="32" t="n">
        <x:v>3642</x:v>
      </x:c>
      <x:c r="I139" s="32" t="n">
        <x:v>106</x:v>
      </x:c>
      <x:c r="J139" s="32" t="n">
        <x:v>85</x:v>
      </x:c>
      <x:c r="K139" s="36" t="n">
        <x:v>0.0283</x:v>
      </x:c>
      <x:c r="L139" s="36" t="n">
        <x:v>0.0227</x:v>
      </x:c>
    </x:row>
    <x:row r="140">
      <x:c r="A140" s="34" t="n">
        <x:v>45453</x:v>
      </x:c>
      <x:c r="B140" s="28" t="str">
        <x:v>Grupo Industrial S.A.</x:v>
      </x:c>
      <x:c r="C140" s="28" t="str">
        <x:v>Planta São Paulo</x:v>
      </x:c>
      <x:c r="D140" s="28" t="str">
        <x:v>Linha 1 - Corte</x:v>
      </x:c>
      <x:c r="E140" s="28" t="str">
        <x:v>SKU-001</x:v>
      </x:c>
      <x:c r="F140" s="28" t="str">
        <x:v>Alimentos</x:v>
      </x:c>
      <x:c r="G140" s="32" t="n">
        <x:v>5765</x:v>
      </x:c>
      <x:c r="H140" s="32" t="n">
        <x:v>5657</x:v>
      </x:c>
      <x:c r="I140" s="32" t="n">
        <x:v>108</x:v>
      </x:c>
      <x:c r="J140" s="32" t="n">
        <x:v>156</x:v>
      </x:c>
      <x:c r="K140" s="36" t="n">
        <x:v>0.0187</x:v>
      </x:c>
      <x:c r="L140" s="36" t="n">
        <x:v>0.0271</x:v>
      </x:c>
    </x:row>
    <x:row r="141">
      <x:c r="A141" s="34" t="n">
        <x:v>45453</x:v>
      </x:c>
      <x:c r="B141" s="28" t="str">
        <x:v>Grupo Industrial S.A.</x:v>
      </x:c>
      <x:c r="C141" s="28" t="str">
        <x:v>Planta São Paulo</x:v>
      </x:c>
      <x:c r="D141" s="28" t="str">
        <x:v>Linha 2 - Montagem</x:v>
      </x:c>
      <x:c r="E141" s="28" t="str">
        <x:v>SKU-002</x:v>
      </x:c>
      <x:c r="F141" s="28" t="str">
        <x:v>Alimentos</x:v>
      </x:c>
      <x:c r="G141" s="32" t="n">
        <x:v>5357</x:v>
      </x:c>
      <x:c r="H141" s="32" t="n">
        <x:v>5204</x:v>
      </x:c>
      <x:c r="I141" s="32" t="n">
        <x:v>153</x:v>
      </x:c>
      <x:c r="J141" s="32" t="n">
        <x:v>161</x:v>
      </x:c>
      <x:c r="K141" s="36" t="n">
        <x:v>0.0286</x:v>
      </x:c>
      <x:c r="L141" s="36" t="n">
        <x:v>0.0301</x:v>
      </x:c>
    </x:row>
    <x:row r="142">
      <x:c r="A142" s="34" t="n">
        <x:v>45453</x:v>
      </x:c>
      <x:c r="B142" s="28" t="str">
        <x:v>Grupo Industrial S.A.</x:v>
      </x:c>
      <x:c r="C142" s="28" t="str">
        <x:v>Planta Campinas</x:v>
      </x:c>
      <x:c r="D142" s="28" t="str">
        <x:v>Linha 3 - Extrusão</x:v>
      </x:c>
      <x:c r="E142" s="28" t="str">
        <x:v>SKU-078</x:v>
      </x:c>
      <x:c r="F142" s="28" t="str">
        <x:v>Higiene e Limpeza</x:v>
      </x:c>
      <x:c r="G142" s="32" t="n">
        <x:v>4084</x:v>
      </x:c>
      <x:c r="H142" s="32" t="n">
        <x:v>3855</x:v>
      </x:c>
      <x:c r="I142" s="32" t="n">
        <x:v>229</x:v>
      </x:c>
      <x:c r="J142" s="32" t="n">
        <x:v>153</x:v>
      </x:c>
      <x:c r="K142" s="36" t="n">
        <x:v>0.0561</x:v>
      </x:c>
      <x:c r="L142" s="36" t="n">
        <x:v>0.0375</x:v>
      </x:c>
    </x:row>
    <x:row r="143">
      <x:c r="A143" s="34" t="n">
        <x:v>45453</x:v>
      </x:c>
      <x:c r="B143" s="28" t="str">
        <x:v>Grupo Industrial S.A.</x:v>
      </x:c>
      <x:c r="C143" s="28" t="str">
        <x:v>Planta Campinas</x:v>
      </x:c>
      <x:c r="D143" s="28" t="str">
        <x:v>Linha 4 - Embalagem</x:v>
      </x:c>
      <x:c r="E143" s="28" t="str">
        <x:v>SKU-105</x:v>
      </x:c>
      <x:c r="F143" s="28" t="str">
        <x:v>Embalagens</x:v>
      </x:c>
      <x:c r="G143" s="32" t="n">
        <x:v>3335</x:v>
      </x:c>
      <x:c r="H143" s="32" t="n">
        <x:v>3176</x:v>
      </x:c>
      <x:c r="I143" s="32" t="n">
        <x:v>159</x:v>
      </x:c>
      <x:c r="J143" s="32" t="n">
        <x:v>128</x:v>
      </x:c>
      <x:c r="K143" s="36" t="n">
        <x:v>0.0477</x:v>
      </x:c>
      <x:c r="L143" s="36" t="n">
        <x:v>0.0384</x:v>
      </x:c>
    </x:row>
    <x:row r="144">
      <x:c r="A144" s="34" t="n">
        <x:v>45453</x:v>
      </x:c>
      <x:c r="B144" s="28" t="str">
        <x:v>Grupo Industrial S.A.</x:v>
      </x:c>
      <x:c r="C144" s="28" t="str">
        <x:v>Planta Curitiba</x:v>
      </x:c>
      <x:c r="D144" s="28" t="str">
        <x:v>Linha 5 - Usinagem</x:v>
      </x:c>
      <x:c r="E144" s="28" t="str">
        <x:v>SKU-223</x:v>
      </x:c>
      <x:c r="F144" s="28" t="str">
        <x:v>Bebidas</x:v>
      </x:c>
      <x:c r="G144" s="32" t="n">
        <x:v>4176</x:v>
      </x:c>
      <x:c r="H144" s="32" t="n">
        <x:v>4068</x:v>
      </x:c>
      <x:c r="I144" s="32" t="n">
        <x:v>108</x:v>
      </x:c>
      <x:c r="J144" s="32" t="n">
        <x:v>126</x:v>
      </x:c>
      <x:c r="K144" s="36" t="n">
        <x:v>0.0259</x:v>
      </x:c>
      <x:c r="L144" s="36" t="n">
        <x:v>0.0302</x:v>
      </x:c>
    </x:row>
    <x:row r="145">
      <x:c r="A145" s="34" t="n">
        <x:v>45453</x:v>
      </x:c>
      <x:c r="B145" s="28" t="str">
        <x:v>Grupo Industrial S.A.</x:v>
      </x:c>
      <x:c r="C145" s="28" t="str">
        <x:v>Planta Curitiba</x:v>
      </x:c>
      <x:c r="D145" s="28" t="str">
        <x:v>Linha 6 - Finalização</x:v>
      </x:c>
      <x:c r="E145" s="28" t="str">
        <x:v>SKU-432</x:v>
      </x:c>
      <x:c r="F145" s="28" t="str">
        <x:v>Alimentos</x:v>
      </x:c>
      <x:c r="G145" s="32" t="n">
        <x:v>3670</x:v>
      </x:c>
      <x:c r="H145" s="32" t="n">
        <x:v>3542</x:v>
      </x:c>
      <x:c r="I145" s="32" t="n">
        <x:v>128</x:v>
      </x:c>
      <x:c r="J145" s="32" t="n">
        <x:v>102</x:v>
      </x:c>
      <x:c r="K145" s="36" t="n">
        <x:v>0.0349</x:v>
      </x:c>
      <x:c r="L145" s="36" t="n">
        <x:v>0.0278</x:v>
      </x:c>
    </x:row>
    <x:row r="146">
      <x:c r="A146" s="34" t="n">
        <x:v>45460</x:v>
      </x:c>
      <x:c r="B146" s="28" t="str">
        <x:v>Grupo Industrial S.A.</x:v>
      </x:c>
      <x:c r="C146" s="28" t="str">
        <x:v>Planta São Paulo</x:v>
      </x:c>
      <x:c r="D146" s="28" t="str">
        <x:v>Linha 1 - Corte</x:v>
      </x:c>
      <x:c r="E146" s="28" t="str">
        <x:v>SKU-001</x:v>
      </x:c>
      <x:c r="F146" s="28" t="str">
        <x:v>Alimentos</x:v>
      </x:c>
      <x:c r="G146" s="32" t="n">
        <x:v>5623</x:v>
      </x:c>
      <x:c r="H146" s="32" t="n">
        <x:v>5460</x:v>
      </x:c>
      <x:c r="I146" s="32" t="n">
        <x:v>163</x:v>
      </x:c>
      <x:c r="J146" s="32" t="n">
        <x:v>142</x:v>
      </x:c>
      <x:c r="K146" s="36" t="n">
        <x:v>0.029</x:v>
      </x:c>
      <x:c r="L146" s="36" t="n">
        <x:v>0.0253</x:v>
      </x:c>
    </x:row>
    <x:row r="147">
      <x:c r="A147" s="34" t="n">
        <x:v>45460</x:v>
      </x:c>
      <x:c r="B147" s="28" t="str">
        <x:v>Grupo Industrial S.A.</x:v>
      </x:c>
      <x:c r="C147" s="28" t="str">
        <x:v>Planta São Paulo</x:v>
      </x:c>
      <x:c r="D147" s="28" t="str">
        <x:v>Linha 2 - Montagem</x:v>
      </x:c>
      <x:c r="E147" s="28" t="str">
        <x:v>SKU-002</x:v>
      </x:c>
      <x:c r="F147" s="28" t="str">
        <x:v>Alimentos</x:v>
      </x:c>
      <x:c r="G147" s="32" t="n">
        <x:v>5268</x:v>
      </x:c>
      <x:c r="H147" s="32" t="n">
        <x:v>5142</x:v>
      </x:c>
      <x:c r="I147" s="32" t="n">
        <x:v>126</x:v>
      </x:c>
      <x:c r="J147" s="32" t="n">
        <x:v>152</x:v>
      </x:c>
      <x:c r="K147" s="36" t="n">
        <x:v>0.0239</x:v>
      </x:c>
      <x:c r="L147" s="36" t="n">
        <x:v>0.0289</x:v>
      </x:c>
    </x:row>
    <x:row r="148">
      <x:c r="A148" s="34" t="n">
        <x:v>45460</x:v>
      </x:c>
      <x:c r="B148" s="28" t="str">
        <x:v>Grupo Industrial S.A.</x:v>
      </x:c>
      <x:c r="C148" s="28" t="str">
        <x:v>Planta Campinas</x:v>
      </x:c>
      <x:c r="D148" s="28" t="str">
        <x:v>Linha 3 - Extrusão</x:v>
      </x:c>
      <x:c r="E148" s="28" t="str">
        <x:v>SKU-078</x:v>
      </x:c>
      <x:c r="F148" s="28" t="str">
        <x:v>Higiene e Limpeza</x:v>
      </x:c>
      <x:c r="G148" s="32" t="n">
        <x:v>3991</x:v>
      </x:c>
      <x:c r="H148" s="32" t="n">
        <x:v>3789</x:v>
      </x:c>
      <x:c r="I148" s="32" t="n">
        <x:v>202</x:v>
      </x:c>
      <x:c r="J148" s="32" t="n">
        <x:v>138</x:v>
      </x:c>
      <x:c r="K148" s="36" t="n">
        <x:v>0.0506</x:v>
      </x:c>
      <x:c r="L148" s="36" t="n">
        <x:v>0.0346</x:v>
      </x:c>
    </x:row>
    <x:row r="149">
      <x:c r="A149" s="34" t="n">
        <x:v>45460</x:v>
      </x:c>
      <x:c r="B149" s="28" t="str">
        <x:v>Grupo Industrial S.A.</x:v>
      </x:c>
      <x:c r="C149" s="28" t="str">
        <x:v>Planta Campinas</x:v>
      </x:c>
      <x:c r="D149" s="28" t="str">
        <x:v>Linha 4 - Embalagem</x:v>
      </x:c>
      <x:c r="E149" s="28" t="str">
        <x:v>SKU-105</x:v>
      </x:c>
      <x:c r="F149" s="28" t="str">
        <x:v>Embalagens</x:v>
      </x:c>
      <x:c r="G149" s="32" t="n">
        <x:v>3700</x:v>
      </x:c>
      <x:c r="H149" s="32" t="n">
        <x:v>3520</x:v>
      </x:c>
      <x:c r="I149" s="32" t="n">
        <x:v>180</x:v>
      </x:c>
      <x:c r="J149" s="32" t="n">
        <x:v>128</x:v>
      </x:c>
      <x:c r="K149" s="36" t="n">
        <x:v>0.0486</x:v>
      </x:c>
      <x:c r="L149" s="36" t="n">
        <x:v>0.0346</x:v>
      </x:c>
    </x:row>
    <x:row r="150">
      <x:c r="A150" s="34" t="n">
        <x:v>45460</x:v>
      </x:c>
      <x:c r="B150" s="28" t="str">
        <x:v>Grupo Industrial S.A.</x:v>
      </x:c>
      <x:c r="C150" s="28" t="str">
        <x:v>Planta Curitiba</x:v>
      </x:c>
      <x:c r="D150" s="28" t="str">
        <x:v>Linha 5 - Usinagem</x:v>
      </x:c>
      <x:c r="E150" s="28" t="str">
        <x:v>SKU-223</x:v>
      </x:c>
      <x:c r="F150" s="28" t="str">
        <x:v>Bebidas</x:v>
      </x:c>
      <x:c r="G150" s="32" t="n">
        <x:v>4433</x:v>
      </x:c>
      <x:c r="H150" s="32" t="n">
        <x:v>4242</x:v>
      </x:c>
      <x:c r="I150" s="32" t="n">
        <x:v>191</x:v>
      </x:c>
      <x:c r="J150" s="32" t="n">
        <x:v>115</x:v>
      </x:c>
      <x:c r="K150" s="36" t="n">
        <x:v>0.0431</x:v>
      </x:c>
      <x:c r="L150" s="36" t="n">
        <x:v>0.0259</x:v>
      </x:c>
    </x:row>
    <x:row r="151">
      <x:c r="A151" s="34" t="n">
        <x:v>45460</x:v>
      </x:c>
      <x:c r="B151" s="28" t="str">
        <x:v>Grupo Industrial S.A.</x:v>
      </x:c>
      <x:c r="C151" s="28" t="str">
        <x:v>Planta Curitiba</x:v>
      </x:c>
      <x:c r="D151" s="28" t="str">
        <x:v>Linha 6 - Finalização</x:v>
      </x:c>
      <x:c r="E151" s="28" t="str">
        <x:v>SKU-432</x:v>
      </x:c>
      <x:c r="F151" s="28" t="str">
        <x:v>Alimentos</x:v>
      </x:c>
      <x:c r="G151" s="32" t="n">
        <x:v>3762</x:v>
      </x:c>
      <x:c r="H151" s="32" t="n">
        <x:v>3610</x:v>
      </x:c>
      <x:c r="I151" s="32" t="n">
        <x:v>152</x:v>
      </x:c>
      <x:c r="J151" s="32" t="n">
        <x:v>94</x:v>
      </x:c>
      <x:c r="K151" s="36" t="n">
        <x:v>0.0404</x:v>
      </x:c>
      <x:c r="L151" s="36" t="n">
        <x:v>0.025</x:v>
      </x:c>
    </x:row>
    <x:row r="152">
      <x:c r="A152" s="34" t="n">
        <x:v>45467</x:v>
      </x:c>
      <x:c r="B152" s="28" t="str">
        <x:v>Grupo Industrial S.A.</x:v>
      </x:c>
      <x:c r="C152" s="28" t="str">
        <x:v>Planta São Paulo</x:v>
      </x:c>
      <x:c r="D152" s="28" t="str">
        <x:v>Linha 1 - Corte</x:v>
      </x:c>
      <x:c r="E152" s="28" t="str">
        <x:v>SKU-001</x:v>
      </x:c>
      <x:c r="F152" s="28" t="str">
        <x:v>Alimentos</x:v>
      </x:c>
      <x:c r="G152" s="32" t="n">
        <x:v>5937</x:v>
      </x:c>
      <x:c r="H152" s="32" t="n">
        <x:v>5727</x:v>
      </x:c>
      <x:c r="I152" s="32" t="n">
        <x:v>210</x:v>
      </x:c>
      <x:c r="J152" s="32" t="n">
        <x:v>157</x:v>
      </x:c>
      <x:c r="K152" s="36" t="n">
        <x:v>0.0354</x:v>
      </x:c>
      <x:c r="L152" s="36" t="n">
        <x:v>0.0264</x:v>
      </x:c>
    </x:row>
    <x:row r="153">
      <x:c r="A153" s="34" t="n">
        <x:v>45467</x:v>
      </x:c>
      <x:c r="B153" s="28" t="str">
        <x:v>Grupo Industrial S.A.</x:v>
      </x:c>
      <x:c r="C153" s="28" t="str">
        <x:v>Planta São Paulo</x:v>
      </x:c>
      <x:c r="D153" s="28" t="str">
        <x:v>Linha 2 - Montagem</x:v>
      </x:c>
      <x:c r="E153" s="28" t="str">
        <x:v>SKU-002</x:v>
      </x:c>
      <x:c r="F153" s="28" t="str">
        <x:v>Alimentos</x:v>
      </x:c>
      <x:c r="G153" s="32" t="n">
        <x:v>5382</x:v>
      </x:c>
      <x:c r="H153" s="32" t="n">
        <x:v>5293</x:v>
      </x:c>
      <x:c r="I153" s="32" t="n">
        <x:v>89</x:v>
      </x:c>
      <x:c r="J153" s="32" t="n">
        <x:v>155</x:v>
      </x:c>
      <x:c r="K153" s="36" t="n">
        <x:v>0.0165</x:v>
      </x:c>
      <x:c r="L153" s="36" t="n">
        <x:v>0.0288</x:v>
      </x:c>
    </x:row>
    <x:row r="154">
      <x:c r="A154" s="34" t="n">
        <x:v>45467</x:v>
      </x:c>
      <x:c r="B154" s="28" t="str">
        <x:v>Grupo Industrial S.A.</x:v>
      </x:c>
      <x:c r="C154" s="28" t="str">
        <x:v>Planta Campinas</x:v>
      </x:c>
      <x:c r="D154" s="28" t="str">
        <x:v>Linha 3 - Extrusão</x:v>
      </x:c>
      <x:c r="E154" s="28" t="str">
        <x:v>SKU-078</x:v>
      </x:c>
      <x:c r="F154" s="28" t="str">
        <x:v>Higiene e Limpeza</x:v>
      </x:c>
      <x:c r="G154" s="32" t="n">
        <x:v>3904</x:v>
      </x:c>
      <x:c r="H154" s="32" t="n">
        <x:v>3700</x:v>
      </x:c>
      <x:c r="I154" s="32" t="n">
        <x:v>204</x:v>
      </x:c>
      <x:c r="J154" s="32" t="n">
        <x:v>115</x:v>
      </x:c>
      <x:c r="K154" s="36" t="n">
        <x:v>0.0523</x:v>
      </x:c>
      <x:c r="L154" s="36" t="n">
        <x:v>0.0295</x:v>
      </x:c>
    </x:row>
    <x:row r="155">
      <x:c r="A155" s="34" t="n">
        <x:v>45467</x:v>
      </x:c>
      <x:c r="B155" s="28" t="str">
        <x:v>Grupo Industrial S.A.</x:v>
      </x:c>
      <x:c r="C155" s="28" t="str">
        <x:v>Planta Campinas</x:v>
      </x:c>
      <x:c r="D155" s="28" t="str">
        <x:v>Linha 4 - Embalagem</x:v>
      </x:c>
      <x:c r="E155" s="28" t="str">
        <x:v>SKU-105</x:v>
      </x:c>
      <x:c r="F155" s="28" t="str">
        <x:v>Embalagens</x:v>
      </x:c>
      <x:c r="G155" s="32" t="n">
        <x:v>3560</x:v>
      </x:c>
      <x:c r="H155" s="32" t="n">
        <x:v>3409</x:v>
      </x:c>
      <x:c r="I155" s="32" t="n">
        <x:v>151</x:v>
      </x:c>
      <x:c r="J155" s="32" t="n">
        <x:v>136</x:v>
      </x:c>
      <x:c r="K155" s="36" t="n">
        <x:v>0.0424</x:v>
      </x:c>
      <x:c r="L155" s="36" t="n">
        <x:v>0.0382</x:v>
      </x:c>
    </x:row>
    <x:row r="156">
      <x:c r="A156" s="34" t="n">
        <x:v>45467</x:v>
      </x:c>
      <x:c r="B156" s="28" t="str">
        <x:v>Grupo Industrial S.A.</x:v>
      </x:c>
      <x:c r="C156" s="28" t="str">
        <x:v>Planta Curitiba</x:v>
      </x:c>
      <x:c r="D156" s="28" t="str">
        <x:v>Linha 5 - Usinagem</x:v>
      </x:c>
      <x:c r="E156" s="28" t="str">
        <x:v>SKU-223</x:v>
      </x:c>
      <x:c r="F156" s="28" t="str">
        <x:v>Bebidas</x:v>
      </x:c>
      <x:c r="G156" s="32" t="n">
        <x:v>4489</x:v>
      </x:c>
      <x:c r="H156" s="32" t="n">
        <x:v>4360</x:v>
      </x:c>
      <x:c r="I156" s="32" t="n">
        <x:v>129</x:v>
      </x:c>
      <x:c r="J156" s="32" t="n">
        <x:v>134</x:v>
      </x:c>
      <x:c r="K156" s="36" t="n">
        <x:v>0.0287</x:v>
      </x:c>
      <x:c r="L156" s="36" t="n">
        <x:v>0.0299</x:v>
      </x:c>
    </x:row>
    <x:row r="157">
      <x:c r="A157" s="34" t="n">
        <x:v>45467</x:v>
      </x:c>
      <x:c r="B157" s="28" t="str">
        <x:v>Grupo Industrial S.A.</x:v>
      </x:c>
      <x:c r="C157" s="28" t="str">
        <x:v>Planta Curitiba</x:v>
      </x:c>
      <x:c r="D157" s="28" t="str">
        <x:v>Linha 6 - Finalização</x:v>
      </x:c>
      <x:c r="E157" s="28" t="str">
        <x:v>SKU-432</x:v>
      </x:c>
      <x:c r="F157" s="28" t="str">
        <x:v>Alimentos</x:v>
      </x:c>
      <x:c r="G157" s="32" t="n">
        <x:v>3771</x:v>
      </x:c>
      <x:c r="H157" s="32" t="n">
        <x:v>3607</x:v>
      </x:c>
      <x:c r="I157" s="32" t="n">
        <x:v>164</x:v>
      </x:c>
      <x:c r="J157" s="32" t="n">
        <x:v>112</x:v>
      </x:c>
      <x:c r="K157" s="36" t="n">
        <x:v>0.0435</x:v>
      </x:c>
      <x:c r="L157" s="36" t="n">
        <x:v>0.0297</x:v>
      </x:c>
    </x:row>
    <x:row r="158">
      <x:c r="A158" s="34" t="n">
        <x:v>45474</x:v>
      </x:c>
      <x:c r="B158" s="28" t="str">
        <x:v>Grupo Industrial S.A.</x:v>
      </x:c>
      <x:c r="C158" s="28" t="str">
        <x:v>Planta São Paulo</x:v>
      </x:c>
      <x:c r="D158" s="28" t="str">
        <x:v>Linha 1 - Corte</x:v>
      </x:c>
      <x:c r="E158" s="28" t="str">
        <x:v>SKU-001</x:v>
      </x:c>
      <x:c r="F158" s="28" t="str">
        <x:v>Alimentos</x:v>
      </x:c>
      <x:c r="G158" s="32" t="n">
        <x:v>5765</x:v>
      </x:c>
      <x:c r="H158" s="32" t="n">
        <x:v>5573</x:v>
      </x:c>
      <x:c r="I158" s="32" t="n">
        <x:v>192</x:v>
      </x:c>
      <x:c r="J158" s="32" t="n">
        <x:v>163</x:v>
      </x:c>
      <x:c r="K158" s="36" t="n">
        <x:v>0.0333</x:v>
      </x:c>
      <x:c r="L158" s="36" t="n">
        <x:v>0.0283</x:v>
      </x:c>
    </x:row>
    <x:row r="159">
      <x:c r="A159" s="34" t="n">
        <x:v>45474</x:v>
      </x:c>
      <x:c r="B159" s="28" t="str">
        <x:v>Grupo Industrial S.A.</x:v>
      </x:c>
      <x:c r="C159" s="28" t="str">
        <x:v>Planta São Paulo</x:v>
      </x:c>
      <x:c r="D159" s="28" t="str">
        <x:v>Linha 2 - Montagem</x:v>
      </x:c>
      <x:c r="E159" s="28" t="str">
        <x:v>SKU-002</x:v>
      </x:c>
      <x:c r="F159" s="28" t="str">
        <x:v>Alimentos</x:v>
      </x:c>
      <x:c r="G159" s="32" t="n">
        <x:v>5095</x:v>
      </x:c>
      <x:c r="H159" s="32" t="n">
        <x:v>4997</x:v>
      </x:c>
      <x:c r="I159" s="32" t="n">
        <x:v>98</x:v>
      </x:c>
      <x:c r="J159" s="32" t="n">
        <x:v>147</x:v>
      </x:c>
      <x:c r="K159" s="36" t="n">
        <x:v>0.0192</x:v>
      </x:c>
      <x:c r="L159" s="36" t="n">
        <x:v>0.0289</x:v>
      </x:c>
    </x:row>
    <x:row r="160">
      <x:c r="A160" s="34" t="n">
        <x:v>45474</x:v>
      </x:c>
      <x:c r="B160" s="28" t="str">
        <x:v>Grupo Industrial S.A.</x:v>
      </x:c>
      <x:c r="C160" s="28" t="str">
        <x:v>Planta Campinas</x:v>
      </x:c>
      <x:c r="D160" s="28" t="str">
        <x:v>Linha 3 - Extrusão</x:v>
      </x:c>
      <x:c r="E160" s="28" t="str">
        <x:v>SKU-078</x:v>
      </x:c>
      <x:c r="F160" s="28" t="str">
        <x:v>Higiene e Limpeza</x:v>
      </x:c>
      <x:c r="G160" s="32" t="n">
        <x:v>3980</x:v>
      </x:c>
      <x:c r="H160" s="32" t="n">
        <x:v>3802</x:v>
      </x:c>
      <x:c r="I160" s="32" t="n">
        <x:v>178</x:v>
      </x:c>
      <x:c r="J160" s="32" t="n">
        <x:v>136</x:v>
      </x:c>
      <x:c r="K160" s="36" t="n">
        <x:v>0.0447</x:v>
      </x:c>
      <x:c r="L160" s="36" t="n">
        <x:v>0.0342</x:v>
      </x:c>
    </x:row>
    <x:row r="161">
      <x:c r="A161" s="34" t="n">
        <x:v>45474</x:v>
      </x:c>
      <x:c r="B161" s="28" t="str">
        <x:v>Grupo Industrial S.A.</x:v>
      </x:c>
      <x:c r="C161" s="28" t="str">
        <x:v>Planta Campinas</x:v>
      </x:c>
      <x:c r="D161" s="28" t="str">
        <x:v>Linha 4 - Embalagem</x:v>
      </x:c>
      <x:c r="E161" s="28" t="str">
        <x:v>SKU-105</x:v>
      </x:c>
      <x:c r="F161" s="28" t="str">
        <x:v>Embalagens</x:v>
      </x:c>
      <x:c r="G161" s="32" t="n">
        <x:v>3317</x:v>
      </x:c>
      <x:c r="H161" s="32" t="n">
        <x:v>3177</x:v>
      </x:c>
      <x:c r="I161" s="32" t="n">
        <x:v>140</x:v>
      </x:c>
      <x:c r="J161" s="32" t="n">
        <x:v>92</x:v>
      </x:c>
      <x:c r="K161" s="36" t="n">
        <x:v>0.0422</x:v>
      </x:c>
      <x:c r="L161" s="36" t="n">
        <x:v>0.0277</x:v>
      </x:c>
    </x:row>
    <x:row r="162">
      <x:c r="A162" s="34" t="n">
        <x:v>45474</x:v>
      </x:c>
      <x:c r="B162" s="28" t="str">
        <x:v>Grupo Industrial S.A.</x:v>
      </x:c>
      <x:c r="C162" s="28" t="str">
        <x:v>Planta Curitiba</x:v>
      </x:c>
      <x:c r="D162" s="28" t="str">
        <x:v>Linha 5 - Usinagem</x:v>
      </x:c>
      <x:c r="E162" s="28" t="str">
        <x:v>SKU-223</x:v>
      </x:c>
      <x:c r="F162" s="28" t="str">
        <x:v>Bebidas</x:v>
      </x:c>
      <x:c r="G162" s="32" t="n">
        <x:v>3866</x:v>
      </x:c>
      <x:c r="H162" s="32" t="n">
        <x:v>3718</x:v>
      </x:c>
      <x:c r="I162" s="32" t="n">
        <x:v>148</x:v>
      </x:c>
      <x:c r="J162" s="32" t="n">
        <x:v>89</x:v>
      </x:c>
      <x:c r="K162" s="36" t="n">
        <x:v>0.0383</x:v>
      </x:c>
      <x:c r="L162" s="36" t="n">
        <x:v>0.023</x:v>
      </x:c>
    </x:row>
    <x:row r="163">
      <x:c r="A163" s="34" t="n">
        <x:v>45474</x:v>
      </x:c>
      <x:c r="B163" s="28" t="str">
        <x:v>Grupo Industrial S.A.</x:v>
      </x:c>
      <x:c r="C163" s="28" t="str">
        <x:v>Planta Curitiba</x:v>
      </x:c>
      <x:c r="D163" s="28" t="str">
        <x:v>Linha 6 - Finalização</x:v>
      </x:c>
      <x:c r="E163" s="28" t="str">
        <x:v>SKU-432</x:v>
      </x:c>
      <x:c r="F163" s="28" t="str">
        <x:v>Alimentos</x:v>
      </x:c>
      <x:c r="G163" s="32" t="n">
        <x:v>3585</x:v>
      </x:c>
      <x:c r="H163" s="32" t="n">
        <x:v>3463</x:v>
      </x:c>
      <x:c r="I163" s="32" t="n">
        <x:v>122</x:v>
      </x:c>
      <x:c r="J163" s="32" t="n">
        <x:v>104</x:v>
      </x:c>
      <x:c r="K163" s="36" t="n">
        <x:v>0.034</x:v>
      </x:c>
      <x:c r="L163" s="36" t="n">
        <x:v>0.029</x:v>
      </x:c>
    </x:row>
    <x:row r="164">
      <x:c r="A164" s="34" t="n">
        <x:v>45481</x:v>
      </x:c>
      <x:c r="B164" s="28" t="str">
        <x:v>Grupo Industrial S.A.</x:v>
      </x:c>
      <x:c r="C164" s="28" t="str">
        <x:v>Planta São Paulo</x:v>
      </x:c>
      <x:c r="D164" s="28" t="str">
        <x:v>Linha 1 - Corte</x:v>
      </x:c>
      <x:c r="E164" s="28" t="str">
        <x:v>SKU-001</x:v>
      </x:c>
      <x:c r="F164" s="28" t="str">
        <x:v>Alimentos</x:v>
      </x:c>
      <x:c r="G164" s="32" t="n">
        <x:v>5973</x:v>
      </x:c>
      <x:c r="H164" s="32" t="n">
        <x:v>5781</x:v>
      </x:c>
      <x:c r="I164" s="32" t="n">
        <x:v>192</x:v>
      </x:c>
      <x:c r="J164" s="32" t="n">
        <x:v>173</x:v>
      </x:c>
      <x:c r="K164" s="36" t="n">
        <x:v>0.0321</x:v>
      </x:c>
      <x:c r="L164" s="36" t="n">
        <x:v>0.029</x:v>
      </x:c>
    </x:row>
    <x:row r="165">
      <x:c r="A165" s="34" t="n">
        <x:v>45481</x:v>
      </x:c>
      <x:c r="B165" s="28" t="str">
        <x:v>Grupo Industrial S.A.</x:v>
      </x:c>
      <x:c r="C165" s="28" t="str">
        <x:v>Planta São Paulo</x:v>
      </x:c>
      <x:c r="D165" s="28" t="str">
        <x:v>Linha 2 - Montagem</x:v>
      </x:c>
      <x:c r="E165" s="28" t="str">
        <x:v>SKU-002</x:v>
      </x:c>
      <x:c r="F165" s="28" t="str">
        <x:v>Alimentos</x:v>
      </x:c>
      <x:c r="G165" s="32" t="n">
        <x:v>4904</x:v>
      </x:c>
      <x:c r="H165" s="32" t="n">
        <x:v>4798</x:v>
      </x:c>
      <x:c r="I165" s="32" t="n">
        <x:v>106</x:v>
      </x:c>
      <x:c r="J165" s="32" t="n">
        <x:v>108</x:v>
      </x:c>
      <x:c r="K165" s="36" t="n">
        <x:v>0.0216</x:v>
      </x:c>
      <x:c r="L165" s="36" t="n">
        <x:v>0.022</x:v>
      </x:c>
    </x:row>
    <x:row r="166">
      <x:c r="A166" s="34" t="n">
        <x:v>45481</x:v>
      </x:c>
      <x:c r="B166" s="28" t="str">
        <x:v>Grupo Industrial S.A.</x:v>
      </x:c>
      <x:c r="C166" s="28" t="str">
        <x:v>Planta Campinas</x:v>
      </x:c>
      <x:c r="D166" s="28" t="str">
        <x:v>Linha 3 - Extrusão</x:v>
      </x:c>
      <x:c r="E166" s="28" t="str">
        <x:v>SKU-078</x:v>
      </x:c>
      <x:c r="F166" s="28" t="str">
        <x:v>Higiene e Limpeza</x:v>
      </x:c>
      <x:c r="G166" s="32" t="n">
        <x:v>3789</x:v>
      </x:c>
      <x:c r="H166" s="32" t="n">
        <x:v>3624</x:v>
      </x:c>
      <x:c r="I166" s="32" t="n">
        <x:v>165</x:v>
      </x:c>
      <x:c r="J166" s="32" t="n">
        <x:v>105</x:v>
      </x:c>
      <x:c r="K166" s="36" t="n">
        <x:v>0.0435</x:v>
      </x:c>
      <x:c r="L166" s="36" t="n">
        <x:v>0.0277</x:v>
      </x:c>
    </x:row>
    <x:row r="167">
      <x:c r="A167" s="34" t="n">
        <x:v>45481</x:v>
      </x:c>
      <x:c r="B167" s="28" t="str">
        <x:v>Grupo Industrial S.A.</x:v>
      </x:c>
      <x:c r="C167" s="28" t="str">
        <x:v>Planta Campinas</x:v>
      </x:c>
      <x:c r="D167" s="28" t="str">
        <x:v>Linha 4 - Embalagem</x:v>
      </x:c>
      <x:c r="E167" s="28" t="str">
        <x:v>SKU-105</x:v>
      </x:c>
      <x:c r="F167" s="28" t="str">
        <x:v>Embalagens</x:v>
      </x:c>
      <x:c r="G167" s="32" t="n">
        <x:v>3434</x:v>
      </x:c>
      <x:c r="H167" s="32" t="n">
        <x:v>3247</x:v>
      </x:c>
      <x:c r="I167" s="32" t="n">
        <x:v>187</x:v>
      </x:c>
      <x:c r="J167" s="32" t="n">
        <x:v>119</x:v>
      </x:c>
      <x:c r="K167" s="36" t="n">
        <x:v>0.0545</x:v>
      </x:c>
      <x:c r="L167" s="36" t="n">
        <x:v>0.0347</x:v>
      </x:c>
    </x:row>
    <x:row r="168">
      <x:c r="A168" s="34" t="n">
        <x:v>45481</x:v>
      </x:c>
      <x:c r="B168" s="28" t="str">
        <x:v>Grupo Industrial S.A.</x:v>
      </x:c>
      <x:c r="C168" s="28" t="str">
        <x:v>Planta Curitiba</x:v>
      </x:c>
      <x:c r="D168" s="28" t="str">
        <x:v>Linha 5 - Usinagem</x:v>
      </x:c>
      <x:c r="E168" s="28" t="str">
        <x:v>SKU-223</x:v>
      </x:c>
      <x:c r="F168" s="28" t="str">
        <x:v>Bebidas</x:v>
      </x:c>
      <x:c r="G168" s="32" t="n">
        <x:v>4120</x:v>
      </x:c>
      <x:c r="H168" s="32" t="n">
        <x:v>3987</x:v>
      </x:c>
      <x:c r="I168" s="32" t="n">
        <x:v>133</x:v>
      </x:c>
      <x:c r="J168" s="32" t="n">
        <x:v>130</x:v>
      </x:c>
      <x:c r="K168" s="36" t="n">
        <x:v>0.0323</x:v>
      </x:c>
      <x:c r="L168" s="36" t="n">
        <x:v>0.0316</x:v>
      </x:c>
    </x:row>
    <x:row r="169">
      <x:c r="A169" s="34" t="n">
        <x:v>45481</x:v>
      </x:c>
      <x:c r="B169" s="28" t="str">
        <x:v>Grupo Industrial S.A.</x:v>
      </x:c>
      <x:c r="C169" s="28" t="str">
        <x:v>Planta Curitiba</x:v>
      </x:c>
      <x:c r="D169" s="28" t="str">
        <x:v>Linha 6 - Finalização</x:v>
      </x:c>
      <x:c r="E169" s="28" t="str">
        <x:v>SKU-432</x:v>
      </x:c>
      <x:c r="F169" s="28" t="str">
        <x:v>Alimentos</x:v>
      </x:c>
      <x:c r="G169" s="32" t="n">
        <x:v>3703</x:v>
      </x:c>
      <x:c r="H169" s="32" t="n">
        <x:v>3583</x:v>
      </x:c>
      <x:c r="I169" s="32" t="n">
        <x:v>120</x:v>
      </x:c>
      <x:c r="J169" s="32" t="n">
        <x:v>109</x:v>
      </x:c>
      <x:c r="K169" s="36" t="n">
        <x:v>0.0324</x:v>
      </x:c>
      <x:c r="L169" s="36" t="n">
        <x:v>0.0294</x:v>
      </x:c>
    </x:row>
    <x:row r="170">
      <x:c r="A170" s="34" t="n">
        <x:v>45488</x:v>
      </x:c>
      <x:c r="B170" s="28" t="str">
        <x:v>Grupo Industrial S.A.</x:v>
      </x:c>
      <x:c r="C170" s="28" t="str">
        <x:v>Planta São Paulo</x:v>
      </x:c>
      <x:c r="D170" s="28" t="str">
        <x:v>Linha 1 - Corte</x:v>
      </x:c>
      <x:c r="E170" s="28" t="str">
        <x:v>SKU-001</x:v>
      </x:c>
      <x:c r="F170" s="28" t="str">
        <x:v>Alimentos</x:v>
      </x:c>
      <x:c r="G170" s="32" t="n">
        <x:v>5959</x:v>
      </x:c>
      <x:c r="H170" s="32" t="n">
        <x:v>5837</x:v>
      </x:c>
      <x:c r="I170" s="32" t="n">
        <x:v>122</x:v>
      </x:c>
      <x:c r="J170" s="32" t="n">
        <x:v>193</x:v>
      </x:c>
      <x:c r="K170" s="36" t="n">
        <x:v>0.0205</x:v>
      </x:c>
      <x:c r="L170" s="36" t="n">
        <x:v>0.0324</x:v>
      </x:c>
    </x:row>
    <x:row r="171">
      <x:c r="A171" s="34" t="n">
        <x:v>45488</x:v>
      </x:c>
      <x:c r="B171" s="28" t="str">
        <x:v>Grupo Industrial S.A.</x:v>
      </x:c>
      <x:c r="C171" s="28" t="str">
        <x:v>Planta São Paulo</x:v>
      </x:c>
      <x:c r="D171" s="28" t="str">
        <x:v>Linha 2 - Montagem</x:v>
      </x:c>
      <x:c r="E171" s="28" t="str">
        <x:v>SKU-002</x:v>
      </x:c>
      <x:c r="F171" s="28" t="str">
        <x:v>Alimentos</x:v>
      </x:c>
      <x:c r="G171" s="32" t="n">
        <x:v>4971</x:v>
      </x:c>
      <x:c r="H171" s="32" t="n">
        <x:v>4839</x:v>
      </x:c>
      <x:c r="I171" s="32" t="n">
        <x:v>132</x:v>
      </x:c>
      <x:c r="J171" s="32" t="n">
        <x:v>127</x:v>
      </x:c>
      <x:c r="K171" s="36" t="n">
        <x:v>0.0266</x:v>
      </x:c>
      <x:c r="L171" s="36" t="n">
        <x:v>0.0255</x:v>
      </x:c>
    </x:row>
    <x:row r="172">
      <x:c r="A172" s="34" t="n">
        <x:v>45488</x:v>
      </x:c>
      <x:c r="B172" s="28" t="str">
        <x:v>Grupo Industrial S.A.</x:v>
      </x:c>
      <x:c r="C172" s="28" t="str">
        <x:v>Planta Campinas</x:v>
      </x:c>
      <x:c r="D172" s="28" t="str">
        <x:v>Linha 3 - Extrusão</x:v>
      </x:c>
      <x:c r="E172" s="28" t="str">
        <x:v>SKU-078</x:v>
      </x:c>
      <x:c r="F172" s="28" t="str">
        <x:v>Higiene e Limpeza</x:v>
      </x:c>
      <x:c r="G172" s="32" t="n">
        <x:v>3798</x:v>
      </x:c>
      <x:c r="H172" s="32" t="n">
        <x:v>3624</x:v>
      </x:c>
      <x:c r="I172" s="32" t="n">
        <x:v>174</x:v>
      </x:c>
      <x:c r="J172" s="32" t="n">
        <x:v>130</x:v>
      </x:c>
      <x:c r="K172" s="36" t="n">
        <x:v>0.0458</x:v>
      </x:c>
      <x:c r="L172" s="36" t="n">
        <x:v>0.0342</x:v>
      </x:c>
    </x:row>
    <x:row r="173">
      <x:c r="A173" s="34" t="n">
        <x:v>45488</x:v>
      </x:c>
      <x:c r="B173" s="28" t="str">
        <x:v>Grupo Industrial S.A.</x:v>
      </x:c>
      <x:c r="C173" s="28" t="str">
        <x:v>Planta Campinas</x:v>
      </x:c>
      <x:c r="D173" s="28" t="str">
        <x:v>Linha 4 - Embalagem</x:v>
      </x:c>
      <x:c r="E173" s="28" t="str">
        <x:v>SKU-105</x:v>
      </x:c>
      <x:c r="F173" s="28" t="str">
        <x:v>Embalagens</x:v>
      </x:c>
      <x:c r="G173" s="32" t="n">
        <x:v>3458</x:v>
      </x:c>
      <x:c r="H173" s="32" t="n">
        <x:v>3314</x:v>
      </x:c>
      <x:c r="I173" s="32" t="n">
        <x:v>144</x:v>
      </x:c>
      <x:c r="J173" s="32" t="n">
        <x:v>94</x:v>
      </x:c>
      <x:c r="K173" s="36" t="n">
        <x:v>0.0416</x:v>
      </x:c>
      <x:c r="L173" s="36" t="n">
        <x:v>0.0272</x:v>
      </x:c>
    </x:row>
    <x:row r="174">
      <x:c r="A174" s="34" t="n">
        <x:v>45488</x:v>
      </x:c>
      <x:c r="B174" s="28" t="str">
        <x:v>Grupo Industrial S.A.</x:v>
      </x:c>
      <x:c r="C174" s="28" t="str">
        <x:v>Planta Curitiba</x:v>
      </x:c>
      <x:c r="D174" s="28" t="str">
        <x:v>Linha 5 - Usinagem</x:v>
      </x:c>
      <x:c r="E174" s="28" t="str">
        <x:v>SKU-223</x:v>
      </x:c>
      <x:c r="F174" s="28" t="str">
        <x:v>Bebidas</x:v>
      </x:c>
      <x:c r="G174" s="32" t="n">
        <x:v>4131</x:v>
      </x:c>
      <x:c r="H174" s="32" t="n">
        <x:v>3991</x:v>
      </x:c>
      <x:c r="I174" s="32" t="n">
        <x:v>140</x:v>
      </x:c>
      <x:c r="J174" s="32" t="n">
        <x:v>126</x:v>
      </x:c>
      <x:c r="K174" s="36" t="n">
        <x:v>0.0339</x:v>
      </x:c>
      <x:c r="L174" s="36" t="n">
        <x:v>0.0305</x:v>
      </x:c>
    </x:row>
    <x:row r="175">
      <x:c r="A175" s="34" t="n">
        <x:v>45488</x:v>
      </x:c>
      <x:c r="B175" s="28" t="str">
        <x:v>Grupo Industrial S.A.</x:v>
      </x:c>
      <x:c r="C175" s="28" t="str">
        <x:v>Planta Curitiba</x:v>
      </x:c>
      <x:c r="D175" s="28" t="str">
        <x:v>Linha 6 - Finalização</x:v>
      </x:c>
      <x:c r="E175" s="28" t="str">
        <x:v>SKU-432</x:v>
      </x:c>
      <x:c r="F175" s="28" t="str">
        <x:v>Alimentos</x:v>
      </x:c>
      <x:c r="G175" s="32" t="n">
        <x:v>3571</x:v>
      </x:c>
      <x:c r="H175" s="32" t="n">
        <x:v>3468</x:v>
      </x:c>
      <x:c r="I175" s="32" t="n">
        <x:v>103</x:v>
      </x:c>
      <x:c r="J175" s="32" t="n">
        <x:v>77</x:v>
      </x:c>
      <x:c r="K175" s="36" t="n">
        <x:v>0.0288</x:v>
      </x:c>
      <x:c r="L175" s="36" t="n">
        <x:v>0.0216</x:v>
      </x:c>
    </x:row>
    <x:row r="176">
      <x:c r="A176" s="34" t="n">
        <x:v>45495</x:v>
      </x:c>
      <x:c r="B176" s="28" t="str">
        <x:v>Grupo Industrial S.A.</x:v>
      </x:c>
      <x:c r="C176" s="28" t="str">
        <x:v>Planta São Paulo</x:v>
      </x:c>
      <x:c r="D176" s="28" t="str">
        <x:v>Linha 1 - Corte</x:v>
      </x:c>
      <x:c r="E176" s="28" t="str">
        <x:v>SKU-001</x:v>
      </x:c>
      <x:c r="F176" s="28" t="str">
        <x:v>Alimentos</x:v>
      </x:c>
      <x:c r="G176" s="32" t="n">
        <x:v>5379</x:v>
      </x:c>
      <x:c r="H176" s="32" t="n">
        <x:v>5227</x:v>
      </x:c>
      <x:c r="I176" s="32" t="n">
        <x:v>152</x:v>
      </x:c>
      <x:c r="J176" s="32" t="n">
        <x:v>124</x:v>
      </x:c>
      <x:c r="K176" s="36" t="n">
        <x:v>0.0283</x:v>
      </x:c>
      <x:c r="L176" s="36" t="n">
        <x:v>0.0231</x:v>
      </x:c>
    </x:row>
    <x:row r="177">
      <x:c r="A177" s="34" t="n">
        <x:v>45495</x:v>
      </x:c>
      <x:c r="B177" s="28" t="str">
        <x:v>Grupo Industrial S.A.</x:v>
      </x:c>
      <x:c r="C177" s="28" t="str">
        <x:v>Planta São Paulo</x:v>
      </x:c>
      <x:c r="D177" s="28" t="str">
        <x:v>Linha 2 - Montagem</x:v>
      </x:c>
      <x:c r="E177" s="28" t="str">
        <x:v>SKU-002</x:v>
      </x:c>
      <x:c r="F177" s="28" t="str">
        <x:v>Alimentos</x:v>
      </x:c>
      <x:c r="G177" s="32" t="n">
        <x:v>4902</x:v>
      </x:c>
      <x:c r="H177" s="32" t="n">
        <x:v>4775</x:v>
      </x:c>
      <x:c r="I177" s="32" t="n">
        <x:v>127</x:v>
      </x:c>
      <x:c r="J177" s="32" t="n">
        <x:v>156</x:v>
      </x:c>
      <x:c r="K177" s="36" t="n">
        <x:v>0.0259</x:v>
      </x:c>
      <x:c r="L177" s="36" t="n">
        <x:v>0.0318</x:v>
      </x:c>
    </x:row>
    <x:row r="178">
      <x:c r="A178" s="34" t="n">
        <x:v>45495</x:v>
      </x:c>
      <x:c r="B178" s="28" t="str">
        <x:v>Grupo Industrial S.A.</x:v>
      </x:c>
      <x:c r="C178" s="28" t="str">
        <x:v>Planta Campinas</x:v>
      </x:c>
      <x:c r="D178" s="28" t="str">
        <x:v>Linha 3 - Extrusão</x:v>
      </x:c>
      <x:c r="E178" s="28" t="str">
        <x:v>SKU-078</x:v>
      </x:c>
      <x:c r="F178" s="28" t="str">
        <x:v>Higiene e Limpeza</x:v>
      </x:c>
      <x:c r="G178" s="32" t="n">
        <x:v>4138</x:v>
      </x:c>
      <x:c r="H178" s="32" t="n">
        <x:v>3949</x:v>
      </x:c>
      <x:c r="I178" s="32" t="n">
        <x:v>189</x:v>
      </x:c>
      <x:c r="J178" s="32" t="n">
        <x:v>121</x:v>
      </x:c>
      <x:c r="K178" s="36" t="n">
        <x:v>0.0457</x:v>
      </x:c>
      <x:c r="L178" s="36" t="n">
        <x:v>0.0292</x:v>
      </x:c>
    </x:row>
    <x:row r="179">
      <x:c r="A179" s="34" t="n">
        <x:v>45495</x:v>
      </x:c>
      <x:c r="B179" s="28" t="str">
        <x:v>Grupo Industrial S.A.</x:v>
      </x:c>
      <x:c r="C179" s="28" t="str">
        <x:v>Planta Campinas</x:v>
      </x:c>
      <x:c r="D179" s="28" t="str">
        <x:v>Linha 4 - Embalagem</x:v>
      </x:c>
      <x:c r="E179" s="28" t="str">
        <x:v>SKU-105</x:v>
      </x:c>
      <x:c r="F179" s="28" t="str">
        <x:v>Embalagens</x:v>
      </x:c>
      <x:c r="G179" s="32" t="n">
        <x:v>3549</x:v>
      </x:c>
      <x:c r="H179" s="32" t="n">
        <x:v>3393</x:v>
      </x:c>
      <x:c r="I179" s="32" t="n">
        <x:v>156</x:v>
      </x:c>
      <x:c r="J179" s="32" t="n">
        <x:v>115</x:v>
      </x:c>
      <x:c r="K179" s="36" t="n">
        <x:v>0.044</x:v>
      </x:c>
      <x:c r="L179" s="36" t="n">
        <x:v>0.0324</x:v>
      </x:c>
    </x:row>
    <x:row r="180">
      <x:c r="A180" s="34" t="n">
        <x:v>45495</x:v>
      </x:c>
      <x:c r="B180" s="28" t="str">
        <x:v>Grupo Industrial S.A.</x:v>
      </x:c>
      <x:c r="C180" s="28" t="str">
        <x:v>Planta Curitiba</x:v>
      </x:c>
      <x:c r="D180" s="28" t="str">
        <x:v>Linha 5 - Usinagem</x:v>
      </x:c>
      <x:c r="E180" s="28" t="str">
        <x:v>SKU-223</x:v>
      </x:c>
      <x:c r="F180" s="28" t="str">
        <x:v>Bebidas</x:v>
      </x:c>
      <x:c r="G180" s="32" t="n">
        <x:v>4182</x:v>
      </x:c>
      <x:c r="H180" s="32" t="n">
        <x:v>4062</x:v>
      </x:c>
      <x:c r="I180" s="32" t="n">
        <x:v>120</x:v>
      </x:c>
      <x:c r="J180" s="32" t="n">
        <x:v>136</x:v>
      </x:c>
      <x:c r="K180" s="36" t="n">
        <x:v>0.0287</x:v>
      </x:c>
      <x:c r="L180" s="36" t="n">
        <x:v>0.0325</x:v>
      </x:c>
    </x:row>
    <x:row r="181">
      <x:c r="A181" s="34" t="n">
        <x:v>45495</x:v>
      </x:c>
      <x:c r="B181" s="28" t="str">
        <x:v>Grupo Industrial S.A.</x:v>
      </x:c>
      <x:c r="C181" s="28" t="str">
        <x:v>Planta Curitiba</x:v>
      </x:c>
      <x:c r="D181" s="28" t="str">
        <x:v>Linha 6 - Finalização</x:v>
      </x:c>
      <x:c r="E181" s="28" t="str">
        <x:v>SKU-432</x:v>
      </x:c>
      <x:c r="F181" s="28" t="str">
        <x:v>Alimentos</x:v>
      </x:c>
      <x:c r="G181" s="32" t="n">
        <x:v>3427</x:v>
      </x:c>
      <x:c r="H181" s="32" t="n">
        <x:v>3342</x:v>
      </x:c>
      <x:c r="I181" s="32" t="n">
        <x:v>85</x:v>
      </x:c>
      <x:c r="J181" s="32" t="n">
        <x:v>79</x:v>
      </x:c>
      <x:c r="K181" s="36" t="n">
        <x:v>0.0248</x:v>
      </x:c>
      <x:c r="L181" s="36" t="n">
        <x:v>0.0231</x:v>
      </x:c>
    </x:row>
    <x:row r="182">
      <x:c r="A182" s="34" t="n">
        <x:v>45502</x:v>
      </x:c>
      <x:c r="B182" s="28" t="str">
        <x:v>Grupo Industrial S.A.</x:v>
      </x:c>
      <x:c r="C182" s="28" t="str">
        <x:v>Planta São Paulo</x:v>
      </x:c>
      <x:c r="D182" s="28" t="str">
        <x:v>Linha 1 - Corte</x:v>
      </x:c>
      <x:c r="E182" s="28" t="str">
        <x:v>SKU-001</x:v>
      </x:c>
      <x:c r="F182" s="28" t="str">
        <x:v>Alimentos</x:v>
      </x:c>
      <x:c r="G182" s="32" t="n">
        <x:v>5528</x:v>
      </x:c>
      <x:c r="H182" s="32" t="n">
        <x:v>5354</x:v>
      </x:c>
      <x:c r="I182" s="32" t="n">
        <x:v>174</x:v>
      </x:c>
      <x:c r="J182" s="32" t="n">
        <x:v>157</x:v>
      </x:c>
      <x:c r="K182" s="36" t="n">
        <x:v>0.0315</x:v>
      </x:c>
      <x:c r="L182" s="36" t="n">
        <x:v>0.0284</x:v>
      </x:c>
    </x:row>
    <x:row r="183">
      <x:c r="A183" s="34" t="n">
        <x:v>45502</x:v>
      </x:c>
      <x:c r="B183" s="28" t="str">
        <x:v>Grupo Industrial S.A.</x:v>
      </x:c>
      <x:c r="C183" s="28" t="str">
        <x:v>Planta São Paulo</x:v>
      </x:c>
      <x:c r="D183" s="28" t="str">
        <x:v>Linha 2 - Montagem</x:v>
      </x:c>
      <x:c r="E183" s="28" t="str">
        <x:v>SKU-002</x:v>
      </x:c>
      <x:c r="F183" s="28" t="str">
        <x:v>Alimentos</x:v>
      </x:c>
      <x:c r="G183" s="32" t="n">
        <x:v>5130</x:v>
      </x:c>
      <x:c r="H183" s="32" t="n">
        <x:v>4983</x:v>
      </x:c>
      <x:c r="I183" s="32" t="n">
        <x:v>147</x:v>
      </x:c>
      <x:c r="J183" s="32" t="n">
        <x:v>145</x:v>
      </x:c>
      <x:c r="K183" s="36" t="n">
        <x:v>0.0287</x:v>
      </x:c>
      <x:c r="L183" s="36" t="n">
        <x:v>0.0283</x:v>
      </x:c>
    </x:row>
    <x:row r="184">
      <x:c r="A184" s="34" t="n">
        <x:v>45502</x:v>
      </x:c>
      <x:c r="B184" s="28" t="str">
        <x:v>Grupo Industrial S.A.</x:v>
      </x:c>
      <x:c r="C184" s="28" t="str">
        <x:v>Planta Campinas</x:v>
      </x:c>
      <x:c r="D184" s="28" t="str">
        <x:v>Linha 3 - Extrusão</x:v>
      </x:c>
      <x:c r="E184" s="28" t="str">
        <x:v>SKU-078</x:v>
      </x:c>
      <x:c r="F184" s="28" t="str">
        <x:v>Higiene e Limpeza</x:v>
      </x:c>
      <x:c r="G184" s="32" t="n">
        <x:v>3806</x:v>
      </x:c>
      <x:c r="H184" s="32" t="n">
        <x:v>3602</x:v>
      </x:c>
      <x:c r="I184" s="32" t="n">
        <x:v>204</x:v>
      </x:c>
      <x:c r="J184" s="32" t="n">
        <x:v>130</x:v>
      </x:c>
      <x:c r="K184" s="36" t="n">
        <x:v>0.0536</x:v>
      </x:c>
      <x:c r="L184" s="36" t="n">
        <x:v>0.0342</x:v>
      </x:c>
    </x:row>
    <x:row r="185">
      <x:c r="A185" s="34" t="n">
        <x:v>45502</x:v>
      </x:c>
      <x:c r="B185" s="28" t="str">
        <x:v>Grupo Industrial S.A.</x:v>
      </x:c>
      <x:c r="C185" s="28" t="str">
        <x:v>Planta Campinas</x:v>
      </x:c>
      <x:c r="D185" s="28" t="str">
        <x:v>Linha 4 - Embalagem</x:v>
      </x:c>
      <x:c r="E185" s="28" t="str">
        <x:v>SKU-105</x:v>
      </x:c>
      <x:c r="F185" s="28" t="str">
        <x:v>Embalagens</x:v>
      </x:c>
      <x:c r="G185" s="32" t="n">
        <x:v>3374</x:v>
      </x:c>
      <x:c r="H185" s="32" t="n">
        <x:v>3217</x:v>
      </x:c>
      <x:c r="I185" s="32" t="n">
        <x:v>157</x:v>
      </x:c>
      <x:c r="J185" s="32" t="n">
        <x:v>117</x:v>
      </x:c>
      <x:c r="K185" s="36" t="n">
        <x:v>0.0465</x:v>
      </x:c>
      <x:c r="L185" s="36" t="n">
        <x:v>0.0347</x:v>
      </x:c>
    </x:row>
    <x:row r="186">
      <x:c r="A186" s="34" t="n">
        <x:v>45502</x:v>
      </x:c>
      <x:c r="B186" s="28" t="str">
        <x:v>Grupo Industrial S.A.</x:v>
      </x:c>
      <x:c r="C186" s="28" t="str">
        <x:v>Planta Curitiba</x:v>
      </x:c>
      <x:c r="D186" s="28" t="str">
        <x:v>Linha 5 - Usinagem</x:v>
      </x:c>
      <x:c r="E186" s="28" t="str">
        <x:v>SKU-223</x:v>
      </x:c>
      <x:c r="F186" s="28" t="str">
        <x:v>Bebidas</x:v>
      </x:c>
      <x:c r="G186" s="32" t="n">
        <x:v>4082</x:v>
      </x:c>
      <x:c r="H186" s="32" t="n">
        <x:v>3967</x:v>
      </x:c>
      <x:c r="I186" s="32" t="n">
        <x:v>115</x:v>
      </x:c>
      <x:c r="J186" s="32" t="n">
        <x:v>91</x:v>
      </x:c>
      <x:c r="K186" s="36" t="n">
        <x:v>0.0282</x:v>
      </x:c>
      <x:c r="L186" s="36" t="n">
        <x:v>0.0223</x:v>
      </x:c>
    </x:row>
    <x:row r="187">
      <x:c r="A187" s="34" t="n">
        <x:v>45502</x:v>
      </x:c>
      <x:c r="B187" s="28" t="str">
        <x:v>Grupo Industrial S.A.</x:v>
      </x:c>
      <x:c r="C187" s="28" t="str">
        <x:v>Planta Curitiba</x:v>
      </x:c>
      <x:c r="D187" s="28" t="str">
        <x:v>Linha 6 - Finalização</x:v>
      </x:c>
      <x:c r="E187" s="28" t="str">
        <x:v>SKU-432</x:v>
      </x:c>
      <x:c r="F187" s="28" t="str">
        <x:v>Alimentos</x:v>
      </x:c>
      <x:c r="G187" s="32" t="n">
        <x:v>3657</x:v>
      </x:c>
      <x:c r="H187" s="32" t="n">
        <x:v>3563</x:v>
      </x:c>
      <x:c r="I187" s="32" t="n">
        <x:v>94</x:v>
      </x:c>
      <x:c r="J187" s="32" t="n">
        <x:v>97</x:v>
      </x:c>
      <x:c r="K187" s="36" t="n">
        <x:v>0.0257</x:v>
      </x:c>
      <x:c r="L187" s="36" t="n">
        <x:v>0.0265</x:v>
      </x:c>
    </x:row>
    <x:row r="188">
      <x:c r="A188" s="34" t="n">
        <x:v>45509</x:v>
      </x:c>
      <x:c r="B188" s="28" t="str">
        <x:v>Grupo Industrial S.A.</x:v>
      </x:c>
      <x:c r="C188" s="28" t="str">
        <x:v>Planta São Paulo</x:v>
      </x:c>
      <x:c r="D188" s="28" t="str">
        <x:v>Linha 1 - Corte</x:v>
      </x:c>
      <x:c r="E188" s="28" t="str">
        <x:v>SKU-001</x:v>
      </x:c>
      <x:c r="F188" s="28" t="str">
        <x:v>Alimentos</x:v>
      </x:c>
      <x:c r="G188" s="32" t="n">
        <x:v>5797</x:v>
      </x:c>
      <x:c r="H188" s="32" t="n">
        <x:v>5612</x:v>
      </x:c>
      <x:c r="I188" s="32" t="n">
        <x:v>185</x:v>
      </x:c>
      <x:c r="J188" s="32" t="n">
        <x:v>172</x:v>
      </x:c>
      <x:c r="K188" s="36" t="n">
        <x:v>0.0319</x:v>
      </x:c>
      <x:c r="L188" s="36" t="n">
        <x:v>0.0297</x:v>
      </x:c>
    </x:row>
    <x:row r="189">
      <x:c r="A189" s="34" t="n">
        <x:v>45509</x:v>
      </x:c>
      <x:c r="B189" s="28" t="str">
        <x:v>Grupo Industrial S.A.</x:v>
      </x:c>
      <x:c r="C189" s="28" t="str">
        <x:v>Planta São Paulo</x:v>
      </x:c>
      <x:c r="D189" s="28" t="str">
        <x:v>Linha 2 - Montagem</x:v>
      </x:c>
      <x:c r="E189" s="28" t="str">
        <x:v>SKU-002</x:v>
      </x:c>
      <x:c r="F189" s="28" t="str">
        <x:v>Alimentos</x:v>
      </x:c>
      <x:c r="G189" s="32" t="n">
        <x:v>5165</x:v>
      </x:c>
      <x:c r="H189" s="32" t="n">
        <x:v>4982</x:v>
      </x:c>
      <x:c r="I189" s="32" t="n">
        <x:v>183</x:v>
      </x:c>
      <x:c r="J189" s="32" t="n">
        <x:v>115</x:v>
      </x:c>
      <x:c r="K189" s="36" t="n">
        <x:v>0.0354</x:v>
      </x:c>
      <x:c r="L189" s="36" t="n">
        <x:v>0.0223</x:v>
      </x:c>
    </x:row>
    <x:row r="190">
      <x:c r="A190" s="34" t="n">
        <x:v>45509</x:v>
      </x:c>
      <x:c r="B190" s="28" t="str">
        <x:v>Grupo Industrial S.A.</x:v>
      </x:c>
      <x:c r="C190" s="28" t="str">
        <x:v>Planta Campinas</x:v>
      </x:c>
      <x:c r="D190" s="28" t="str">
        <x:v>Linha 3 - Extrusão</x:v>
      </x:c>
      <x:c r="E190" s="28" t="str">
        <x:v>SKU-078</x:v>
      </x:c>
      <x:c r="F190" s="28" t="str">
        <x:v>Higiene e Limpeza</x:v>
      </x:c>
      <x:c r="G190" s="32" t="n">
        <x:v>4094</x:v>
      </x:c>
      <x:c r="H190" s="32" t="n">
        <x:v>3914</x:v>
      </x:c>
      <x:c r="I190" s="32" t="n">
        <x:v>180</x:v>
      </x:c>
      <x:c r="J190" s="32" t="n">
        <x:v>159</x:v>
      </x:c>
      <x:c r="K190" s="36" t="n">
        <x:v>0.044</x:v>
      </x:c>
      <x:c r="L190" s="36" t="n">
        <x:v>0.0388</x:v>
      </x:c>
    </x:row>
    <x:row r="191">
      <x:c r="A191" s="34" t="n">
        <x:v>45509</x:v>
      </x:c>
      <x:c r="B191" s="28" t="str">
        <x:v>Grupo Industrial S.A.</x:v>
      </x:c>
      <x:c r="C191" s="28" t="str">
        <x:v>Planta Campinas</x:v>
      </x:c>
      <x:c r="D191" s="28" t="str">
        <x:v>Linha 4 - Embalagem</x:v>
      </x:c>
      <x:c r="E191" s="28" t="str">
        <x:v>SKU-105</x:v>
      </x:c>
      <x:c r="F191" s="28" t="str">
        <x:v>Embalagens</x:v>
      </x:c>
      <x:c r="G191" s="32" t="n">
        <x:v>3460</x:v>
      </x:c>
      <x:c r="H191" s="32" t="n">
        <x:v>3314</x:v>
      </x:c>
      <x:c r="I191" s="32" t="n">
        <x:v>146</x:v>
      </x:c>
      <x:c r="J191" s="32" t="n">
        <x:v>127</x:v>
      </x:c>
      <x:c r="K191" s="36" t="n">
        <x:v>0.0422</x:v>
      </x:c>
      <x:c r="L191" s="36" t="n">
        <x:v>0.0367</x:v>
      </x:c>
    </x:row>
    <x:row r="192">
      <x:c r="A192" s="34" t="n">
        <x:v>45509</x:v>
      </x:c>
      <x:c r="B192" s="28" t="str">
        <x:v>Grupo Industrial S.A.</x:v>
      </x:c>
      <x:c r="C192" s="28" t="str">
        <x:v>Planta Curitiba</x:v>
      </x:c>
      <x:c r="D192" s="28" t="str">
        <x:v>Linha 5 - Usinagem</x:v>
      </x:c>
      <x:c r="E192" s="28" t="str">
        <x:v>SKU-223</x:v>
      </x:c>
      <x:c r="F192" s="28" t="str">
        <x:v>Bebidas</x:v>
      </x:c>
      <x:c r="G192" s="32" t="n">
        <x:v>4442</x:v>
      </x:c>
      <x:c r="H192" s="32" t="n">
        <x:v>4261</x:v>
      </x:c>
      <x:c r="I192" s="32" t="n">
        <x:v>181</x:v>
      </x:c>
      <x:c r="J192" s="32" t="n">
        <x:v>144</x:v>
      </x:c>
      <x:c r="K192" s="36" t="n">
        <x:v>0.0407</x:v>
      </x:c>
      <x:c r="L192" s="36" t="n">
        <x:v>0.0324</x:v>
      </x:c>
    </x:row>
    <x:row r="193">
      <x:c r="A193" s="34" t="n">
        <x:v>45509</x:v>
      </x:c>
      <x:c r="B193" s="28" t="str">
        <x:v>Grupo Industrial S.A.</x:v>
      </x:c>
      <x:c r="C193" s="28" t="str">
        <x:v>Planta Curitiba</x:v>
      </x:c>
      <x:c r="D193" s="28" t="str">
        <x:v>Linha 6 - Finalização</x:v>
      </x:c>
      <x:c r="E193" s="28" t="str">
        <x:v>SKU-432</x:v>
      </x:c>
      <x:c r="F193" s="28" t="str">
        <x:v>Alimentos</x:v>
      </x:c>
      <x:c r="G193" s="32" t="n">
        <x:v>3844</x:v>
      </x:c>
      <x:c r="H193" s="32" t="n">
        <x:v>3751</x:v>
      </x:c>
      <x:c r="I193" s="32" t="n">
        <x:v>93</x:v>
      </x:c>
      <x:c r="J193" s="32" t="n">
        <x:v>91</x:v>
      </x:c>
      <x:c r="K193" s="36" t="n">
        <x:v>0.0242</x:v>
      </x:c>
      <x:c r="L193" s="36" t="n">
        <x:v>0.0237</x:v>
      </x:c>
    </x:row>
    <x:row r="194">
      <x:c r="A194" s="34" t="n">
        <x:v>45516</x:v>
      </x:c>
      <x:c r="B194" s="28" t="str">
        <x:v>Grupo Industrial S.A.</x:v>
      </x:c>
      <x:c r="C194" s="28" t="str">
        <x:v>Planta São Paulo</x:v>
      </x:c>
      <x:c r="D194" s="28" t="str">
        <x:v>Linha 1 - Corte</x:v>
      </x:c>
      <x:c r="E194" s="28" t="str">
        <x:v>SKU-001</x:v>
      </x:c>
      <x:c r="F194" s="28" t="str">
        <x:v>Alimentos</x:v>
      </x:c>
      <x:c r="G194" s="32" t="n">
        <x:v>5826</x:v>
      </x:c>
      <x:c r="H194" s="32" t="n">
        <x:v>5659</x:v>
      </x:c>
      <x:c r="I194" s="32" t="n">
        <x:v>167</x:v>
      </x:c>
      <x:c r="J194" s="32" t="n">
        <x:v>190</x:v>
      </x:c>
      <x:c r="K194" s="36" t="n">
        <x:v>0.0287</x:v>
      </x:c>
      <x:c r="L194" s="36" t="n">
        <x:v>0.0326</x:v>
      </x:c>
    </x:row>
    <x:row r="195">
      <x:c r="A195" s="34" t="n">
        <x:v>45516</x:v>
      </x:c>
      <x:c r="B195" s="28" t="str">
        <x:v>Grupo Industrial S.A.</x:v>
      </x:c>
      <x:c r="C195" s="28" t="str">
        <x:v>Planta São Paulo</x:v>
      </x:c>
      <x:c r="D195" s="28" t="str">
        <x:v>Linha 2 - Montagem</x:v>
      </x:c>
      <x:c r="E195" s="28" t="str">
        <x:v>SKU-002</x:v>
      </x:c>
      <x:c r="F195" s="28" t="str">
        <x:v>Alimentos</x:v>
      </x:c>
      <x:c r="G195" s="32" t="n">
        <x:v>5126</x:v>
      </x:c>
      <x:c r="H195" s="32" t="n">
        <x:v>5032</x:v>
      </x:c>
      <x:c r="I195" s="32" t="n">
        <x:v>94</x:v>
      </x:c>
      <x:c r="J195" s="32" t="n">
        <x:v>119</x:v>
      </x:c>
      <x:c r="K195" s="36" t="n">
        <x:v>0.0183</x:v>
      </x:c>
      <x:c r="L195" s="36" t="n">
        <x:v>0.0232</x:v>
      </x:c>
    </x:row>
    <x:row r="196">
      <x:c r="A196" s="34" t="n">
        <x:v>45516</x:v>
      </x:c>
      <x:c r="B196" s="28" t="str">
        <x:v>Grupo Industrial S.A.</x:v>
      </x:c>
      <x:c r="C196" s="28" t="str">
        <x:v>Planta Campinas</x:v>
      </x:c>
      <x:c r="D196" s="28" t="str">
        <x:v>Linha 3 - Extrusão</x:v>
      </x:c>
      <x:c r="E196" s="28" t="str">
        <x:v>SKU-078</x:v>
      </x:c>
      <x:c r="F196" s="28" t="str">
        <x:v>Higiene e Limpeza</x:v>
      </x:c>
      <x:c r="G196" s="32" t="n">
        <x:v>3960</x:v>
      </x:c>
      <x:c r="H196" s="32" t="n">
        <x:v>3761</x:v>
      </x:c>
      <x:c r="I196" s="32" t="n">
        <x:v>199</x:v>
      </x:c>
      <x:c r="J196" s="32" t="n">
        <x:v>144</x:v>
      </x:c>
      <x:c r="K196" s="36" t="n">
        <x:v>0.0503</x:v>
      </x:c>
      <x:c r="L196" s="36" t="n">
        <x:v>0.0364</x:v>
      </x:c>
    </x:row>
    <x:row r="197">
      <x:c r="A197" s="34" t="n">
        <x:v>45516</x:v>
      </x:c>
      <x:c r="B197" s="28" t="str">
        <x:v>Grupo Industrial S.A.</x:v>
      </x:c>
      <x:c r="C197" s="28" t="str">
        <x:v>Planta Campinas</x:v>
      </x:c>
      <x:c r="D197" s="28" t="str">
        <x:v>Linha 4 - Embalagem</x:v>
      </x:c>
      <x:c r="E197" s="28" t="str">
        <x:v>SKU-105</x:v>
      </x:c>
      <x:c r="F197" s="28" t="str">
        <x:v>Embalagens</x:v>
      </x:c>
      <x:c r="G197" s="32" t="n">
        <x:v>3758</x:v>
      </x:c>
      <x:c r="H197" s="32" t="n">
        <x:v>3592</x:v>
      </x:c>
      <x:c r="I197" s="32" t="n">
        <x:v>166</x:v>
      </x:c>
      <x:c r="J197" s="32" t="n">
        <x:v>132</x:v>
      </x:c>
      <x:c r="K197" s="36" t="n">
        <x:v>0.0442</x:v>
      </x:c>
      <x:c r="L197" s="36" t="n">
        <x:v>0.0351</x:v>
      </x:c>
    </x:row>
    <x:row r="198">
      <x:c r="A198" s="34" t="n">
        <x:v>45516</x:v>
      </x:c>
      <x:c r="B198" s="28" t="str">
        <x:v>Grupo Industrial S.A.</x:v>
      </x:c>
      <x:c r="C198" s="28" t="str">
        <x:v>Planta Curitiba</x:v>
      </x:c>
      <x:c r="D198" s="28" t="str">
        <x:v>Linha 5 - Usinagem</x:v>
      </x:c>
      <x:c r="E198" s="28" t="str">
        <x:v>SKU-223</x:v>
      </x:c>
      <x:c r="F198" s="28" t="str">
        <x:v>Bebidas</x:v>
      </x:c>
      <x:c r="G198" s="32" t="n">
        <x:v>4113</x:v>
      </x:c>
      <x:c r="H198" s="32" t="n">
        <x:v>3961</x:v>
      </x:c>
      <x:c r="I198" s="32" t="n">
        <x:v>152</x:v>
      </x:c>
      <x:c r="J198" s="32" t="n">
        <x:v>113</x:v>
      </x:c>
      <x:c r="K198" s="36" t="n">
        <x:v>0.037</x:v>
      </x:c>
      <x:c r="L198" s="36" t="n">
        <x:v>0.0275</x:v>
      </x:c>
    </x:row>
    <x:row r="199">
      <x:c r="A199" s="34" t="n">
        <x:v>45516</x:v>
      </x:c>
      <x:c r="B199" s="28" t="str">
        <x:v>Grupo Industrial S.A.</x:v>
      </x:c>
      <x:c r="C199" s="28" t="str">
        <x:v>Planta Curitiba</x:v>
      </x:c>
      <x:c r="D199" s="28" t="str">
        <x:v>Linha 6 - Finalização</x:v>
      </x:c>
      <x:c r="E199" s="28" t="str">
        <x:v>SKU-432</x:v>
      </x:c>
      <x:c r="F199" s="28" t="str">
        <x:v>Alimentos</x:v>
      </x:c>
      <x:c r="G199" s="32" t="n">
        <x:v>3734</x:v>
      </x:c>
      <x:c r="H199" s="32" t="n">
        <x:v>3619</x:v>
      </x:c>
      <x:c r="I199" s="32" t="n">
        <x:v>115</x:v>
      </x:c>
      <x:c r="J199" s="32" t="n">
        <x:v>84</x:v>
      </x:c>
      <x:c r="K199" s="36" t="n">
        <x:v>0.0308</x:v>
      </x:c>
      <x:c r="L199" s="36" t="n">
        <x:v>0.0225</x:v>
      </x:c>
    </x:row>
    <x:row r="200">
      <x:c r="A200" s="34" t="n">
        <x:v>45523</x:v>
      </x:c>
      <x:c r="B200" s="28" t="str">
        <x:v>Grupo Industrial S.A.</x:v>
      </x:c>
      <x:c r="C200" s="28" t="str">
        <x:v>Planta São Paulo</x:v>
      </x:c>
      <x:c r="D200" s="28" t="str">
        <x:v>Linha 1 - Corte</x:v>
      </x:c>
      <x:c r="E200" s="28" t="str">
        <x:v>SKU-001</x:v>
      </x:c>
      <x:c r="F200" s="28" t="str">
        <x:v>Alimentos</x:v>
      </x:c>
      <x:c r="G200" s="32" t="n">
        <x:v>5925</x:v>
      </x:c>
      <x:c r="H200" s="32" t="n">
        <x:v>5734</x:v>
      </x:c>
      <x:c r="I200" s="32" t="n">
        <x:v>191</x:v>
      </x:c>
      <x:c r="J200" s="32" t="n">
        <x:v>173</x:v>
      </x:c>
      <x:c r="K200" s="36" t="n">
        <x:v>0.0322</x:v>
      </x:c>
      <x:c r="L200" s="36" t="n">
        <x:v>0.0292</x:v>
      </x:c>
    </x:row>
    <x:row r="201">
      <x:c r="A201" s="34" t="n">
        <x:v>45523</x:v>
      </x:c>
      <x:c r="B201" s="28" t="str">
        <x:v>Grupo Industrial S.A.</x:v>
      </x:c>
      <x:c r="C201" s="28" t="str">
        <x:v>Planta São Paulo</x:v>
      </x:c>
      <x:c r="D201" s="28" t="str">
        <x:v>Linha 2 - Montagem</x:v>
      </x:c>
      <x:c r="E201" s="28" t="str">
        <x:v>SKU-002</x:v>
      </x:c>
      <x:c r="F201" s="28" t="str">
        <x:v>Alimentos</x:v>
      </x:c>
      <x:c r="G201" s="32" t="n">
        <x:v>4980</x:v>
      </x:c>
      <x:c r="H201" s="32" t="n">
        <x:v>4822</x:v>
      </x:c>
      <x:c r="I201" s="32" t="n">
        <x:v>158</x:v>
      </x:c>
      <x:c r="J201" s="32" t="n">
        <x:v>126</x:v>
      </x:c>
      <x:c r="K201" s="36" t="n">
        <x:v>0.0317</x:v>
      </x:c>
      <x:c r="L201" s="36" t="n">
        <x:v>0.0253</x:v>
      </x:c>
    </x:row>
    <x:row r="202">
      <x:c r="A202" s="34" t="n">
        <x:v>45523</x:v>
      </x:c>
      <x:c r="B202" s="28" t="str">
        <x:v>Grupo Industrial S.A.</x:v>
      </x:c>
      <x:c r="C202" s="28" t="str">
        <x:v>Planta Campinas</x:v>
      </x:c>
      <x:c r="D202" s="28" t="str">
        <x:v>Linha 3 - Extrusão</x:v>
      </x:c>
      <x:c r="E202" s="28" t="str">
        <x:v>SKU-078</x:v>
      </x:c>
      <x:c r="F202" s="28" t="str">
        <x:v>Higiene e Limpeza</x:v>
      </x:c>
      <x:c r="G202" s="32" t="n">
        <x:v>4095</x:v>
      </x:c>
      <x:c r="H202" s="32" t="n">
        <x:v>3942</x:v>
      </x:c>
      <x:c r="I202" s="32" t="n">
        <x:v>153</x:v>
      </x:c>
      <x:c r="J202" s="32" t="n">
        <x:v>117</x:v>
      </x:c>
      <x:c r="K202" s="36" t="n">
        <x:v>0.0374</x:v>
      </x:c>
      <x:c r="L202" s="36" t="n">
        <x:v>0.0286</x:v>
      </x:c>
    </x:row>
    <x:row r="203">
      <x:c r="A203" s="34" t="n">
        <x:v>45523</x:v>
      </x:c>
      <x:c r="B203" s="28" t="str">
        <x:v>Grupo Industrial S.A.</x:v>
      </x:c>
      <x:c r="C203" s="28" t="str">
        <x:v>Planta Campinas</x:v>
      </x:c>
      <x:c r="D203" s="28" t="str">
        <x:v>Linha 4 - Embalagem</x:v>
      </x:c>
      <x:c r="E203" s="28" t="str">
        <x:v>SKU-105</x:v>
      </x:c>
      <x:c r="F203" s="28" t="str">
        <x:v>Embalagens</x:v>
      </x:c>
      <x:c r="G203" s="32" t="n">
        <x:v>3732</x:v>
      </x:c>
      <x:c r="H203" s="32" t="n">
        <x:v>3591</x:v>
      </x:c>
      <x:c r="I203" s="32" t="n">
        <x:v>141</x:v>
      </x:c>
      <x:c r="J203" s="32" t="n">
        <x:v>115</x:v>
      </x:c>
      <x:c r="K203" s="36" t="n">
        <x:v>0.0378</x:v>
      </x:c>
      <x:c r="L203" s="36" t="n">
        <x:v>0.0308</x:v>
      </x:c>
    </x:row>
    <x:row r="204">
      <x:c r="A204" s="34" t="n">
        <x:v>45523</x:v>
      </x:c>
      <x:c r="B204" s="28" t="str">
        <x:v>Grupo Industrial S.A.</x:v>
      </x:c>
      <x:c r="C204" s="28" t="str">
        <x:v>Planta Curitiba</x:v>
      </x:c>
      <x:c r="D204" s="28" t="str">
        <x:v>Linha 5 - Usinagem</x:v>
      </x:c>
      <x:c r="E204" s="28" t="str">
        <x:v>SKU-223</x:v>
      </x:c>
      <x:c r="F204" s="28" t="str">
        <x:v>Bebidas</x:v>
      </x:c>
      <x:c r="G204" s="32" t="n">
        <x:v>4308</x:v>
      </x:c>
      <x:c r="H204" s="32" t="n">
        <x:v>4151</x:v>
      </x:c>
      <x:c r="I204" s="32" t="n">
        <x:v>157</x:v>
      </x:c>
      <x:c r="J204" s="32" t="n">
        <x:v>133</x:v>
      </x:c>
      <x:c r="K204" s="36" t="n">
        <x:v>0.0364</x:v>
      </x:c>
      <x:c r="L204" s="36" t="n">
        <x:v>0.0309</x:v>
      </x:c>
    </x:row>
    <x:row r="205">
      <x:c r="A205" s="34" t="n">
        <x:v>45523</x:v>
      </x:c>
      <x:c r="B205" s="28" t="str">
        <x:v>Grupo Industrial S.A.</x:v>
      </x:c>
      <x:c r="C205" s="28" t="str">
        <x:v>Planta Curitiba</x:v>
      </x:c>
      <x:c r="D205" s="28" t="str">
        <x:v>Linha 6 - Finalização</x:v>
      </x:c>
      <x:c r="E205" s="28" t="str">
        <x:v>SKU-432</x:v>
      </x:c>
      <x:c r="F205" s="28" t="str">
        <x:v>Alimentos</x:v>
      </x:c>
      <x:c r="G205" s="32" t="n">
        <x:v>3823</x:v>
      </x:c>
      <x:c r="H205" s="32" t="n">
        <x:v>3669</x:v>
      </x:c>
      <x:c r="I205" s="32" t="n">
        <x:v>154</x:v>
      </x:c>
      <x:c r="J205" s="32" t="n">
        <x:v>96</x:v>
      </x:c>
      <x:c r="K205" s="36" t="n">
        <x:v>0.0403</x:v>
      </x:c>
      <x:c r="L205" s="36" t="n">
        <x:v>0.0251</x:v>
      </x:c>
    </x:row>
    <x:row r="206">
      <x:c r="A206" s="34" t="n">
        <x:v>45530</x:v>
      </x:c>
      <x:c r="B206" s="28" t="str">
        <x:v>Grupo Industrial S.A.</x:v>
      </x:c>
      <x:c r="C206" s="28" t="str">
        <x:v>Planta São Paulo</x:v>
      </x:c>
      <x:c r="D206" s="28" t="str">
        <x:v>Linha 1 - Corte</x:v>
      </x:c>
      <x:c r="E206" s="28" t="str">
        <x:v>SKU-001</x:v>
      </x:c>
      <x:c r="F206" s="28" t="str">
        <x:v>Alimentos</x:v>
      </x:c>
      <x:c r="G206" s="32" t="n">
        <x:v>5849</x:v>
      </x:c>
      <x:c r="H206" s="32" t="n">
        <x:v>5646</x:v>
      </x:c>
      <x:c r="I206" s="32" t="n">
        <x:v>203</x:v>
      </x:c>
      <x:c r="J206" s="32" t="n">
        <x:v>159</x:v>
      </x:c>
      <x:c r="K206" s="36" t="n">
        <x:v>0.0347</x:v>
      </x:c>
      <x:c r="L206" s="36" t="n">
        <x:v>0.0272</x:v>
      </x:c>
    </x:row>
    <x:row r="207">
      <x:c r="A207" s="34" t="n">
        <x:v>45530</x:v>
      </x:c>
      <x:c r="B207" s="28" t="str">
        <x:v>Grupo Industrial S.A.</x:v>
      </x:c>
      <x:c r="C207" s="28" t="str">
        <x:v>Planta São Paulo</x:v>
      </x:c>
      <x:c r="D207" s="28" t="str">
        <x:v>Linha 2 - Montagem</x:v>
      </x:c>
      <x:c r="E207" s="28" t="str">
        <x:v>SKU-002</x:v>
      </x:c>
      <x:c r="F207" s="28" t="str">
        <x:v>Alimentos</x:v>
      </x:c>
      <x:c r="G207" s="32" t="n">
        <x:v>4709</x:v>
      </x:c>
      <x:c r="H207" s="32" t="n">
        <x:v>4592</x:v>
      </x:c>
      <x:c r="I207" s="32" t="n">
        <x:v>117</x:v>
      </x:c>
      <x:c r="J207" s="32" t="n">
        <x:v>117</x:v>
      </x:c>
      <x:c r="K207" s="36" t="n">
        <x:v>0.0248</x:v>
      </x:c>
      <x:c r="L207" s="36" t="n">
        <x:v>0.0248</x:v>
      </x:c>
    </x:row>
    <x:row r="208">
      <x:c r="A208" s="34" t="n">
        <x:v>45530</x:v>
      </x:c>
      <x:c r="B208" s="28" t="str">
        <x:v>Grupo Industrial S.A.</x:v>
      </x:c>
      <x:c r="C208" s="28" t="str">
        <x:v>Planta Campinas</x:v>
      </x:c>
      <x:c r="D208" s="28" t="str">
        <x:v>Linha 3 - Extrusão</x:v>
      </x:c>
      <x:c r="E208" s="28" t="str">
        <x:v>SKU-078</x:v>
      </x:c>
      <x:c r="F208" s="28" t="str">
        <x:v>Higiene e Limpeza</x:v>
      </x:c>
      <x:c r="G208" s="32" t="n">
        <x:v>3811</x:v>
      </x:c>
      <x:c r="H208" s="32" t="n">
        <x:v>3640</x:v>
      </x:c>
      <x:c r="I208" s="32" t="n">
        <x:v>171</x:v>
      </x:c>
      <x:c r="J208" s="32" t="n">
        <x:v>109</x:v>
      </x:c>
      <x:c r="K208" s="36" t="n">
        <x:v>0.0449</x:v>
      </x:c>
      <x:c r="L208" s="36" t="n">
        <x:v>0.0286</x:v>
      </x:c>
    </x:row>
    <x:row r="209">
      <x:c r="A209" s="34" t="n">
        <x:v>45530</x:v>
      </x:c>
      <x:c r="B209" s="28" t="str">
        <x:v>Grupo Industrial S.A.</x:v>
      </x:c>
      <x:c r="C209" s="28" t="str">
        <x:v>Planta Campinas</x:v>
      </x:c>
      <x:c r="D209" s="28" t="str">
        <x:v>Linha 4 - Embalagem</x:v>
      </x:c>
      <x:c r="E209" s="28" t="str">
        <x:v>SKU-105</x:v>
      </x:c>
      <x:c r="F209" s="28" t="str">
        <x:v>Embalagens</x:v>
      </x:c>
      <x:c r="G209" s="32" t="n">
        <x:v>3540</x:v>
      </x:c>
      <x:c r="H209" s="32" t="n">
        <x:v>3407</x:v>
      </x:c>
      <x:c r="I209" s="32" t="n">
        <x:v>133</x:v>
      </x:c>
      <x:c r="J209" s="32" t="n">
        <x:v>103</x:v>
      </x:c>
      <x:c r="K209" s="36" t="n">
        <x:v>0.0376</x:v>
      </x:c>
      <x:c r="L209" s="36" t="n">
        <x:v>0.0291</x:v>
      </x:c>
    </x:row>
    <x:row r="210">
      <x:c r="A210" s="34" t="n">
        <x:v>45530</x:v>
      </x:c>
      <x:c r="B210" s="28" t="str">
        <x:v>Grupo Industrial S.A.</x:v>
      </x:c>
      <x:c r="C210" s="28" t="str">
        <x:v>Planta Curitiba</x:v>
      </x:c>
      <x:c r="D210" s="28" t="str">
        <x:v>Linha 5 - Usinagem</x:v>
      </x:c>
      <x:c r="E210" s="28" t="str">
        <x:v>SKU-223</x:v>
      </x:c>
      <x:c r="F210" s="28" t="str">
        <x:v>Bebidas</x:v>
      </x:c>
      <x:c r="G210" s="32" t="n">
        <x:v>4214</x:v>
      </x:c>
      <x:c r="H210" s="32" t="n">
        <x:v>4096</x:v>
      </x:c>
      <x:c r="I210" s="32" t="n">
        <x:v>118</x:v>
      </x:c>
      <x:c r="J210" s="32" t="n">
        <x:v>114</x:v>
      </x:c>
      <x:c r="K210" s="36" t="n">
        <x:v>0.028</x:v>
      </x:c>
      <x:c r="L210" s="36" t="n">
        <x:v>0.0271</x:v>
      </x:c>
    </x:row>
    <x:row r="211">
      <x:c r="A211" s="34" t="n">
        <x:v>45530</x:v>
      </x:c>
      <x:c r="B211" s="28" t="str">
        <x:v>Grupo Industrial S.A.</x:v>
      </x:c>
      <x:c r="C211" s="28" t="str">
        <x:v>Planta Curitiba</x:v>
      </x:c>
      <x:c r="D211" s="28" t="str">
        <x:v>Linha 6 - Finalização</x:v>
      </x:c>
      <x:c r="E211" s="28" t="str">
        <x:v>SKU-432</x:v>
      </x:c>
      <x:c r="F211" s="28" t="str">
        <x:v>Alimentos</x:v>
      </x:c>
      <x:c r="G211" s="32" t="n">
        <x:v>3762</x:v>
      </x:c>
      <x:c r="H211" s="32" t="n">
        <x:v>3668</x:v>
      </x:c>
      <x:c r="I211" s="32" t="n">
        <x:v>94</x:v>
      </x:c>
      <x:c r="J211" s="32" t="n">
        <x:v>103</x:v>
      </x:c>
      <x:c r="K211" s="36" t="n">
        <x:v>0.025</x:v>
      </x:c>
      <x:c r="L211" s="36" t="n">
        <x:v>0.0274</x:v>
      </x:c>
    </x:row>
    <x:row r="212">
      <x:c r="A212" s="34" t="n">
        <x:v>45537</x:v>
      </x:c>
      <x:c r="B212" s="28" t="str">
        <x:v>Grupo Industrial S.A.</x:v>
      </x:c>
      <x:c r="C212" s="28" t="str">
        <x:v>Planta São Paulo</x:v>
      </x:c>
      <x:c r="D212" s="28" t="str">
        <x:v>Linha 1 - Corte</x:v>
      </x:c>
      <x:c r="E212" s="28" t="str">
        <x:v>SKU-001</x:v>
      </x:c>
      <x:c r="F212" s="28" t="str">
        <x:v>Alimentos</x:v>
      </x:c>
      <x:c r="G212" s="32" t="n">
        <x:v>5953</x:v>
      </x:c>
      <x:c r="H212" s="32" t="n">
        <x:v>5845</x:v>
      </x:c>
      <x:c r="I212" s="32" t="n">
        <x:v>108</x:v>
      </x:c>
      <x:c r="J212" s="32" t="n">
        <x:v>160</x:v>
      </x:c>
      <x:c r="K212" s="36" t="n">
        <x:v>0.0181</x:v>
      </x:c>
      <x:c r="L212" s="36" t="n">
        <x:v>0.0269</x:v>
      </x:c>
    </x:row>
    <x:row r="213">
      <x:c r="A213" s="34" t="n">
        <x:v>45537</x:v>
      </x:c>
      <x:c r="B213" s="28" t="str">
        <x:v>Grupo Industrial S.A.</x:v>
      </x:c>
      <x:c r="C213" s="28" t="str">
        <x:v>Planta São Paulo</x:v>
      </x:c>
      <x:c r="D213" s="28" t="str">
        <x:v>Linha 2 - Montagem</x:v>
      </x:c>
      <x:c r="E213" s="28" t="str">
        <x:v>SKU-002</x:v>
      </x:c>
      <x:c r="F213" s="28" t="str">
        <x:v>Alimentos</x:v>
      </x:c>
      <x:c r="G213" s="32" t="n">
        <x:v>4954</x:v>
      </x:c>
      <x:c r="H213" s="32" t="n">
        <x:v>4821</x:v>
      </x:c>
      <x:c r="I213" s="32" t="n">
        <x:v>133</x:v>
      </x:c>
      <x:c r="J213" s="32" t="n">
        <x:v>106</x:v>
      </x:c>
      <x:c r="K213" s="36" t="n">
        <x:v>0.0268</x:v>
      </x:c>
      <x:c r="L213" s="36" t="n">
        <x:v>0.0214</x:v>
      </x:c>
    </x:row>
    <x:row r="214">
      <x:c r="A214" s="34" t="n">
        <x:v>45537</x:v>
      </x:c>
      <x:c r="B214" s="28" t="str">
        <x:v>Grupo Industrial S.A.</x:v>
      </x:c>
      <x:c r="C214" s="28" t="str">
        <x:v>Planta Campinas</x:v>
      </x:c>
      <x:c r="D214" s="28" t="str">
        <x:v>Linha 3 - Extrusão</x:v>
      </x:c>
      <x:c r="E214" s="28" t="str">
        <x:v>SKU-078</x:v>
      </x:c>
      <x:c r="F214" s="28" t="str">
        <x:v>Higiene e Limpeza</x:v>
      </x:c>
      <x:c r="G214" s="32" t="n">
        <x:v>3948</x:v>
      </x:c>
      <x:c r="H214" s="32" t="n">
        <x:v>3738</x:v>
      </x:c>
      <x:c r="I214" s="32" t="n">
        <x:v>210</x:v>
      </x:c>
      <x:c r="J214" s="32" t="n">
        <x:v>135</x:v>
      </x:c>
      <x:c r="K214" s="36" t="n">
        <x:v>0.0532</x:v>
      </x:c>
      <x:c r="L214" s="36" t="n">
        <x:v>0.0342</x:v>
      </x:c>
    </x:row>
    <x:row r="215">
      <x:c r="A215" s="34" t="n">
        <x:v>45537</x:v>
      </x:c>
      <x:c r="B215" s="28" t="str">
        <x:v>Grupo Industrial S.A.</x:v>
      </x:c>
      <x:c r="C215" s="28" t="str">
        <x:v>Planta Campinas</x:v>
      </x:c>
      <x:c r="D215" s="28" t="str">
        <x:v>Linha 4 - Embalagem</x:v>
      </x:c>
      <x:c r="E215" s="28" t="str">
        <x:v>SKU-105</x:v>
      </x:c>
      <x:c r="F215" s="28" t="str">
        <x:v>Embalagens</x:v>
      </x:c>
      <x:c r="G215" s="32" t="n">
        <x:v>3591</x:v>
      </x:c>
      <x:c r="H215" s="32" t="n">
        <x:v>3395</x:v>
      </x:c>
      <x:c r="I215" s="32" t="n">
        <x:v>196</x:v>
      </x:c>
      <x:c r="J215" s="32" t="n">
        <x:v>136</x:v>
      </x:c>
      <x:c r="K215" s="36" t="n">
        <x:v>0.0546</x:v>
      </x:c>
      <x:c r="L215" s="36" t="n">
        <x:v>0.0379</x:v>
      </x:c>
    </x:row>
    <x:row r="216">
      <x:c r="A216" s="34" t="n">
        <x:v>45537</x:v>
      </x:c>
      <x:c r="B216" s="28" t="str">
        <x:v>Grupo Industrial S.A.</x:v>
      </x:c>
      <x:c r="C216" s="28" t="str">
        <x:v>Planta Curitiba</x:v>
      </x:c>
      <x:c r="D216" s="28" t="str">
        <x:v>Linha 5 - Usinagem</x:v>
      </x:c>
      <x:c r="E216" s="28" t="str">
        <x:v>SKU-223</x:v>
      </x:c>
      <x:c r="F216" s="28" t="str">
        <x:v>Bebidas</x:v>
      </x:c>
      <x:c r="G216" s="32" t="n">
        <x:v>4235</x:v>
      </x:c>
      <x:c r="H216" s="32" t="n">
        <x:v>4089</x:v>
      </x:c>
      <x:c r="I216" s="32" t="n">
        <x:v>146</x:v>
      </x:c>
      <x:c r="J216" s="32" t="n">
        <x:v>98</x:v>
      </x:c>
      <x:c r="K216" s="36" t="n">
        <x:v>0.0345</x:v>
      </x:c>
      <x:c r="L216" s="36" t="n">
        <x:v>0.0231</x:v>
      </x:c>
    </x:row>
    <x:row r="217">
      <x:c r="A217" s="34" t="n">
        <x:v>45537</x:v>
      </x:c>
      <x:c r="B217" s="28" t="str">
        <x:v>Grupo Industrial S.A.</x:v>
      </x:c>
      <x:c r="C217" s="28" t="str">
        <x:v>Planta Curitiba</x:v>
      </x:c>
      <x:c r="D217" s="28" t="str">
        <x:v>Linha 6 - Finalização</x:v>
      </x:c>
      <x:c r="E217" s="28" t="str">
        <x:v>SKU-432</x:v>
      </x:c>
      <x:c r="F217" s="28" t="str">
        <x:v>Alimentos</x:v>
      </x:c>
      <x:c r="G217" s="32" t="n">
        <x:v>3755</x:v>
      </x:c>
      <x:c r="H217" s="32" t="n">
        <x:v>3608</x:v>
      </x:c>
      <x:c r="I217" s="32" t="n">
        <x:v>147</x:v>
      </x:c>
      <x:c r="J217" s="32" t="n">
        <x:v>104</x:v>
      </x:c>
      <x:c r="K217" s="36" t="n">
        <x:v>0.0391</x:v>
      </x:c>
      <x:c r="L217" s="36" t="n">
        <x:v>0.0277</x:v>
      </x:c>
    </x:row>
    <x:row r="218">
      <x:c r="A218" s="34" t="n">
        <x:v>45544</x:v>
      </x:c>
      <x:c r="B218" s="28" t="str">
        <x:v>Grupo Industrial S.A.</x:v>
      </x:c>
      <x:c r="C218" s="28" t="str">
        <x:v>Planta São Paulo</x:v>
      </x:c>
      <x:c r="D218" s="28" t="str">
        <x:v>Linha 1 - Corte</x:v>
      </x:c>
      <x:c r="E218" s="28" t="str">
        <x:v>SKU-001</x:v>
      </x:c>
      <x:c r="F218" s="28" t="str">
        <x:v>Alimentos</x:v>
      </x:c>
      <x:c r="G218" s="32" t="n">
        <x:v>5968</x:v>
      </x:c>
      <x:c r="H218" s="32" t="n">
        <x:v>5866</x:v>
      </x:c>
      <x:c r="I218" s="32" t="n">
        <x:v>102</x:v>
      </x:c>
      <x:c r="J218" s="32" t="n">
        <x:v>144</x:v>
      </x:c>
      <x:c r="K218" s="36" t="n">
        <x:v>0.0171</x:v>
      </x:c>
      <x:c r="L218" s="36" t="n">
        <x:v>0.0241</x:v>
      </x:c>
    </x:row>
    <x:row r="219">
      <x:c r="A219" s="34" t="n">
        <x:v>45544</x:v>
      </x:c>
      <x:c r="B219" s="28" t="str">
        <x:v>Grupo Industrial S.A.</x:v>
      </x:c>
      <x:c r="C219" s="28" t="str">
        <x:v>Planta São Paulo</x:v>
      </x:c>
      <x:c r="D219" s="28" t="str">
        <x:v>Linha 2 - Montagem</x:v>
      </x:c>
      <x:c r="E219" s="28" t="str">
        <x:v>SKU-002</x:v>
      </x:c>
      <x:c r="F219" s="28" t="str">
        <x:v>Alimentos</x:v>
      </x:c>
      <x:c r="G219" s="32" t="n">
        <x:v>5081</x:v>
      </x:c>
      <x:c r="H219" s="32" t="n">
        <x:v>4925</x:v>
      </x:c>
      <x:c r="I219" s="32" t="n">
        <x:v>156</x:v>
      </x:c>
      <x:c r="J219" s="32" t="n">
        <x:v>162</x:v>
      </x:c>
      <x:c r="K219" s="36" t="n">
        <x:v>0.0307</x:v>
      </x:c>
      <x:c r="L219" s="36" t="n">
        <x:v>0.0319</x:v>
      </x:c>
    </x:row>
    <x:row r="220">
      <x:c r="A220" s="34" t="n">
        <x:v>45544</x:v>
      </x:c>
      <x:c r="B220" s="28" t="str">
        <x:v>Grupo Industrial S.A.</x:v>
      </x:c>
      <x:c r="C220" s="28" t="str">
        <x:v>Planta Campinas</x:v>
      </x:c>
      <x:c r="D220" s="28" t="str">
        <x:v>Linha 3 - Extrusão</x:v>
      </x:c>
      <x:c r="E220" s="28" t="str">
        <x:v>SKU-078</x:v>
      </x:c>
      <x:c r="F220" s="28" t="str">
        <x:v>Higiene e Limpeza</x:v>
      </x:c>
      <x:c r="G220" s="32" t="n">
        <x:v>4017</x:v>
      </x:c>
      <x:c r="H220" s="32" t="n">
        <x:v>3871</x:v>
      </x:c>
      <x:c r="I220" s="32" t="n">
        <x:v>146</x:v>
      </x:c>
      <x:c r="J220" s="32" t="n">
        <x:v>137</x:v>
      </x:c>
      <x:c r="K220" s="36" t="n">
        <x:v>0.0363</x:v>
      </x:c>
      <x:c r="L220" s="36" t="n">
        <x:v>0.0341</x:v>
      </x:c>
    </x:row>
    <x:row r="221">
      <x:c r="A221" s="34" t="n">
        <x:v>45544</x:v>
      </x:c>
      <x:c r="B221" s="28" t="str">
        <x:v>Grupo Industrial S.A.</x:v>
      </x:c>
      <x:c r="C221" s="28" t="str">
        <x:v>Planta Campinas</x:v>
      </x:c>
      <x:c r="D221" s="28" t="str">
        <x:v>Linha 4 - Embalagem</x:v>
      </x:c>
      <x:c r="E221" s="28" t="str">
        <x:v>SKU-105</x:v>
      </x:c>
      <x:c r="F221" s="28" t="str">
        <x:v>Embalagens</x:v>
      </x:c>
      <x:c r="G221" s="32" t="n">
        <x:v>3579</x:v>
      </x:c>
      <x:c r="H221" s="32" t="n">
        <x:v>3423</x:v>
      </x:c>
      <x:c r="I221" s="32" t="n">
        <x:v>156</x:v>
      </x:c>
      <x:c r="J221" s="32" t="n">
        <x:v>134</x:v>
      </x:c>
      <x:c r="K221" s="36" t="n">
        <x:v>0.0436</x:v>
      </x:c>
      <x:c r="L221" s="36" t="n">
        <x:v>0.0374</x:v>
      </x:c>
    </x:row>
    <x:row r="222">
      <x:c r="A222" s="34" t="n">
        <x:v>45544</x:v>
      </x:c>
      <x:c r="B222" s="28" t="str">
        <x:v>Grupo Industrial S.A.</x:v>
      </x:c>
      <x:c r="C222" s="28" t="str">
        <x:v>Planta Curitiba</x:v>
      </x:c>
      <x:c r="D222" s="28" t="str">
        <x:v>Linha 5 - Usinagem</x:v>
      </x:c>
      <x:c r="E222" s="28" t="str">
        <x:v>SKU-223</x:v>
      </x:c>
      <x:c r="F222" s="28" t="str">
        <x:v>Bebidas</x:v>
      </x:c>
      <x:c r="G222" s="32" t="n">
        <x:v>4193</x:v>
      </x:c>
      <x:c r="H222" s="32" t="n">
        <x:v>4067</x:v>
      </x:c>
      <x:c r="I222" s="32" t="n">
        <x:v>126</x:v>
      </x:c>
      <x:c r="J222" s="32" t="n">
        <x:v>138</x:v>
      </x:c>
      <x:c r="K222" s="36" t="n">
        <x:v>0.0301</x:v>
      </x:c>
      <x:c r="L222" s="36" t="n">
        <x:v>0.0329</x:v>
      </x:c>
    </x:row>
    <x:row r="223">
      <x:c r="A223" s="34" t="n">
        <x:v>45544</x:v>
      </x:c>
      <x:c r="B223" s="28" t="str">
        <x:v>Grupo Industrial S.A.</x:v>
      </x:c>
      <x:c r="C223" s="28" t="str">
        <x:v>Planta Curitiba</x:v>
      </x:c>
      <x:c r="D223" s="28" t="str">
        <x:v>Linha 6 - Finalização</x:v>
      </x:c>
      <x:c r="E223" s="28" t="str">
        <x:v>SKU-432</x:v>
      </x:c>
      <x:c r="F223" s="28" t="str">
        <x:v>Alimentos</x:v>
      </x:c>
      <x:c r="G223" s="32" t="n">
        <x:v>3985</x:v>
      </x:c>
      <x:c r="H223" s="32" t="n">
        <x:v>3828</x:v>
      </x:c>
      <x:c r="I223" s="32" t="n">
        <x:v>157</x:v>
      </x:c>
      <x:c r="J223" s="32" t="n">
        <x:v>118</x:v>
      </x:c>
      <x:c r="K223" s="36" t="n">
        <x:v>0.0394</x:v>
      </x:c>
      <x:c r="L223" s="36" t="n">
        <x:v>0.0296</x:v>
      </x:c>
    </x:row>
    <x:row r="224">
      <x:c r="A224" s="34" t="n">
        <x:v>45551</x:v>
      </x:c>
      <x:c r="B224" s="28" t="str">
        <x:v>Grupo Industrial S.A.</x:v>
      </x:c>
      <x:c r="C224" s="28" t="str">
        <x:v>Planta São Paulo</x:v>
      </x:c>
      <x:c r="D224" s="28" t="str">
        <x:v>Linha 1 - Corte</x:v>
      </x:c>
      <x:c r="E224" s="28" t="str">
        <x:v>SKU-001</x:v>
      </x:c>
      <x:c r="F224" s="28" t="str">
        <x:v>Alimentos</x:v>
      </x:c>
      <x:c r="G224" s="32" t="n">
        <x:v>5520</x:v>
      </x:c>
      <x:c r="H224" s="32" t="n">
        <x:v>5382</x:v>
      </x:c>
      <x:c r="I224" s="32" t="n">
        <x:v>138</x:v>
      </x:c>
      <x:c r="J224" s="32" t="n">
        <x:v>154</x:v>
      </x:c>
      <x:c r="K224" s="36" t="n">
        <x:v>0.025</x:v>
      </x:c>
      <x:c r="L224" s="36" t="n">
        <x:v>0.0279</x:v>
      </x:c>
    </x:row>
    <x:row r="225">
      <x:c r="A225" s="34" t="n">
        <x:v>45551</x:v>
      </x:c>
      <x:c r="B225" s="28" t="str">
        <x:v>Grupo Industrial S.A.</x:v>
      </x:c>
      <x:c r="C225" s="28" t="str">
        <x:v>Planta São Paulo</x:v>
      </x:c>
      <x:c r="D225" s="28" t="str">
        <x:v>Linha 2 - Montagem</x:v>
      </x:c>
      <x:c r="E225" s="28" t="str">
        <x:v>SKU-002</x:v>
      </x:c>
      <x:c r="F225" s="28" t="str">
        <x:v>Alimentos</x:v>
      </x:c>
      <x:c r="G225" s="32" t="n">
        <x:v>4922</x:v>
      </x:c>
      <x:c r="H225" s="32" t="n">
        <x:v>4827</x:v>
      </x:c>
      <x:c r="I225" s="32" t="n">
        <x:v>95</x:v>
      </x:c>
      <x:c r="J225" s="32" t="n">
        <x:v>120</x:v>
      </x:c>
      <x:c r="K225" s="36" t="n">
        <x:v>0.0193</x:v>
      </x:c>
      <x:c r="L225" s="36" t="n">
        <x:v>0.0244</x:v>
      </x:c>
    </x:row>
    <x:row r="226">
      <x:c r="A226" s="34" t="n">
        <x:v>45551</x:v>
      </x:c>
      <x:c r="B226" s="28" t="str">
        <x:v>Grupo Industrial S.A.</x:v>
      </x:c>
      <x:c r="C226" s="28" t="str">
        <x:v>Planta Campinas</x:v>
      </x:c>
      <x:c r="D226" s="28" t="str">
        <x:v>Linha 3 - Extrusão</x:v>
      </x:c>
      <x:c r="E226" s="28" t="str">
        <x:v>SKU-078</x:v>
      </x:c>
      <x:c r="F226" s="28" t="str">
        <x:v>Higiene e Limpeza</x:v>
      </x:c>
      <x:c r="G226" s="32" t="n">
        <x:v>3808</x:v>
      </x:c>
      <x:c r="H226" s="32" t="n">
        <x:v>3626</x:v>
      </x:c>
      <x:c r="I226" s="32" t="n">
        <x:v>182</x:v>
      </x:c>
      <x:c r="J226" s="32" t="n">
        <x:v>132</x:v>
      </x:c>
      <x:c r="K226" s="36" t="n">
        <x:v>0.0478</x:v>
      </x:c>
      <x:c r="L226" s="36" t="n">
        <x:v>0.0347</x:v>
      </x:c>
    </x:row>
    <x:row r="227">
      <x:c r="A227" s="34" t="n">
        <x:v>45551</x:v>
      </x:c>
      <x:c r="B227" s="28" t="str">
        <x:v>Grupo Industrial S.A.</x:v>
      </x:c>
      <x:c r="C227" s="28" t="str">
        <x:v>Planta Campinas</x:v>
      </x:c>
      <x:c r="D227" s="28" t="str">
        <x:v>Linha 4 - Embalagem</x:v>
      </x:c>
      <x:c r="E227" s="28" t="str">
        <x:v>SKU-105</x:v>
      </x:c>
      <x:c r="F227" s="28" t="str">
        <x:v>Embalagens</x:v>
      </x:c>
      <x:c r="G227" s="32" t="n">
        <x:v>3567</x:v>
      </x:c>
      <x:c r="H227" s="32" t="n">
        <x:v>3431</x:v>
      </x:c>
      <x:c r="I227" s="32" t="n">
        <x:v>136</x:v>
      </x:c>
      <x:c r="J227" s="32" t="n">
        <x:v>108</x:v>
      </x:c>
      <x:c r="K227" s="36" t="n">
        <x:v>0.0381</x:v>
      </x:c>
      <x:c r="L227" s="36" t="n">
        <x:v>0.0303</x:v>
      </x:c>
    </x:row>
    <x:row r="228">
      <x:c r="A228" s="34" t="n">
        <x:v>45551</x:v>
      </x:c>
      <x:c r="B228" s="28" t="str">
        <x:v>Grupo Industrial S.A.</x:v>
      </x:c>
      <x:c r="C228" s="28" t="str">
        <x:v>Planta Curitiba</x:v>
      </x:c>
      <x:c r="D228" s="28" t="str">
        <x:v>Linha 5 - Usinagem</x:v>
      </x:c>
      <x:c r="E228" s="28" t="str">
        <x:v>SKU-223</x:v>
      </x:c>
      <x:c r="F228" s="28" t="str">
        <x:v>Bebidas</x:v>
      </x:c>
      <x:c r="G228" s="32" t="n">
        <x:v>4092</x:v>
      </x:c>
      <x:c r="H228" s="32" t="n">
        <x:v>3947</x:v>
      </x:c>
      <x:c r="I228" s="32" t="n">
        <x:v>145</x:v>
      </x:c>
      <x:c r="J228" s="32" t="n">
        <x:v>132</x:v>
      </x:c>
      <x:c r="K228" s="36" t="n">
        <x:v>0.0354</x:v>
      </x:c>
      <x:c r="L228" s="36" t="n">
        <x:v>0.0323</x:v>
      </x:c>
    </x:row>
    <x:row r="229">
      <x:c r="A229" s="34" t="n">
        <x:v>45551</x:v>
      </x:c>
      <x:c r="B229" s="28" t="str">
        <x:v>Grupo Industrial S.A.</x:v>
      </x:c>
      <x:c r="C229" s="28" t="str">
        <x:v>Planta Curitiba</x:v>
      </x:c>
      <x:c r="D229" s="28" t="str">
        <x:v>Linha 6 - Finalização</x:v>
      </x:c>
      <x:c r="E229" s="28" t="str">
        <x:v>SKU-432</x:v>
      </x:c>
      <x:c r="F229" s="28" t="str">
        <x:v>Alimentos</x:v>
      </x:c>
      <x:c r="G229" s="32" t="n">
        <x:v>3824</x:v>
      </x:c>
      <x:c r="H229" s="32" t="n">
        <x:v>3656</x:v>
      </x:c>
      <x:c r="I229" s="32" t="n">
        <x:v>168</x:v>
      </x:c>
      <x:c r="J229" s="32" t="n">
        <x:v>121</x:v>
      </x:c>
      <x:c r="K229" s="36" t="n">
        <x:v>0.0439</x:v>
      </x:c>
      <x:c r="L229" s="36" t="n">
        <x:v>0.0316</x:v>
      </x:c>
    </x:row>
    <x:row r="230">
      <x:c r="A230" s="34" t="n">
        <x:v>45558</x:v>
      </x:c>
      <x:c r="B230" s="28" t="str">
        <x:v>Grupo Industrial S.A.</x:v>
      </x:c>
      <x:c r="C230" s="28" t="str">
        <x:v>Planta São Paulo</x:v>
      </x:c>
      <x:c r="D230" s="28" t="str">
        <x:v>Linha 1 - Corte</x:v>
      </x:c>
      <x:c r="E230" s="28" t="str">
        <x:v>SKU-001</x:v>
      </x:c>
      <x:c r="F230" s="28" t="str">
        <x:v>Alimentos</x:v>
      </x:c>
      <x:c r="G230" s="32" t="n">
        <x:v>5321</x:v>
      </x:c>
      <x:c r="H230" s="32" t="n">
        <x:v>5176</x:v>
      </x:c>
      <x:c r="I230" s="32" t="n">
        <x:v>145</x:v>
      </x:c>
      <x:c r="J230" s="32" t="n">
        <x:v>129</x:v>
      </x:c>
      <x:c r="K230" s="36" t="n">
        <x:v>0.0273</x:v>
      </x:c>
      <x:c r="L230" s="36" t="n">
        <x:v>0.0242</x:v>
      </x:c>
    </x:row>
    <x:row r="231">
      <x:c r="A231" s="34" t="n">
        <x:v>45558</x:v>
      </x:c>
      <x:c r="B231" s="28" t="str">
        <x:v>Grupo Industrial S.A.</x:v>
      </x:c>
      <x:c r="C231" s="28" t="str">
        <x:v>Planta São Paulo</x:v>
      </x:c>
      <x:c r="D231" s="28" t="str">
        <x:v>Linha 2 - Montagem</x:v>
      </x:c>
      <x:c r="E231" s="28" t="str">
        <x:v>SKU-002</x:v>
      </x:c>
      <x:c r="F231" s="28" t="str">
        <x:v>Alimentos</x:v>
      </x:c>
      <x:c r="G231" s="32" t="n">
        <x:v>5019</x:v>
      </x:c>
      <x:c r="H231" s="32" t="n">
        <x:v>4900</x:v>
      </x:c>
      <x:c r="I231" s="32" t="n">
        <x:v>119</x:v>
      </x:c>
      <x:c r="J231" s="32" t="n">
        <x:v>141</x:v>
      </x:c>
      <x:c r="K231" s="36" t="n">
        <x:v>0.0237</x:v>
      </x:c>
      <x:c r="L231" s="36" t="n">
        <x:v>0.0281</x:v>
      </x:c>
    </x:row>
    <x:row r="232">
      <x:c r="A232" s="34" t="n">
        <x:v>45558</x:v>
      </x:c>
      <x:c r="B232" s="28" t="str">
        <x:v>Grupo Industrial S.A.</x:v>
      </x:c>
      <x:c r="C232" s="28" t="str">
        <x:v>Planta Campinas</x:v>
      </x:c>
      <x:c r="D232" s="28" t="str">
        <x:v>Linha 3 - Extrusão</x:v>
      </x:c>
      <x:c r="E232" s="28" t="str">
        <x:v>SKU-078</x:v>
      </x:c>
      <x:c r="F232" s="28" t="str">
        <x:v>Higiene e Limpeza</x:v>
      </x:c>
      <x:c r="G232" s="32" t="n">
        <x:v>3834</x:v>
      </x:c>
      <x:c r="H232" s="32" t="n">
        <x:v>3684</x:v>
      </x:c>
      <x:c r="I232" s="32" t="n">
        <x:v>150</x:v>
      </x:c>
      <x:c r="J232" s="32" t="n">
        <x:v>106</x:v>
      </x:c>
      <x:c r="K232" s="36" t="n">
        <x:v>0.0391</x:v>
      </x:c>
      <x:c r="L232" s="36" t="n">
        <x:v>0.0276</x:v>
      </x:c>
    </x:row>
    <x:row r="233">
      <x:c r="A233" s="34" t="n">
        <x:v>45558</x:v>
      </x:c>
      <x:c r="B233" s="28" t="str">
        <x:v>Grupo Industrial S.A.</x:v>
      </x:c>
      <x:c r="C233" s="28" t="str">
        <x:v>Planta Campinas</x:v>
      </x:c>
      <x:c r="D233" s="28" t="str">
        <x:v>Linha 4 - Embalagem</x:v>
      </x:c>
      <x:c r="E233" s="28" t="str">
        <x:v>SKU-105</x:v>
      </x:c>
      <x:c r="F233" s="28" t="str">
        <x:v>Embalagens</x:v>
      </x:c>
      <x:c r="G233" s="32" t="n">
        <x:v>3269</x:v>
      </x:c>
      <x:c r="H233" s="32" t="n">
        <x:v>3098</x:v>
      </x:c>
      <x:c r="I233" s="32" t="n">
        <x:v>171</x:v>
      </x:c>
      <x:c r="J233" s="32" t="n">
        <x:v>127</x:v>
      </x:c>
      <x:c r="K233" s="36" t="n">
        <x:v>0.0523</x:v>
      </x:c>
      <x:c r="L233" s="36" t="n">
        <x:v>0.0388</x:v>
      </x:c>
    </x:row>
    <x:row r="234">
      <x:c r="A234" s="34" t="n">
        <x:v>45558</x:v>
      </x:c>
      <x:c r="B234" s="28" t="str">
        <x:v>Grupo Industrial S.A.</x:v>
      </x:c>
      <x:c r="C234" s="28" t="str">
        <x:v>Planta Curitiba</x:v>
      </x:c>
      <x:c r="D234" s="28" t="str">
        <x:v>Linha 5 - Usinagem</x:v>
      </x:c>
      <x:c r="E234" s="28" t="str">
        <x:v>SKU-223</x:v>
      </x:c>
      <x:c r="F234" s="28" t="str">
        <x:v>Bebidas</x:v>
      </x:c>
      <x:c r="G234" s="32" t="n">
        <x:v>4413</x:v>
      </x:c>
      <x:c r="H234" s="32" t="n">
        <x:v>4244</x:v>
      </x:c>
      <x:c r="I234" s="32" t="n">
        <x:v>169</x:v>
      </x:c>
      <x:c r="J234" s="32" t="n">
        <x:v>95</x:v>
      </x:c>
      <x:c r="K234" s="36" t="n">
        <x:v>0.0383</x:v>
      </x:c>
      <x:c r="L234" s="36" t="n">
        <x:v>0.0215</x:v>
      </x:c>
    </x:row>
    <x:row r="235">
      <x:c r="A235" s="34" t="n">
        <x:v>45558</x:v>
      </x:c>
      <x:c r="B235" s="28" t="str">
        <x:v>Grupo Industrial S.A.</x:v>
      </x:c>
      <x:c r="C235" s="28" t="str">
        <x:v>Planta Curitiba</x:v>
      </x:c>
      <x:c r="D235" s="28" t="str">
        <x:v>Linha 6 - Finalização</x:v>
      </x:c>
      <x:c r="E235" s="28" t="str">
        <x:v>SKU-432</x:v>
      </x:c>
      <x:c r="F235" s="28" t="str">
        <x:v>Alimentos</x:v>
      </x:c>
      <x:c r="G235" s="32" t="n">
        <x:v>3836</x:v>
      </x:c>
      <x:c r="H235" s="32" t="n">
        <x:v>3727</x:v>
      </x:c>
      <x:c r="I235" s="32" t="n">
        <x:v>109</x:v>
      </x:c>
      <x:c r="J235" s="32" t="n">
        <x:v>108</x:v>
      </x:c>
      <x:c r="K235" s="36" t="n">
        <x:v>0.0284</x:v>
      </x:c>
      <x:c r="L235" s="36" t="n">
        <x:v>0.0282</x:v>
      </x:c>
    </x:row>
    <x:row r="236">
      <x:c r="A236" s="34" t="n">
        <x:v>45565</x:v>
      </x:c>
      <x:c r="B236" s="28" t="str">
        <x:v>Grupo Industrial S.A.</x:v>
      </x:c>
      <x:c r="C236" s="28" t="str">
        <x:v>Planta São Paulo</x:v>
      </x:c>
      <x:c r="D236" s="28" t="str">
        <x:v>Linha 1 - Corte</x:v>
      </x:c>
      <x:c r="E236" s="28" t="str">
        <x:v>SKU-001</x:v>
      </x:c>
      <x:c r="F236" s="28" t="str">
        <x:v>Alimentos</x:v>
      </x:c>
      <x:c r="G236" s="32" t="n">
        <x:v>5584</x:v>
      </x:c>
      <x:c r="H236" s="32" t="n">
        <x:v>5384</x:v>
      </x:c>
      <x:c r="I236" s="32" t="n">
        <x:v>200</x:v>
      </x:c>
      <x:c r="J236" s="32" t="n">
        <x:v>177</x:v>
      </x:c>
      <x:c r="K236" s="36" t="n">
        <x:v>0.0358</x:v>
      </x:c>
      <x:c r="L236" s="36" t="n">
        <x:v>0.0317</x:v>
      </x:c>
    </x:row>
    <x:row r="237">
      <x:c r="A237" s="34" t="n">
        <x:v>45565</x:v>
      </x:c>
      <x:c r="B237" s="28" t="str">
        <x:v>Grupo Industrial S.A.</x:v>
      </x:c>
      <x:c r="C237" s="28" t="str">
        <x:v>Planta São Paulo</x:v>
      </x:c>
      <x:c r="D237" s="28" t="str">
        <x:v>Linha 2 - Montagem</x:v>
      </x:c>
      <x:c r="E237" s="28" t="str">
        <x:v>SKU-002</x:v>
      </x:c>
      <x:c r="F237" s="28" t="str">
        <x:v>Alimentos</x:v>
      </x:c>
      <x:c r="G237" s="32" t="n">
        <x:v>4950</x:v>
      </x:c>
      <x:c r="H237" s="32" t="n">
        <x:v>4851</x:v>
      </x:c>
      <x:c r="I237" s="32" t="n">
        <x:v>99</x:v>
      </x:c>
      <x:c r="J237" s="32" t="n">
        <x:v>160</x:v>
      </x:c>
      <x:c r="K237" s="36" t="n">
        <x:v>0.02</x:v>
      </x:c>
      <x:c r="L237" s="36" t="n">
        <x:v>0.0323</x:v>
      </x:c>
    </x:row>
    <x:row r="238">
      <x:c r="A238" s="34" t="n">
        <x:v>45565</x:v>
      </x:c>
      <x:c r="B238" s="28" t="str">
        <x:v>Grupo Industrial S.A.</x:v>
      </x:c>
      <x:c r="C238" s="28" t="str">
        <x:v>Planta Campinas</x:v>
      </x:c>
      <x:c r="D238" s="28" t="str">
        <x:v>Linha 3 - Extrusão</x:v>
      </x:c>
      <x:c r="E238" s="28" t="str">
        <x:v>SKU-078</x:v>
      </x:c>
      <x:c r="F238" s="28" t="str">
        <x:v>Higiene e Limpeza</x:v>
      </x:c>
      <x:c r="G238" s="32" t="n">
        <x:v>4027</x:v>
      </x:c>
      <x:c r="H238" s="32" t="n">
        <x:v>3840</x:v>
      </x:c>
      <x:c r="I238" s="32" t="n">
        <x:v>187</x:v>
      </x:c>
      <x:c r="J238" s="32" t="n">
        <x:v>121</x:v>
      </x:c>
      <x:c r="K238" s="36" t="n">
        <x:v>0.0464</x:v>
      </x:c>
      <x:c r="L238" s="36" t="n">
        <x:v>0.03</x:v>
      </x:c>
    </x:row>
    <x:row r="239">
      <x:c r="A239" s="34" t="n">
        <x:v>45565</x:v>
      </x:c>
      <x:c r="B239" s="28" t="str">
        <x:v>Grupo Industrial S.A.</x:v>
      </x:c>
      <x:c r="C239" s="28" t="str">
        <x:v>Planta Campinas</x:v>
      </x:c>
      <x:c r="D239" s="28" t="str">
        <x:v>Linha 4 - Embalagem</x:v>
      </x:c>
      <x:c r="E239" s="28" t="str">
        <x:v>SKU-105</x:v>
      </x:c>
      <x:c r="F239" s="28" t="str">
        <x:v>Embalagens</x:v>
      </x:c>
      <x:c r="G239" s="32" t="n">
        <x:v>3348</x:v>
      </x:c>
      <x:c r="H239" s="32" t="n">
        <x:v>3170</x:v>
      </x:c>
      <x:c r="I239" s="32" t="n">
        <x:v>178</x:v>
      </x:c>
      <x:c r="J239" s="32" t="n">
        <x:v>117</x:v>
      </x:c>
      <x:c r="K239" s="36" t="n">
        <x:v>0.0532</x:v>
      </x:c>
      <x:c r="L239" s="36" t="n">
        <x:v>0.0349</x:v>
      </x:c>
    </x:row>
    <x:row r="240">
      <x:c r="A240" s="34" t="n">
        <x:v>45565</x:v>
      </x:c>
      <x:c r="B240" s="28" t="str">
        <x:v>Grupo Industrial S.A.</x:v>
      </x:c>
      <x:c r="C240" s="28" t="str">
        <x:v>Planta Curitiba</x:v>
      </x:c>
      <x:c r="D240" s="28" t="str">
        <x:v>Linha 5 - Usinagem</x:v>
      </x:c>
      <x:c r="E240" s="28" t="str">
        <x:v>SKU-223</x:v>
      </x:c>
      <x:c r="F240" s="28" t="str">
        <x:v>Bebidas</x:v>
      </x:c>
      <x:c r="G240" s="32" t="n">
        <x:v>4385</x:v>
      </x:c>
      <x:c r="H240" s="32" t="n">
        <x:v>4248</x:v>
      </x:c>
      <x:c r="I240" s="32" t="n">
        <x:v>137</x:v>
      </x:c>
      <x:c r="J240" s="32" t="n">
        <x:v>131</x:v>
      </x:c>
      <x:c r="K240" s="36" t="n">
        <x:v>0.0312</x:v>
      </x:c>
      <x:c r="L240" s="36" t="n">
        <x:v>0.0299</x:v>
      </x:c>
    </x:row>
    <x:row r="241">
      <x:c r="A241" s="34" t="n">
        <x:v>45565</x:v>
      </x:c>
      <x:c r="B241" s="28" t="str">
        <x:v>Grupo Industrial S.A.</x:v>
      </x:c>
      <x:c r="C241" s="28" t="str">
        <x:v>Planta Curitiba</x:v>
      </x:c>
      <x:c r="D241" s="28" t="str">
        <x:v>Linha 6 - Finalização</x:v>
      </x:c>
      <x:c r="E241" s="28" t="str">
        <x:v>SKU-432</x:v>
      </x:c>
      <x:c r="F241" s="28" t="str">
        <x:v>Alimentos</x:v>
      </x:c>
      <x:c r="G241" s="32" t="n">
        <x:v>3716</x:v>
      </x:c>
      <x:c r="H241" s="32" t="n">
        <x:v>3599</x:v>
      </x:c>
      <x:c r="I241" s="32" t="n">
        <x:v>117</x:v>
      </x:c>
      <x:c r="J241" s="32" t="n">
        <x:v>81</x:v>
      </x:c>
      <x:c r="K241" s="36" t="n">
        <x:v>0.0315</x:v>
      </x:c>
      <x:c r="L241" s="36" t="n">
        <x:v>0.0218</x:v>
      </x:c>
    </x:row>
    <x:row r="242">
      <x:c r="A242" s="34" t="n">
        <x:v>45572</x:v>
      </x:c>
      <x:c r="B242" s="28" t="str">
        <x:v>Grupo Industrial S.A.</x:v>
      </x:c>
      <x:c r="C242" s="28" t="str">
        <x:v>Planta São Paulo</x:v>
      </x:c>
      <x:c r="D242" s="28" t="str">
        <x:v>Linha 1 - Corte</x:v>
      </x:c>
      <x:c r="E242" s="28" t="str">
        <x:v>SKU-001</x:v>
      </x:c>
      <x:c r="F242" s="28" t="str">
        <x:v>Alimentos</x:v>
      </x:c>
      <x:c r="G242" s="32" t="n">
        <x:v>5786</x:v>
      </x:c>
      <x:c r="H242" s="32" t="n">
        <x:v>5629</x:v>
      </x:c>
      <x:c r="I242" s="32" t="n">
        <x:v>157</x:v>
      </x:c>
      <x:c r="J242" s="32" t="n">
        <x:v>162</x:v>
      </x:c>
      <x:c r="K242" s="36" t="n">
        <x:v>0.0271</x:v>
      </x:c>
      <x:c r="L242" s="36" t="n">
        <x:v>0.028</x:v>
      </x:c>
    </x:row>
    <x:row r="243">
      <x:c r="A243" s="34" t="n">
        <x:v>45572</x:v>
      </x:c>
      <x:c r="B243" s="28" t="str">
        <x:v>Grupo Industrial S.A.</x:v>
      </x:c>
      <x:c r="C243" s="28" t="str">
        <x:v>Planta São Paulo</x:v>
      </x:c>
      <x:c r="D243" s="28" t="str">
        <x:v>Linha 2 - Montagem</x:v>
      </x:c>
      <x:c r="E243" s="28" t="str">
        <x:v>SKU-002</x:v>
      </x:c>
      <x:c r="F243" s="28" t="str">
        <x:v>Alimentos</x:v>
      </x:c>
      <x:c r="G243" s="32" t="n">
        <x:v>5590</x:v>
      </x:c>
      <x:c r="H243" s="32" t="n">
        <x:v>5412</x:v>
      </x:c>
      <x:c r="I243" s="32" t="n">
        <x:v>178</x:v>
      </x:c>
      <x:c r="J243" s="32" t="n">
        <x:v>131</x:v>
      </x:c>
      <x:c r="K243" s="36" t="n">
        <x:v>0.0318</x:v>
      </x:c>
      <x:c r="L243" s="36" t="n">
        <x:v>0.0234</x:v>
      </x:c>
    </x:row>
    <x:row r="244">
      <x:c r="A244" s="34" t="n">
        <x:v>45572</x:v>
      </x:c>
      <x:c r="B244" s="28" t="str">
        <x:v>Grupo Industrial S.A.</x:v>
      </x:c>
      <x:c r="C244" s="28" t="str">
        <x:v>Planta Campinas</x:v>
      </x:c>
      <x:c r="D244" s="28" t="str">
        <x:v>Linha 3 - Extrusão</x:v>
      </x:c>
      <x:c r="E244" s="28" t="str">
        <x:v>SKU-078</x:v>
      </x:c>
      <x:c r="F244" s="28" t="str">
        <x:v>Higiene e Limpeza</x:v>
      </x:c>
      <x:c r="G244" s="32" t="n">
        <x:v>4108</x:v>
      </x:c>
      <x:c r="H244" s="32" t="n">
        <x:v>3920</x:v>
      </x:c>
      <x:c r="I244" s="32" t="n">
        <x:v>188</x:v>
      </x:c>
      <x:c r="J244" s="32" t="n">
        <x:v>159</x:v>
      </x:c>
      <x:c r="K244" s="36" t="n">
        <x:v>0.0458</x:v>
      </x:c>
      <x:c r="L244" s="36" t="n">
        <x:v>0.0387</x:v>
      </x:c>
    </x:row>
    <x:row r="245">
      <x:c r="A245" s="34" t="n">
        <x:v>45572</x:v>
      </x:c>
      <x:c r="B245" s="28" t="str">
        <x:v>Grupo Industrial S.A.</x:v>
      </x:c>
      <x:c r="C245" s="28" t="str">
        <x:v>Planta Campinas</x:v>
      </x:c>
      <x:c r="D245" s="28" t="str">
        <x:v>Linha 4 - Embalagem</x:v>
      </x:c>
      <x:c r="E245" s="28" t="str">
        <x:v>SKU-105</x:v>
      </x:c>
      <x:c r="F245" s="28" t="str">
        <x:v>Embalagens</x:v>
      </x:c>
      <x:c r="G245" s="32" t="n">
        <x:v>3838</x:v>
      </x:c>
      <x:c r="H245" s="32" t="n">
        <x:v>3643</x:v>
      </x:c>
      <x:c r="I245" s="32" t="n">
        <x:v>195</x:v>
      </x:c>
      <x:c r="J245" s="32" t="n">
        <x:v>143</x:v>
      </x:c>
      <x:c r="K245" s="36" t="n">
        <x:v>0.0508</x:v>
      </x:c>
      <x:c r="L245" s="36" t="n">
        <x:v>0.0373</x:v>
      </x:c>
    </x:row>
    <x:row r="246">
      <x:c r="A246" s="34" t="n">
        <x:v>45572</x:v>
      </x:c>
      <x:c r="B246" s="28" t="str">
        <x:v>Grupo Industrial S.A.</x:v>
      </x:c>
      <x:c r="C246" s="28" t="str">
        <x:v>Planta Curitiba</x:v>
      </x:c>
      <x:c r="D246" s="28" t="str">
        <x:v>Linha 5 - Usinagem</x:v>
      </x:c>
      <x:c r="E246" s="28" t="str">
        <x:v>SKU-223</x:v>
      </x:c>
      <x:c r="F246" s="28" t="str">
        <x:v>Bebidas</x:v>
      </x:c>
      <x:c r="G246" s="32" t="n">
        <x:v>4391</x:v>
      </x:c>
      <x:c r="H246" s="32" t="n">
        <x:v>4225</x:v>
      </x:c>
      <x:c r="I246" s="32" t="n">
        <x:v>166</x:v>
      </x:c>
      <x:c r="J246" s="32" t="n">
        <x:v>115</x:v>
      </x:c>
      <x:c r="K246" s="36" t="n">
        <x:v>0.0378</x:v>
      </x:c>
      <x:c r="L246" s="36" t="n">
        <x:v>0.0262</x:v>
      </x:c>
    </x:row>
    <x:row r="247">
      <x:c r="A247" s="34" t="n">
        <x:v>45572</x:v>
      </x:c>
      <x:c r="B247" s="28" t="str">
        <x:v>Grupo Industrial S.A.</x:v>
      </x:c>
      <x:c r="C247" s="28" t="str">
        <x:v>Planta Curitiba</x:v>
      </x:c>
      <x:c r="D247" s="28" t="str">
        <x:v>Linha 6 - Finalização</x:v>
      </x:c>
      <x:c r="E247" s="28" t="str">
        <x:v>SKU-432</x:v>
      </x:c>
      <x:c r="F247" s="28" t="str">
        <x:v>Alimentos</x:v>
      </x:c>
      <x:c r="G247" s="32" t="n">
        <x:v>3959</x:v>
      </x:c>
      <x:c r="H247" s="32" t="n">
        <x:v>3862</x:v>
      </x:c>
      <x:c r="I247" s="32" t="n">
        <x:v>97</x:v>
      </x:c>
      <x:c r="J247" s="32" t="n">
        <x:v>124</x:v>
      </x:c>
      <x:c r="K247" s="36" t="n">
        <x:v>0.0245</x:v>
      </x:c>
      <x:c r="L247" s="36" t="n">
        <x:v>0.0313</x:v>
      </x:c>
    </x:row>
    <x:row r="248">
      <x:c r="A248" s="34" t="n">
        <x:v>45579</x:v>
      </x:c>
      <x:c r="B248" s="28" t="str">
        <x:v>Grupo Industrial S.A.</x:v>
      </x:c>
      <x:c r="C248" s="28" t="str">
        <x:v>Planta São Paulo</x:v>
      </x:c>
      <x:c r="D248" s="28" t="str">
        <x:v>Linha 1 - Corte</x:v>
      </x:c>
      <x:c r="E248" s="28" t="str">
        <x:v>SKU-001</x:v>
      </x:c>
      <x:c r="F248" s="28" t="str">
        <x:v>Alimentos</x:v>
      </x:c>
      <x:c r="G248" s="32" t="n">
        <x:v>6013</x:v>
      </x:c>
      <x:c r="H248" s="32" t="n">
        <x:v>5832</x:v>
      </x:c>
      <x:c r="I248" s="32" t="n">
        <x:v>181</x:v>
      </x:c>
      <x:c r="J248" s="32" t="n">
        <x:v>151</x:v>
      </x:c>
      <x:c r="K248" s="36" t="n">
        <x:v>0.0301</x:v>
      </x:c>
      <x:c r="L248" s="36" t="n">
        <x:v>0.0251</x:v>
      </x:c>
    </x:row>
    <x:row r="249">
      <x:c r="A249" s="34" t="n">
        <x:v>45579</x:v>
      </x:c>
      <x:c r="B249" s="28" t="str">
        <x:v>Grupo Industrial S.A.</x:v>
      </x:c>
      <x:c r="C249" s="28" t="str">
        <x:v>Planta São Paulo</x:v>
      </x:c>
      <x:c r="D249" s="28" t="str">
        <x:v>Linha 2 - Montagem</x:v>
      </x:c>
      <x:c r="E249" s="28" t="str">
        <x:v>SKU-002</x:v>
      </x:c>
      <x:c r="F249" s="28" t="str">
        <x:v>Alimentos</x:v>
      </x:c>
      <x:c r="G249" s="32" t="n">
        <x:v>5274</x:v>
      </x:c>
      <x:c r="H249" s="32" t="n">
        <x:v>5131</x:v>
      </x:c>
      <x:c r="I249" s="32" t="n">
        <x:v>143</x:v>
      </x:c>
      <x:c r="J249" s="32" t="n">
        <x:v>140</x:v>
      </x:c>
      <x:c r="K249" s="36" t="n">
        <x:v>0.0271</x:v>
      </x:c>
      <x:c r="L249" s="36" t="n">
        <x:v>0.0265</x:v>
      </x:c>
    </x:row>
    <x:row r="250">
      <x:c r="A250" s="34" t="n">
        <x:v>45579</x:v>
      </x:c>
      <x:c r="B250" s="28" t="str">
        <x:v>Grupo Industrial S.A.</x:v>
      </x:c>
      <x:c r="C250" s="28" t="str">
        <x:v>Planta Campinas</x:v>
      </x:c>
      <x:c r="D250" s="28" t="str">
        <x:v>Linha 3 - Extrusão</x:v>
      </x:c>
      <x:c r="E250" s="28" t="str">
        <x:v>SKU-078</x:v>
      </x:c>
      <x:c r="F250" s="28" t="str">
        <x:v>Higiene e Limpeza</x:v>
      </x:c>
      <x:c r="G250" s="32" t="n">
        <x:v>4178</x:v>
      </x:c>
      <x:c r="H250" s="32" t="n">
        <x:v>3966</x:v>
      </x:c>
      <x:c r="I250" s="32" t="n">
        <x:v>212</x:v>
      </x:c>
      <x:c r="J250" s="32" t="n">
        <x:v>143</x:v>
      </x:c>
      <x:c r="K250" s="36" t="n">
        <x:v>0.0507</x:v>
      </x:c>
      <x:c r="L250" s="36" t="n">
        <x:v>0.0342</x:v>
      </x:c>
    </x:row>
    <x:row r="251">
      <x:c r="A251" s="34" t="n">
        <x:v>45579</x:v>
      </x:c>
      <x:c r="B251" s="28" t="str">
        <x:v>Grupo Industrial S.A.</x:v>
      </x:c>
      <x:c r="C251" s="28" t="str">
        <x:v>Planta Campinas</x:v>
      </x:c>
      <x:c r="D251" s="28" t="str">
        <x:v>Linha 4 - Embalagem</x:v>
      </x:c>
      <x:c r="E251" s="28" t="str">
        <x:v>SKU-105</x:v>
      </x:c>
      <x:c r="F251" s="28" t="str">
        <x:v>Embalagens</x:v>
      </x:c>
      <x:c r="G251" s="32" t="n">
        <x:v>3901</x:v>
      </x:c>
      <x:c r="H251" s="32" t="n">
        <x:v>3743</x:v>
      </x:c>
      <x:c r="I251" s="32" t="n">
        <x:v>158</x:v>
      </x:c>
      <x:c r="J251" s="32" t="n">
        <x:v>144</x:v>
      </x:c>
      <x:c r="K251" s="36" t="n">
        <x:v>0.0405</x:v>
      </x:c>
      <x:c r="L251" s="36" t="n">
        <x:v>0.0369</x:v>
      </x:c>
    </x:row>
    <x:row r="252">
      <x:c r="A252" s="34" t="n">
        <x:v>45579</x:v>
      </x:c>
      <x:c r="B252" s="28" t="str">
        <x:v>Grupo Industrial S.A.</x:v>
      </x:c>
      <x:c r="C252" s="28" t="str">
        <x:v>Planta Curitiba</x:v>
      </x:c>
      <x:c r="D252" s="28" t="str">
        <x:v>Linha 5 - Usinagem</x:v>
      </x:c>
      <x:c r="E252" s="28" t="str">
        <x:v>SKU-223</x:v>
      </x:c>
      <x:c r="F252" s="28" t="str">
        <x:v>Bebidas</x:v>
      </x:c>
      <x:c r="G252" s="32" t="n">
        <x:v>4195</x:v>
      </x:c>
      <x:c r="H252" s="32" t="n">
        <x:v>4042</x:v>
      </x:c>
      <x:c r="I252" s="32" t="n">
        <x:v>153</x:v>
      </x:c>
      <x:c r="J252" s="32" t="n">
        <x:v>106</x:v>
      </x:c>
      <x:c r="K252" s="36" t="n">
        <x:v>0.0365</x:v>
      </x:c>
      <x:c r="L252" s="36" t="n">
        <x:v>0.0253</x:v>
      </x:c>
    </x:row>
    <x:row r="253">
      <x:c r="A253" s="34" t="n">
        <x:v>45579</x:v>
      </x:c>
      <x:c r="B253" s="28" t="str">
        <x:v>Grupo Industrial S.A.</x:v>
      </x:c>
      <x:c r="C253" s="28" t="str">
        <x:v>Planta Curitiba</x:v>
      </x:c>
      <x:c r="D253" s="28" t="str">
        <x:v>Linha 6 - Finalização</x:v>
      </x:c>
      <x:c r="E253" s="28" t="str">
        <x:v>SKU-432</x:v>
      </x:c>
      <x:c r="F253" s="28" t="str">
        <x:v>Alimentos</x:v>
      </x:c>
      <x:c r="G253" s="32" t="n">
        <x:v>3864</x:v>
      </x:c>
      <x:c r="H253" s="32" t="n">
        <x:v>3730</x:v>
      </x:c>
      <x:c r="I253" s="32" t="n">
        <x:v>134</x:v>
      </x:c>
      <x:c r="J253" s="32" t="n">
        <x:v>118</x:v>
      </x:c>
      <x:c r="K253" s="36" t="n">
        <x:v>0.0347</x:v>
      </x:c>
      <x:c r="L253" s="36" t="n">
        <x:v>0.0305</x:v>
      </x:c>
    </x:row>
    <x:row r="254">
      <x:c r="A254" s="34" t="n">
        <x:v>45586</x:v>
      </x:c>
      <x:c r="B254" s="28" t="str">
        <x:v>Grupo Industrial S.A.</x:v>
      </x:c>
      <x:c r="C254" s="28" t="str">
        <x:v>Planta São Paulo</x:v>
      </x:c>
      <x:c r="D254" s="28" t="str">
        <x:v>Linha 1 - Corte</x:v>
      </x:c>
      <x:c r="E254" s="28" t="str">
        <x:v>SKU-001</x:v>
      </x:c>
      <x:c r="F254" s="28" t="str">
        <x:v>Alimentos</x:v>
      </x:c>
      <x:c r="G254" s="32" t="n">
        <x:v>5662</x:v>
      </x:c>
      <x:c r="H254" s="32" t="n">
        <x:v>5547</x:v>
      </x:c>
      <x:c r="I254" s="32" t="n">
        <x:v>115</x:v>
      </x:c>
      <x:c r="J254" s="32" t="n">
        <x:v>140</x:v>
      </x:c>
      <x:c r="K254" s="36" t="n">
        <x:v>0.0203</x:v>
      </x:c>
      <x:c r="L254" s="36" t="n">
        <x:v>0.0247</x:v>
      </x:c>
    </x:row>
    <x:row r="255">
      <x:c r="A255" s="34" t="n">
        <x:v>45586</x:v>
      </x:c>
      <x:c r="B255" s="28" t="str">
        <x:v>Grupo Industrial S.A.</x:v>
      </x:c>
      <x:c r="C255" s="28" t="str">
        <x:v>Planta São Paulo</x:v>
      </x:c>
      <x:c r="D255" s="28" t="str">
        <x:v>Linha 2 - Montagem</x:v>
      </x:c>
      <x:c r="E255" s="28" t="str">
        <x:v>SKU-002</x:v>
      </x:c>
      <x:c r="F255" s="28" t="str">
        <x:v>Alimentos</x:v>
      </x:c>
      <x:c r="G255" s="32" t="n">
        <x:v>5528</x:v>
      </x:c>
      <x:c r="H255" s="32" t="n">
        <x:v>5332</x:v>
      </x:c>
      <x:c r="I255" s="32" t="n">
        <x:v>196</x:v>
      </x:c>
      <x:c r="J255" s="32" t="n">
        <x:v>148</x:v>
      </x:c>
      <x:c r="K255" s="36" t="n">
        <x:v>0.0355</x:v>
      </x:c>
      <x:c r="L255" s="36" t="n">
        <x:v>0.0268</x:v>
      </x:c>
    </x:row>
    <x:row r="256">
      <x:c r="A256" s="34" t="n">
        <x:v>45586</x:v>
      </x:c>
      <x:c r="B256" s="28" t="str">
        <x:v>Grupo Industrial S.A.</x:v>
      </x:c>
      <x:c r="C256" s="28" t="str">
        <x:v>Planta Campinas</x:v>
      </x:c>
      <x:c r="D256" s="28" t="str">
        <x:v>Linha 3 - Extrusão</x:v>
      </x:c>
      <x:c r="E256" s="28" t="str">
        <x:v>SKU-078</x:v>
      </x:c>
      <x:c r="F256" s="28" t="str">
        <x:v>Higiene e Limpeza</x:v>
      </x:c>
      <x:c r="G256" s="32" t="n">
        <x:v>4318</x:v>
      </x:c>
      <x:c r="H256" s="32" t="n">
        <x:v>4118</x:v>
      </x:c>
      <x:c r="I256" s="32" t="n">
        <x:v>200</x:v>
      </x:c>
      <x:c r="J256" s="32" t="n">
        <x:v>166</x:v>
      </x:c>
      <x:c r="K256" s="36" t="n">
        <x:v>0.0463</x:v>
      </x:c>
      <x:c r="L256" s="36" t="n">
        <x:v>0.0384</x:v>
      </x:c>
    </x:row>
    <x:row r="257">
      <x:c r="A257" s="34" t="n">
        <x:v>45586</x:v>
      </x:c>
      <x:c r="B257" s="28" t="str">
        <x:v>Grupo Industrial S.A.</x:v>
      </x:c>
      <x:c r="C257" s="28" t="str">
        <x:v>Planta Campinas</x:v>
      </x:c>
      <x:c r="D257" s="28" t="str">
        <x:v>Linha 4 - Embalagem</x:v>
      </x:c>
      <x:c r="E257" s="28" t="str">
        <x:v>SKU-105</x:v>
      </x:c>
      <x:c r="F257" s="28" t="str">
        <x:v>Embalagens</x:v>
      </x:c>
      <x:c r="G257" s="32" t="n">
        <x:v>3730</x:v>
      </x:c>
      <x:c r="H257" s="32" t="n">
        <x:v>3564</x:v>
      </x:c>
      <x:c r="I257" s="32" t="n">
        <x:v>166</x:v>
      </x:c>
      <x:c r="J257" s="32" t="n">
        <x:v>113</x:v>
      </x:c>
      <x:c r="K257" s="36" t="n">
        <x:v>0.0445</x:v>
      </x:c>
      <x:c r="L257" s="36" t="n">
        <x:v>0.0303</x:v>
      </x:c>
    </x:row>
    <x:row r="258">
      <x:c r="A258" s="34" t="n">
        <x:v>45586</x:v>
      </x:c>
      <x:c r="B258" s="28" t="str">
        <x:v>Grupo Industrial S.A.</x:v>
      </x:c>
      <x:c r="C258" s="28" t="str">
        <x:v>Planta Curitiba</x:v>
      </x:c>
      <x:c r="D258" s="28" t="str">
        <x:v>Linha 5 - Usinagem</x:v>
      </x:c>
      <x:c r="E258" s="28" t="str">
        <x:v>SKU-223</x:v>
      </x:c>
      <x:c r="F258" s="28" t="str">
        <x:v>Bebidas</x:v>
      </x:c>
      <x:c r="G258" s="32" t="n">
        <x:v>4557</x:v>
      </x:c>
      <x:c r="H258" s="32" t="n">
        <x:v>4388</x:v>
      </x:c>
      <x:c r="I258" s="32" t="n">
        <x:v>169</x:v>
      </x:c>
      <x:c r="J258" s="32" t="n">
        <x:v>129</x:v>
      </x:c>
      <x:c r="K258" s="36" t="n">
        <x:v>0.0371</x:v>
      </x:c>
      <x:c r="L258" s="36" t="n">
        <x:v>0.0283</x:v>
      </x:c>
    </x:row>
    <x:row r="259">
      <x:c r="A259" s="34" t="n">
        <x:v>45586</x:v>
      </x:c>
      <x:c r="B259" s="28" t="str">
        <x:v>Grupo Industrial S.A.</x:v>
      </x:c>
      <x:c r="C259" s="28" t="str">
        <x:v>Planta Curitiba</x:v>
      </x:c>
      <x:c r="D259" s="28" t="str">
        <x:v>Linha 6 - Finalização</x:v>
      </x:c>
      <x:c r="E259" s="28" t="str">
        <x:v>SKU-432</x:v>
      </x:c>
      <x:c r="F259" s="28" t="str">
        <x:v>Alimentos</x:v>
      </x:c>
      <x:c r="G259" s="32" t="n">
        <x:v>4347</x:v>
      </x:c>
      <x:c r="H259" s="32" t="n">
        <x:v>4219</x:v>
      </x:c>
      <x:c r="I259" s="32" t="n">
        <x:v>128</x:v>
      </x:c>
      <x:c r="J259" s="32" t="n">
        <x:v>116</x:v>
      </x:c>
      <x:c r="K259" s="36" t="n">
        <x:v>0.0294</x:v>
      </x:c>
      <x:c r="L259" s="36" t="n">
        <x:v>0.0267</x:v>
      </x:c>
    </x:row>
    <x:row r="260">
      <x:c r="A260" s="34" t="n">
        <x:v>45593</x:v>
      </x:c>
      <x:c r="B260" s="28" t="str">
        <x:v>Grupo Industrial S.A.</x:v>
      </x:c>
      <x:c r="C260" s="28" t="str">
        <x:v>Planta São Paulo</x:v>
      </x:c>
      <x:c r="D260" s="28" t="str">
        <x:v>Linha 1 - Corte</x:v>
      </x:c>
      <x:c r="E260" s="28" t="str">
        <x:v>SKU-001</x:v>
      </x:c>
      <x:c r="F260" s="28" t="str">
        <x:v>Alimentos</x:v>
      </x:c>
      <x:c r="G260" s="32" t="n">
        <x:v>5883</x:v>
      </x:c>
      <x:c r="H260" s="32" t="n">
        <x:v>5760</x:v>
      </x:c>
      <x:c r="I260" s="32" t="n">
        <x:v>123</x:v>
      </x:c>
      <x:c r="J260" s="32" t="n">
        <x:v>159</x:v>
      </x:c>
      <x:c r="K260" s="36" t="n">
        <x:v>0.0209</x:v>
      </x:c>
      <x:c r="L260" s="36" t="n">
        <x:v>0.027</x:v>
      </x:c>
    </x:row>
    <x:row r="261">
      <x:c r="A261" s="34" t="n">
        <x:v>45593</x:v>
      </x:c>
      <x:c r="B261" s="28" t="str">
        <x:v>Grupo Industrial S.A.</x:v>
      </x:c>
      <x:c r="C261" s="28" t="str">
        <x:v>Planta São Paulo</x:v>
      </x:c>
      <x:c r="D261" s="28" t="str">
        <x:v>Linha 2 - Montagem</x:v>
      </x:c>
      <x:c r="E261" s="28" t="str">
        <x:v>SKU-002</x:v>
      </x:c>
      <x:c r="F261" s="28" t="str">
        <x:v>Alimentos</x:v>
      </x:c>
      <x:c r="G261" s="32" t="n">
        <x:v>5564</x:v>
      </x:c>
      <x:c r="H261" s="32" t="n">
        <x:v>5431</x:v>
      </x:c>
      <x:c r="I261" s="32" t="n">
        <x:v>133</x:v>
      </x:c>
      <x:c r="J261" s="32" t="n">
        <x:v>183</x:v>
      </x:c>
      <x:c r="K261" s="36" t="n">
        <x:v>0.0239</x:v>
      </x:c>
      <x:c r="L261" s="36" t="n">
        <x:v>0.0329</x:v>
      </x:c>
    </x:row>
    <x:row r="262">
      <x:c r="A262" s="34" t="n">
        <x:v>45593</x:v>
      </x:c>
      <x:c r="B262" s="28" t="str">
        <x:v>Grupo Industrial S.A.</x:v>
      </x:c>
      <x:c r="C262" s="28" t="str">
        <x:v>Planta Campinas</x:v>
      </x:c>
      <x:c r="D262" s="28" t="str">
        <x:v>Linha 3 - Extrusão</x:v>
      </x:c>
      <x:c r="E262" s="28" t="str">
        <x:v>SKU-078</x:v>
      </x:c>
      <x:c r="F262" s="28" t="str">
        <x:v>Higiene e Limpeza</x:v>
      </x:c>
      <x:c r="G262" s="32" t="n">
        <x:v>4207</x:v>
      </x:c>
      <x:c r="H262" s="32" t="n">
        <x:v>4014</x:v>
      </x:c>
      <x:c r="I262" s="32" t="n">
        <x:v>193</x:v>
      </x:c>
      <x:c r="J262" s="32" t="n">
        <x:v>148</x:v>
      </x:c>
      <x:c r="K262" s="36" t="n">
        <x:v>0.0459</x:v>
      </x:c>
      <x:c r="L262" s="36" t="n">
        <x:v>0.0352</x:v>
      </x:c>
    </x:row>
    <x:row r="263">
      <x:c r="A263" s="34" t="n">
        <x:v>45593</x:v>
      </x:c>
      <x:c r="B263" s="28" t="str">
        <x:v>Grupo Industrial S.A.</x:v>
      </x:c>
      <x:c r="C263" s="28" t="str">
        <x:v>Planta Campinas</x:v>
      </x:c>
      <x:c r="D263" s="28" t="str">
        <x:v>Linha 4 - Embalagem</x:v>
      </x:c>
      <x:c r="E263" s="28" t="str">
        <x:v>SKU-105</x:v>
      </x:c>
      <x:c r="F263" s="28" t="str">
        <x:v>Embalagens</x:v>
      </x:c>
      <x:c r="G263" s="32" t="n">
        <x:v>3649</x:v>
      </x:c>
      <x:c r="H263" s="32" t="n">
        <x:v>3515</x:v>
      </x:c>
      <x:c r="I263" s="32" t="n">
        <x:v>134</x:v>
      </x:c>
      <x:c r="J263" s="32" t="n">
        <x:v>131</x:v>
      </x:c>
      <x:c r="K263" s="36" t="n">
        <x:v>0.0367</x:v>
      </x:c>
      <x:c r="L263" s="36" t="n">
        <x:v>0.0359</x:v>
      </x:c>
    </x:row>
    <x:row r="264">
      <x:c r="A264" s="34" t="n">
        <x:v>45593</x:v>
      </x:c>
      <x:c r="B264" s="28" t="str">
        <x:v>Grupo Industrial S.A.</x:v>
      </x:c>
      <x:c r="C264" s="28" t="str">
        <x:v>Planta Curitiba</x:v>
      </x:c>
      <x:c r="D264" s="28" t="str">
        <x:v>Linha 5 - Usinagem</x:v>
      </x:c>
      <x:c r="E264" s="28" t="str">
        <x:v>SKU-223</x:v>
      </x:c>
      <x:c r="F264" s="28" t="str">
        <x:v>Bebidas</x:v>
      </x:c>
      <x:c r="G264" s="32" t="n">
        <x:v>4850</x:v>
      </x:c>
      <x:c r="H264" s="32" t="n">
        <x:v>4687</x:v>
      </x:c>
      <x:c r="I264" s="32" t="n">
        <x:v>163</x:v>
      </x:c>
      <x:c r="J264" s="32" t="n">
        <x:v>159</x:v>
      </x:c>
      <x:c r="K264" s="36" t="n">
        <x:v>0.0336</x:v>
      </x:c>
      <x:c r="L264" s="36" t="n">
        <x:v>0.0328</x:v>
      </x:c>
    </x:row>
    <x:row r="265">
      <x:c r="A265" s="34" t="n">
        <x:v>45593</x:v>
      </x:c>
      <x:c r="B265" s="28" t="str">
        <x:v>Grupo Industrial S.A.</x:v>
      </x:c>
      <x:c r="C265" s="28" t="str">
        <x:v>Planta Curitiba</x:v>
      </x:c>
      <x:c r="D265" s="28" t="str">
        <x:v>Linha 6 - Finalização</x:v>
      </x:c>
      <x:c r="E265" s="28" t="str">
        <x:v>SKU-432</x:v>
      </x:c>
      <x:c r="F265" s="28" t="str">
        <x:v>Alimentos</x:v>
      </x:c>
      <x:c r="G265" s="32" t="n">
        <x:v>4045</x:v>
      </x:c>
      <x:c r="H265" s="32" t="n">
        <x:v>3882</x:v>
      </x:c>
      <x:c r="I265" s="32" t="n">
        <x:v>163</x:v>
      </x:c>
      <x:c r="J265" s="32" t="n">
        <x:v>110</x:v>
      </x:c>
      <x:c r="K265" s="36" t="n">
        <x:v>0.0403</x:v>
      </x:c>
      <x:c r="L265" s="36" t="n">
        <x:v>0.0272</x:v>
      </x:c>
    </x:row>
    <x:row r="266">
      <x:c r="A266" s="34" t="n">
        <x:v>45600</x:v>
      </x:c>
      <x:c r="B266" s="28" t="str">
        <x:v>Grupo Industrial S.A.</x:v>
      </x:c>
      <x:c r="C266" s="28" t="str">
        <x:v>Planta São Paulo</x:v>
      </x:c>
      <x:c r="D266" s="28" t="str">
        <x:v>Linha 1 - Corte</x:v>
      </x:c>
      <x:c r="E266" s="28" t="str">
        <x:v>SKU-001</x:v>
      </x:c>
      <x:c r="F266" s="28" t="str">
        <x:v>Alimentos</x:v>
      </x:c>
      <x:c r="G266" s="32" t="n">
        <x:v>6010</x:v>
      </x:c>
      <x:c r="H266" s="32" t="n">
        <x:v>5851</x:v>
      </x:c>
      <x:c r="I266" s="32" t="n">
        <x:v>159</x:v>
      </x:c>
      <x:c r="J266" s="32" t="n">
        <x:v>188</x:v>
      </x:c>
      <x:c r="K266" s="36" t="n">
        <x:v>0.0265</x:v>
      </x:c>
      <x:c r="L266" s="36" t="n">
        <x:v>0.0313</x:v>
      </x:c>
    </x:row>
    <x:row r="267">
      <x:c r="A267" s="34" t="n">
        <x:v>45600</x:v>
      </x:c>
      <x:c r="B267" s="28" t="str">
        <x:v>Grupo Industrial S.A.</x:v>
      </x:c>
      <x:c r="C267" s="28" t="str">
        <x:v>Planta São Paulo</x:v>
      </x:c>
      <x:c r="D267" s="28" t="str">
        <x:v>Linha 2 - Montagem</x:v>
      </x:c>
      <x:c r="E267" s="28" t="str">
        <x:v>SKU-002</x:v>
      </x:c>
      <x:c r="F267" s="28" t="str">
        <x:v>Alimentos</x:v>
      </x:c>
      <x:c r="G267" s="32" t="n">
        <x:v>4879</x:v>
      </x:c>
      <x:c r="H267" s="32" t="n">
        <x:v>4772</x:v>
      </x:c>
      <x:c r="I267" s="32" t="n">
        <x:v>107</x:v>
      </x:c>
      <x:c r="J267" s="32" t="n">
        <x:v>121</x:v>
      </x:c>
      <x:c r="K267" s="36" t="n">
        <x:v>0.0219</x:v>
      </x:c>
      <x:c r="L267" s="36" t="n">
        <x:v>0.0248</x:v>
      </x:c>
    </x:row>
    <x:row r="268">
      <x:c r="A268" s="34" t="n">
        <x:v>45600</x:v>
      </x:c>
      <x:c r="B268" s="28" t="str">
        <x:v>Grupo Industrial S.A.</x:v>
      </x:c>
      <x:c r="C268" s="28" t="str">
        <x:v>Planta Campinas</x:v>
      </x:c>
      <x:c r="D268" s="28" t="str">
        <x:v>Linha 3 - Extrusão</x:v>
      </x:c>
      <x:c r="E268" s="28" t="str">
        <x:v>SKU-078</x:v>
      </x:c>
      <x:c r="F268" s="28" t="str">
        <x:v>Higiene e Limpeza</x:v>
      </x:c>
      <x:c r="G268" s="32" t="n">
        <x:v>4252</x:v>
      </x:c>
      <x:c r="H268" s="32" t="n">
        <x:v>4069</x:v>
      </x:c>
      <x:c r="I268" s="32" t="n">
        <x:v>183</x:v>
      </x:c>
      <x:c r="J268" s="32" t="n">
        <x:v>141</x:v>
      </x:c>
      <x:c r="K268" s="36" t="n">
        <x:v>0.043</x:v>
      </x:c>
      <x:c r="L268" s="36" t="n">
        <x:v>0.0332</x:v>
      </x:c>
    </x:row>
    <x:row r="269">
      <x:c r="A269" s="34" t="n">
        <x:v>45600</x:v>
      </x:c>
      <x:c r="B269" s="28" t="str">
        <x:v>Grupo Industrial S.A.</x:v>
      </x:c>
      <x:c r="C269" s="28" t="str">
        <x:v>Planta Campinas</x:v>
      </x:c>
      <x:c r="D269" s="28" t="str">
        <x:v>Linha 4 - Embalagem</x:v>
      </x:c>
      <x:c r="E269" s="28" t="str">
        <x:v>SKU-105</x:v>
      </x:c>
      <x:c r="F269" s="28" t="str">
        <x:v>Embalagens</x:v>
      </x:c>
      <x:c r="G269" s="32" t="n">
        <x:v>3703</x:v>
      </x:c>
      <x:c r="H269" s="32" t="n">
        <x:v>3549</x:v>
      </x:c>
      <x:c r="I269" s="32" t="n">
        <x:v>154</x:v>
      </x:c>
      <x:c r="J269" s="32" t="n">
        <x:v>138</x:v>
      </x:c>
      <x:c r="K269" s="36" t="n">
        <x:v>0.0416</x:v>
      </x:c>
      <x:c r="L269" s="36" t="n">
        <x:v>0.0373</x:v>
      </x:c>
    </x:row>
    <x:row r="270">
      <x:c r="A270" s="34" t="n">
        <x:v>45600</x:v>
      </x:c>
      <x:c r="B270" s="28" t="str">
        <x:v>Grupo Industrial S.A.</x:v>
      </x:c>
      <x:c r="C270" s="28" t="str">
        <x:v>Planta Curitiba</x:v>
      </x:c>
      <x:c r="D270" s="28" t="str">
        <x:v>Linha 5 - Usinagem</x:v>
      </x:c>
      <x:c r="E270" s="28" t="str">
        <x:v>SKU-223</x:v>
      </x:c>
      <x:c r="F270" s="28" t="str">
        <x:v>Bebidas</x:v>
      </x:c>
      <x:c r="G270" s="32" t="n">
        <x:v>4245</x:v>
      </x:c>
      <x:c r="H270" s="32" t="n">
        <x:v>4135</x:v>
      </x:c>
      <x:c r="I270" s="32" t="n">
        <x:v>110</x:v>
      </x:c>
      <x:c r="J270" s="32" t="n">
        <x:v>117</x:v>
      </x:c>
      <x:c r="K270" s="36" t="n">
        <x:v>0.0259</x:v>
      </x:c>
      <x:c r="L270" s="36" t="n">
        <x:v>0.0276</x:v>
      </x:c>
    </x:row>
    <x:row r="271">
      <x:c r="A271" s="34" t="n">
        <x:v>45600</x:v>
      </x:c>
      <x:c r="B271" s="28" t="str">
        <x:v>Grupo Industrial S.A.</x:v>
      </x:c>
      <x:c r="C271" s="28" t="str">
        <x:v>Planta Curitiba</x:v>
      </x:c>
      <x:c r="D271" s="28" t="str">
        <x:v>Linha 6 - Finalização</x:v>
      </x:c>
      <x:c r="E271" s="28" t="str">
        <x:v>SKU-432</x:v>
      </x:c>
      <x:c r="F271" s="28" t="str">
        <x:v>Alimentos</x:v>
      </x:c>
      <x:c r="G271" s="32" t="n">
        <x:v>3990</x:v>
      </x:c>
      <x:c r="H271" s="32" t="n">
        <x:v>3851</x:v>
      </x:c>
      <x:c r="I271" s="32" t="n">
        <x:v>139</x:v>
      </x:c>
      <x:c r="J271" s="32" t="n">
        <x:v>129</x:v>
      </x:c>
      <x:c r="K271" s="36" t="n">
        <x:v>0.0348</x:v>
      </x:c>
      <x:c r="L271" s="36" t="n">
        <x:v>0.0323</x:v>
      </x:c>
    </x:row>
    <x:row r="272">
      <x:c r="A272" s="34" t="n">
        <x:v>45607</x:v>
      </x:c>
      <x:c r="B272" s="28" t="str">
        <x:v>Grupo Industrial S.A.</x:v>
      </x:c>
      <x:c r="C272" s="28" t="str">
        <x:v>Planta São Paulo</x:v>
      </x:c>
      <x:c r="D272" s="28" t="str">
        <x:v>Linha 1 - Corte</x:v>
      </x:c>
      <x:c r="E272" s="28" t="str">
        <x:v>SKU-001</x:v>
      </x:c>
      <x:c r="F272" s="28" t="str">
        <x:v>Alimentos</x:v>
      </x:c>
      <x:c r="G272" s="32" t="n">
        <x:v>5848</x:v>
      </x:c>
      <x:c r="H272" s="32" t="n">
        <x:v>5745</x:v>
      </x:c>
      <x:c r="I272" s="32" t="n">
        <x:v>103</x:v>
      </x:c>
      <x:c r="J272" s="32" t="n">
        <x:v>171</x:v>
      </x:c>
      <x:c r="K272" s="36" t="n">
        <x:v>0.0176</x:v>
      </x:c>
      <x:c r="L272" s="36" t="n">
        <x:v>0.0292</x:v>
      </x:c>
    </x:row>
    <x:row r="273">
      <x:c r="A273" s="34" t="n">
        <x:v>45607</x:v>
      </x:c>
      <x:c r="B273" s="28" t="str">
        <x:v>Grupo Industrial S.A.</x:v>
      </x:c>
      <x:c r="C273" s="28" t="str">
        <x:v>Planta São Paulo</x:v>
      </x:c>
      <x:c r="D273" s="28" t="str">
        <x:v>Linha 2 - Montagem</x:v>
      </x:c>
      <x:c r="E273" s="28" t="str">
        <x:v>SKU-002</x:v>
      </x:c>
      <x:c r="F273" s="28" t="str">
        <x:v>Alimentos</x:v>
      </x:c>
      <x:c r="G273" s="32" t="n">
        <x:v>5226</x:v>
      </x:c>
      <x:c r="H273" s="32" t="n">
        <x:v>5043</x:v>
      </x:c>
      <x:c r="I273" s="32" t="n">
        <x:v>183</x:v>
      </x:c>
      <x:c r="J273" s="32" t="n">
        <x:v>117</x:v>
      </x:c>
      <x:c r="K273" s="36" t="n">
        <x:v>0.035</x:v>
      </x:c>
      <x:c r="L273" s="36" t="n">
        <x:v>0.0224</x:v>
      </x:c>
    </x:row>
    <x:row r="274">
      <x:c r="A274" s="34" t="n">
        <x:v>45607</x:v>
      </x:c>
      <x:c r="B274" s="28" t="str">
        <x:v>Grupo Industrial S.A.</x:v>
      </x:c>
      <x:c r="C274" s="28" t="str">
        <x:v>Planta Campinas</x:v>
      </x:c>
      <x:c r="D274" s="28" t="str">
        <x:v>Linha 3 - Extrusão</x:v>
      </x:c>
      <x:c r="E274" s="28" t="str">
        <x:v>SKU-078</x:v>
      </x:c>
      <x:c r="F274" s="28" t="str">
        <x:v>Higiene e Limpeza</x:v>
      </x:c>
      <x:c r="G274" s="32" t="n">
        <x:v>4314</x:v>
      </x:c>
      <x:c r="H274" s="32" t="n">
        <x:v>4122</x:v>
      </x:c>
      <x:c r="I274" s="32" t="n">
        <x:v>192</x:v>
      </x:c>
      <x:c r="J274" s="32" t="n">
        <x:v>148</x:v>
      </x:c>
      <x:c r="K274" s="36" t="n">
        <x:v>0.0445</x:v>
      </x:c>
      <x:c r="L274" s="36" t="n">
        <x:v>0.0343</x:v>
      </x:c>
    </x:row>
    <x:row r="275">
      <x:c r="A275" s="34" t="n">
        <x:v>45607</x:v>
      </x:c>
      <x:c r="B275" s="28" t="str">
        <x:v>Grupo Industrial S.A.</x:v>
      </x:c>
      <x:c r="C275" s="28" t="str">
        <x:v>Planta Campinas</x:v>
      </x:c>
      <x:c r="D275" s="28" t="str">
        <x:v>Linha 4 - Embalagem</x:v>
      </x:c>
      <x:c r="E275" s="28" t="str">
        <x:v>SKU-105</x:v>
      </x:c>
      <x:c r="F275" s="28" t="str">
        <x:v>Embalagens</x:v>
      </x:c>
      <x:c r="G275" s="32" t="n">
        <x:v>3844</x:v>
      </x:c>
      <x:c r="H275" s="32" t="n">
        <x:v>3641</x:v>
      </x:c>
      <x:c r="I275" s="32" t="n">
        <x:v>203</x:v>
      </x:c>
      <x:c r="J275" s="32" t="n">
        <x:v>106</x:v>
      </x:c>
      <x:c r="K275" s="36" t="n">
        <x:v>0.0528</x:v>
      </x:c>
      <x:c r="L275" s="36" t="n">
        <x:v>0.0276</x:v>
      </x:c>
    </x:row>
    <x:row r="276">
      <x:c r="A276" s="34" t="n">
        <x:v>45607</x:v>
      </x:c>
      <x:c r="B276" s="28" t="str">
        <x:v>Grupo Industrial S.A.</x:v>
      </x:c>
      <x:c r="C276" s="28" t="str">
        <x:v>Planta Curitiba</x:v>
      </x:c>
      <x:c r="D276" s="28" t="str">
        <x:v>Linha 5 - Usinagem</x:v>
      </x:c>
      <x:c r="E276" s="28" t="str">
        <x:v>SKU-223</x:v>
      </x:c>
      <x:c r="F276" s="28" t="str">
        <x:v>Bebidas</x:v>
      </x:c>
      <x:c r="G276" s="32" t="n">
        <x:v>4372</x:v>
      </x:c>
      <x:c r="H276" s="32" t="n">
        <x:v>4251</x:v>
      </x:c>
      <x:c r="I276" s="32" t="n">
        <x:v>121</x:v>
      </x:c>
      <x:c r="J276" s="32" t="n">
        <x:v>133</x:v>
      </x:c>
      <x:c r="K276" s="36" t="n">
        <x:v>0.0277</x:v>
      </x:c>
      <x:c r="L276" s="36" t="n">
        <x:v>0.0304</x:v>
      </x:c>
    </x:row>
    <x:row r="277">
      <x:c r="A277" s="34" t="n">
        <x:v>45607</x:v>
      </x:c>
      <x:c r="B277" s="28" t="str">
        <x:v>Grupo Industrial S.A.</x:v>
      </x:c>
      <x:c r="C277" s="28" t="str">
        <x:v>Planta Curitiba</x:v>
      </x:c>
      <x:c r="D277" s="28" t="str">
        <x:v>Linha 6 - Finalização</x:v>
      </x:c>
      <x:c r="E277" s="28" t="str">
        <x:v>SKU-432</x:v>
      </x:c>
      <x:c r="F277" s="28" t="str">
        <x:v>Alimentos</x:v>
      </x:c>
      <x:c r="G277" s="32" t="n">
        <x:v>3928</x:v>
      </x:c>
      <x:c r="H277" s="32" t="n">
        <x:v>3821</x:v>
      </x:c>
      <x:c r="I277" s="32" t="n">
        <x:v>107</x:v>
      </x:c>
      <x:c r="J277" s="32" t="n">
        <x:v>99</x:v>
      </x:c>
      <x:c r="K277" s="36" t="n">
        <x:v>0.0272</x:v>
      </x:c>
      <x:c r="L277" s="36" t="n">
        <x:v>0.0252</x:v>
      </x:c>
    </x:row>
    <x:row r="278">
      <x:c r="A278" s="34" t="n">
        <x:v>45614</x:v>
      </x:c>
      <x:c r="B278" s="28" t="str">
        <x:v>Grupo Industrial S.A.</x:v>
      </x:c>
      <x:c r="C278" s="28" t="str">
        <x:v>Planta São Paulo</x:v>
      </x:c>
      <x:c r="D278" s="28" t="str">
        <x:v>Linha 1 - Corte</x:v>
      </x:c>
      <x:c r="E278" s="28" t="str">
        <x:v>SKU-001</x:v>
      </x:c>
      <x:c r="F278" s="28" t="str">
        <x:v>Alimentos</x:v>
      </x:c>
      <x:c r="G278" s="32" t="n">
        <x:v>6133</x:v>
      </x:c>
      <x:c r="H278" s="32" t="n">
        <x:v>6008</x:v>
      </x:c>
      <x:c r="I278" s="32" t="n">
        <x:v>125</x:v>
      </x:c>
      <x:c r="J278" s="32" t="n">
        <x:v>189</x:v>
      </x:c>
      <x:c r="K278" s="36" t="n">
        <x:v>0.0204</x:v>
      </x:c>
      <x:c r="L278" s="36" t="n">
        <x:v>0.0308</x:v>
      </x:c>
    </x:row>
    <x:row r="279">
      <x:c r="A279" s="34" t="n">
        <x:v>45614</x:v>
      </x:c>
      <x:c r="B279" s="28" t="str">
        <x:v>Grupo Industrial S.A.</x:v>
      </x:c>
      <x:c r="C279" s="28" t="str">
        <x:v>Planta São Paulo</x:v>
      </x:c>
      <x:c r="D279" s="28" t="str">
        <x:v>Linha 2 - Montagem</x:v>
      </x:c>
      <x:c r="E279" s="28" t="str">
        <x:v>SKU-002</x:v>
      </x:c>
      <x:c r="F279" s="28" t="str">
        <x:v>Alimentos</x:v>
      </x:c>
      <x:c r="G279" s="32" t="n">
        <x:v>5631</x:v>
      </x:c>
      <x:c r="H279" s="32" t="n">
        <x:v>5464</x:v>
      </x:c>
      <x:c r="I279" s="32" t="n">
        <x:v>167</x:v>
      </x:c>
      <x:c r="J279" s="32" t="n">
        <x:v>148</x:v>
      </x:c>
      <x:c r="K279" s="36" t="n">
        <x:v>0.0297</x:v>
      </x:c>
      <x:c r="L279" s="36" t="n">
        <x:v>0.0263</x:v>
      </x:c>
    </x:row>
    <x:row r="280">
      <x:c r="A280" s="34" t="n">
        <x:v>45614</x:v>
      </x:c>
      <x:c r="B280" s="28" t="str">
        <x:v>Grupo Industrial S.A.</x:v>
      </x:c>
      <x:c r="C280" s="28" t="str">
        <x:v>Planta Campinas</x:v>
      </x:c>
      <x:c r="D280" s="28" t="str">
        <x:v>Linha 3 - Extrusão</x:v>
      </x:c>
      <x:c r="E280" s="28" t="str">
        <x:v>SKU-078</x:v>
      </x:c>
      <x:c r="F280" s="28" t="str">
        <x:v>Higiene e Limpeza</x:v>
      </x:c>
      <x:c r="G280" s="32" t="n">
        <x:v>4185</x:v>
      </x:c>
      <x:c r="H280" s="32" t="n">
        <x:v>4018</x:v>
      </x:c>
      <x:c r="I280" s="32" t="n">
        <x:v>167</x:v>
      </x:c>
      <x:c r="J280" s="32" t="n">
        <x:v>161</x:v>
      </x:c>
      <x:c r="K280" s="36" t="n">
        <x:v>0.0399</x:v>
      </x:c>
      <x:c r="L280" s="36" t="n">
        <x:v>0.0385</x:v>
      </x:c>
    </x:row>
    <x:row r="281">
      <x:c r="A281" s="34" t="n">
        <x:v>45614</x:v>
      </x:c>
      <x:c r="B281" s="28" t="str">
        <x:v>Grupo Industrial S.A.</x:v>
      </x:c>
      <x:c r="C281" s="28" t="str">
        <x:v>Planta Campinas</x:v>
      </x:c>
      <x:c r="D281" s="28" t="str">
        <x:v>Linha 4 - Embalagem</x:v>
      </x:c>
      <x:c r="E281" s="28" t="str">
        <x:v>SKU-105</x:v>
      </x:c>
      <x:c r="F281" s="28" t="str">
        <x:v>Embalagens</x:v>
      </x:c>
      <x:c r="G281" s="32" t="n">
        <x:v>3855</x:v>
      </x:c>
      <x:c r="H281" s="32" t="n">
        <x:v>3674</x:v>
      </x:c>
      <x:c r="I281" s="32" t="n">
        <x:v>181</x:v>
      </x:c>
      <x:c r="J281" s="32" t="n">
        <x:v>147</x:v>
      </x:c>
      <x:c r="K281" s="36" t="n">
        <x:v>0.047</x:v>
      </x:c>
      <x:c r="L281" s="36" t="n">
        <x:v>0.0381</x:v>
      </x:c>
    </x:row>
    <x:row r="282">
      <x:c r="A282" s="34" t="n">
        <x:v>45614</x:v>
      </x:c>
      <x:c r="B282" s="28" t="str">
        <x:v>Grupo Industrial S.A.</x:v>
      </x:c>
      <x:c r="C282" s="28" t="str">
        <x:v>Planta Curitiba</x:v>
      </x:c>
      <x:c r="D282" s="28" t="str">
        <x:v>Linha 5 - Usinagem</x:v>
      </x:c>
      <x:c r="E282" s="28" t="str">
        <x:v>SKU-223</x:v>
      </x:c>
      <x:c r="F282" s="28" t="str">
        <x:v>Bebidas</x:v>
      </x:c>
      <x:c r="G282" s="32" t="n">
        <x:v>4142</x:v>
      </x:c>
      <x:c r="H282" s="32" t="n">
        <x:v>3973</x:v>
      </x:c>
      <x:c r="I282" s="32" t="n">
        <x:v>169</x:v>
      </x:c>
      <x:c r="J282" s="32" t="n">
        <x:v>89</x:v>
      </x:c>
      <x:c r="K282" s="36" t="n">
        <x:v>0.0408</x:v>
      </x:c>
      <x:c r="L282" s="36" t="n">
        <x:v>0.0215</x:v>
      </x:c>
    </x:row>
    <x:row r="283">
      <x:c r="A283" s="34" t="n">
        <x:v>45614</x:v>
      </x:c>
      <x:c r="B283" s="28" t="str">
        <x:v>Grupo Industrial S.A.</x:v>
      </x:c>
      <x:c r="C283" s="28" t="str">
        <x:v>Planta Curitiba</x:v>
      </x:c>
      <x:c r="D283" s="28" t="str">
        <x:v>Linha 6 - Finalização</x:v>
      </x:c>
      <x:c r="E283" s="28" t="str">
        <x:v>SKU-432</x:v>
      </x:c>
      <x:c r="F283" s="28" t="str">
        <x:v>Alimentos</x:v>
      </x:c>
      <x:c r="G283" s="32" t="n">
        <x:v>3699</x:v>
      </x:c>
      <x:c r="H283" s="32" t="n">
        <x:v>3556</x:v>
      </x:c>
      <x:c r="I283" s="32" t="n">
        <x:v>143</x:v>
      </x:c>
      <x:c r="J283" s="32" t="n">
        <x:v>120</x:v>
      </x:c>
      <x:c r="K283" s="36" t="n">
        <x:v>0.0387</x:v>
      </x:c>
      <x:c r="L283" s="36" t="n">
        <x:v>0.0324</x:v>
      </x:c>
    </x:row>
    <x:row r="284">
      <x:c r="A284" s="34" t="n">
        <x:v>45621</x:v>
      </x:c>
      <x:c r="B284" s="28" t="str">
        <x:v>Grupo Industrial S.A.</x:v>
      </x:c>
      <x:c r="C284" s="28" t="str">
        <x:v>Planta São Paulo</x:v>
      </x:c>
      <x:c r="D284" s="28" t="str">
        <x:v>Linha 1 - Corte</x:v>
      </x:c>
      <x:c r="E284" s="28" t="str">
        <x:v>SKU-001</x:v>
      </x:c>
      <x:c r="F284" s="28" t="str">
        <x:v>Alimentos</x:v>
      </x:c>
      <x:c r="G284" s="32" t="n">
        <x:v>5992</x:v>
      </x:c>
      <x:c r="H284" s="32" t="n">
        <x:v>5855</x:v>
      </x:c>
      <x:c r="I284" s="32" t="n">
        <x:v>137</x:v>
      </x:c>
      <x:c r="J284" s="32" t="n">
        <x:v>197</x:v>
      </x:c>
      <x:c r="K284" s="36" t="n">
        <x:v>0.0229</x:v>
      </x:c>
      <x:c r="L284" s="36" t="n">
        <x:v>0.0329</x:v>
      </x:c>
    </x:row>
    <x:row r="285">
      <x:c r="A285" s="34" t="n">
        <x:v>45621</x:v>
      </x:c>
      <x:c r="B285" s="28" t="str">
        <x:v>Grupo Industrial S.A.</x:v>
      </x:c>
      <x:c r="C285" s="28" t="str">
        <x:v>Planta São Paulo</x:v>
      </x:c>
      <x:c r="D285" s="28" t="str">
        <x:v>Linha 2 - Montagem</x:v>
      </x:c>
      <x:c r="E285" s="28" t="str">
        <x:v>SKU-002</x:v>
      </x:c>
      <x:c r="F285" s="28" t="str">
        <x:v>Alimentos</x:v>
      </x:c>
      <x:c r="G285" s="32" t="n">
        <x:v>5030</x:v>
      </x:c>
      <x:c r="H285" s="32" t="n">
        <x:v>4923</x:v>
      </x:c>
      <x:c r="I285" s="32" t="n">
        <x:v>107</x:v>
      </x:c>
      <x:c r="J285" s="32" t="n">
        <x:v>135</x:v>
      </x:c>
      <x:c r="K285" s="36" t="n">
        <x:v>0.0213</x:v>
      </x:c>
      <x:c r="L285" s="36" t="n">
        <x:v>0.0268</x:v>
      </x:c>
    </x:row>
    <x:row r="286">
      <x:c r="A286" s="34" t="n">
        <x:v>45621</x:v>
      </x:c>
      <x:c r="B286" s="28" t="str">
        <x:v>Grupo Industrial S.A.</x:v>
      </x:c>
      <x:c r="C286" s="28" t="str">
        <x:v>Planta Campinas</x:v>
      </x:c>
      <x:c r="D286" s="28" t="str">
        <x:v>Linha 3 - Extrusão</x:v>
      </x:c>
      <x:c r="E286" s="28" t="str">
        <x:v>SKU-078</x:v>
      </x:c>
      <x:c r="F286" s="28" t="str">
        <x:v>Higiene e Limpeza</x:v>
      </x:c>
      <x:c r="G286" s="32" t="n">
        <x:v>4186</x:v>
      </x:c>
      <x:c r="H286" s="32" t="n">
        <x:v>3972</x:v>
      </x:c>
      <x:c r="I286" s="32" t="n">
        <x:v>214</x:v>
      </x:c>
      <x:c r="J286" s="32" t="n">
        <x:v>143</x:v>
      </x:c>
      <x:c r="K286" s="36" t="n">
        <x:v>0.0511</x:v>
      </x:c>
      <x:c r="L286" s="36" t="n">
        <x:v>0.0342</x:v>
      </x:c>
    </x:row>
    <x:row r="287">
      <x:c r="A287" s="34" t="n">
        <x:v>45621</x:v>
      </x:c>
      <x:c r="B287" s="28" t="str">
        <x:v>Grupo Industrial S.A.</x:v>
      </x:c>
      <x:c r="C287" s="28" t="str">
        <x:v>Planta Campinas</x:v>
      </x:c>
      <x:c r="D287" s="28" t="str">
        <x:v>Linha 4 - Embalagem</x:v>
      </x:c>
      <x:c r="E287" s="28" t="str">
        <x:v>SKU-105</x:v>
      </x:c>
      <x:c r="F287" s="28" t="str">
        <x:v>Embalagens</x:v>
      </x:c>
      <x:c r="G287" s="32" t="n">
        <x:v>3938</x:v>
      </x:c>
      <x:c r="H287" s="32" t="n">
        <x:v>3794</x:v>
      </x:c>
      <x:c r="I287" s="32" t="n">
        <x:v>144</x:v>
      </x:c>
      <x:c r="J287" s="32" t="n">
        <x:v>107</x:v>
      </x:c>
      <x:c r="K287" s="36" t="n">
        <x:v>0.0366</x:v>
      </x:c>
      <x:c r="L287" s="36" t="n">
        <x:v>0.0272</x:v>
      </x:c>
    </x:row>
    <x:row r="288">
      <x:c r="A288" s="34" t="n">
        <x:v>45621</x:v>
      </x:c>
      <x:c r="B288" s="28" t="str">
        <x:v>Grupo Industrial S.A.</x:v>
      </x:c>
      <x:c r="C288" s="28" t="str">
        <x:v>Planta Curitiba</x:v>
      </x:c>
      <x:c r="D288" s="28" t="str">
        <x:v>Linha 5 - Usinagem</x:v>
      </x:c>
      <x:c r="E288" s="28" t="str">
        <x:v>SKU-223</x:v>
      </x:c>
      <x:c r="F288" s="28" t="str">
        <x:v>Bebidas</x:v>
      </x:c>
      <x:c r="G288" s="32" t="n">
        <x:v>4114</x:v>
      </x:c>
      <x:c r="H288" s="32" t="n">
        <x:v>3999</x:v>
      </x:c>
      <x:c r="I288" s="32" t="n">
        <x:v>115</x:v>
      </x:c>
      <x:c r="J288" s="32" t="n">
        <x:v>100</x:v>
      </x:c>
      <x:c r="K288" s="36" t="n">
        <x:v>0.028</x:v>
      </x:c>
      <x:c r="L288" s="36" t="n">
        <x:v>0.0243</x:v>
      </x:c>
    </x:row>
    <x:row r="289">
      <x:c r="A289" s="34" t="n">
        <x:v>45621</x:v>
      </x:c>
      <x:c r="B289" s="28" t="str">
        <x:v>Grupo Industrial S.A.</x:v>
      </x:c>
      <x:c r="C289" s="28" t="str">
        <x:v>Planta Curitiba</x:v>
      </x:c>
      <x:c r="D289" s="28" t="str">
        <x:v>Linha 6 - Finalização</x:v>
      </x:c>
      <x:c r="E289" s="28" t="str">
        <x:v>SKU-432</x:v>
      </x:c>
      <x:c r="F289" s="28" t="str">
        <x:v>Alimentos</x:v>
      </x:c>
      <x:c r="G289" s="32" t="n">
        <x:v>3689</x:v>
      </x:c>
      <x:c r="H289" s="32" t="n">
        <x:v>3545</x:v>
      </x:c>
      <x:c r="I289" s="32" t="n">
        <x:v>144</x:v>
      </x:c>
      <x:c r="J289" s="32" t="n">
        <x:v>93</x:v>
      </x:c>
      <x:c r="K289" s="36" t="n">
        <x:v>0.039</x:v>
      </x:c>
      <x:c r="L289" s="36" t="n">
        <x:v>0.0252</x:v>
      </x:c>
    </x:row>
    <x:row r="290">
      <x:c r="A290" s="34" t="n">
        <x:v>45628</x:v>
      </x:c>
      <x:c r="B290" s="28" t="str">
        <x:v>Grupo Industrial S.A.</x:v>
      </x:c>
      <x:c r="C290" s="28" t="str">
        <x:v>Planta São Paulo</x:v>
      </x:c>
      <x:c r="D290" s="28" t="str">
        <x:v>Linha 1 - Corte</x:v>
      </x:c>
      <x:c r="E290" s="28" t="str">
        <x:v>SKU-001</x:v>
      </x:c>
      <x:c r="F290" s="28" t="str">
        <x:v>Alimentos</x:v>
      </x:c>
      <x:c r="G290" s="32" t="n">
        <x:v>5386</x:v>
      </x:c>
      <x:c r="H290" s="32" t="n">
        <x:v>5241</x:v>
      </x:c>
      <x:c r="I290" s="32" t="n">
        <x:v>145</x:v>
      </x:c>
      <x:c r="J290" s="32" t="n">
        <x:v>125</x:v>
      </x:c>
      <x:c r="K290" s="36" t="n">
        <x:v>0.0269</x:v>
      </x:c>
      <x:c r="L290" s="36" t="n">
        <x:v>0.0232</x:v>
      </x:c>
    </x:row>
    <x:row r="291">
      <x:c r="A291" s="34" t="n">
        <x:v>45628</x:v>
      </x:c>
      <x:c r="B291" s="28" t="str">
        <x:v>Grupo Industrial S.A.</x:v>
      </x:c>
      <x:c r="C291" s="28" t="str">
        <x:v>Planta São Paulo</x:v>
      </x:c>
      <x:c r="D291" s="28" t="str">
        <x:v>Linha 2 - Montagem</x:v>
      </x:c>
      <x:c r="E291" s="28" t="str">
        <x:v>SKU-002</x:v>
      </x:c>
      <x:c r="F291" s="28" t="str">
        <x:v>Alimentos</x:v>
      </x:c>
      <x:c r="G291" s="32" t="n">
        <x:v>4504</x:v>
      </x:c>
      <x:c r="H291" s="32" t="n">
        <x:v>4391</x:v>
      </x:c>
      <x:c r="I291" s="32" t="n">
        <x:v>113</x:v>
      </x:c>
      <x:c r="J291" s="32" t="n">
        <x:v>116</x:v>
      </x:c>
      <x:c r="K291" s="36" t="n">
        <x:v>0.0251</x:v>
      </x:c>
      <x:c r="L291" s="36" t="n">
        <x:v>0.0258</x:v>
      </x:c>
    </x:row>
    <x:row r="292">
      <x:c r="A292" s="34" t="n">
        <x:v>45628</x:v>
      </x:c>
      <x:c r="B292" s="28" t="str">
        <x:v>Grupo Industrial S.A.</x:v>
      </x:c>
      <x:c r="C292" s="28" t="str">
        <x:v>Planta Campinas</x:v>
      </x:c>
      <x:c r="D292" s="28" t="str">
        <x:v>Linha 3 - Extrusão</x:v>
      </x:c>
      <x:c r="E292" s="28" t="str">
        <x:v>SKU-078</x:v>
      </x:c>
      <x:c r="F292" s="28" t="str">
        <x:v>Higiene e Limpeza</x:v>
      </x:c>
      <x:c r="G292" s="32" t="n">
        <x:v>3694</x:v>
      </x:c>
      <x:c r="H292" s="32" t="n">
        <x:v>3510</x:v>
      </x:c>
      <x:c r="I292" s="32" t="n">
        <x:v>184</x:v>
      </x:c>
      <x:c r="J292" s="32" t="n">
        <x:v>102</x:v>
      </x:c>
      <x:c r="K292" s="36" t="n">
        <x:v>0.0498</x:v>
      </x:c>
      <x:c r="L292" s="36" t="n">
        <x:v>0.0276</x:v>
      </x:c>
    </x:row>
    <x:row r="293">
      <x:c r="A293" s="34" t="n">
        <x:v>45628</x:v>
      </x:c>
      <x:c r="B293" s="28" t="str">
        <x:v>Grupo Industrial S.A.</x:v>
      </x:c>
      <x:c r="C293" s="28" t="str">
        <x:v>Planta Campinas</x:v>
      </x:c>
      <x:c r="D293" s="28" t="str">
        <x:v>Linha 4 - Embalagem</x:v>
      </x:c>
      <x:c r="E293" s="28" t="str">
        <x:v>SKU-105</x:v>
      </x:c>
      <x:c r="F293" s="28" t="str">
        <x:v>Embalagens</x:v>
      </x:c>
      <x:c r="G293" s="32" t="n">
        <x:v>3527</x:v>
      </x:c>
      <x:c r="H293" s="32" t="n">
        <x:v>3334</x:v>
      </x:c>
      <x:c r="I293" s="32" t="n">
        <x:v>193</x:v>
      </x:c>
      <x:c r="J293" s="32" t="n">
        <x:v>105</x:v>
      </x:c>
      <x:c r="K293" s="36" t="n">
        <x:v>0.0547</x:v>
      </x:c>
      <x:c r="L293" s="36" t="n">
        <x:v>0.0298</x:v>
      </x:c>
    </x:row>
    <x:row r="294">
      <x:c r="A294" s="34" t="n">
        <x:v>45628</x:v>
      </x:c>
      <x:c r="B294" s="28" t="str">
        <x:v>Grupo Industrial S.A.</x:v>
      </x:c>
      <x:c r="C294" s="28" t="str">
        <x:v>Planta Curitiba</x:v>
      </x:c>
      <x:c r="D294" s="28" t="str">
        <x:v>Linha 5 - Usinagem</x:v>
      </x:c>
      <x:c r="E294" s="28" t="str">
        <x:v>SKU-223</x:v>
      </x:c>
      <x:c r="F294" s="28" t="str">
        <x:v>Bebidas</x:v>
      </x:c>
      <x:c r="G294" s="32" t="n">
        <x:v>3837</x:v>
      </x:c>
      <x:c r="H294" s="32" t="n">
        <x:v>3670</x:v>
      </x:c>
      <x:c r="I294" s="32" t="n">
        <x:v>167</x:v>
      </x:c>
      <x:c r="J294" s="32" t="n">
        <x:v>94</x:v>
      </x:c>
      <x:c r="K294" s="36" t="n">
        <x:v>0.0435</x:v>
      </x:c>
      <x:c r="L294" s="36" t="n">
        <x:v>0.0245</x:v>
      </x:c>
    </x:row>
    <x:row r="295">
      <x:c r="A295" s="34" t="n">
        <x:v>45628</x:v>
      </x:c>
      <x:c r="B295" s="28" t="str">
        <x:v>Grupo Industrial S.A.</x:v>
      </x:c>
      <x:c r="C295" s="28" t="str">
        <x:v>Planta Curitiba</x:v>
      </x:c>
      <x:c r="D295" s="28" t="str">
        <x:v>Linha 6 - Finalização</x:v>
      </x:c>
      <x:c r="E295" s="28" t="str">
        <x:v>SKU-432</x:v>
      </x:c>
      <x:c r="F295" s="28" t="str">
        <x:v>Alimentos</x:v>
      </x:c>
      <x:c r="G295" s="32" t="n">
        <x:v>3623</x:v>
      </x:c>
      <x:c r="H295" s="32" t="n">
        <x:v>3521</x:v>
      </x:c>
      <x:c r="I295" s="32" t="n">
        <x:v>102</x:v>
      </x:c>
      <x:c r="J295" s="32" t="n">
        <x:v>86</x:v>
      </x:c>
      <x:c r="K295" s="36" t="n">
        <x:v>0.0282</x:v>
      </x:c>
      <x:c r="L295" s="36" t="n">
        <x:v>0.0237</x:v>
      </x:c>
    </x:row>
    <x:row r="296">
      <x:c r="A296" s="34" t="n">
        <x:v>45635</x:v>
      </x:c>
      <x:c r="B296" s="28" t="str">
        <x:v>Grupo Industrial S.A.</x:v>
      </x:c>
      <x:c r="C296" s="28" t="str">
        <x:v>Planta São Paulo</x:v>
      </x:c>
      <x:c r="D296" s="28" t="str">
        <x:v>Linha 1 - Corte</x:v>
      </x:c>
      <x:c r="E296" s="28" t="str">
        <x:v>SKU-001</x:v>
      </x:c>
      <x:c r="F296" s="28" t="str">
        <x:v>Alimentos</x:v>
      </x:c>
      <x:c r="G296" s="32" t="n">
        <x:v>5517</x:v>
      </x:c>
      <x:c r="H296" s="32" t="n">
        <x:v>5358</x:v>
      </x:c>
      <x:c r="I296" s="32" t="n">
        <x:v>159</x:v>
      </x:c>
      <x:c r="J296" s="32" t="n">
        <x:v>181</x:v>
      </x:c>
      <x:c r="K296" s="36" t="n">
        <x:v>0.0288</x:v>
      </x:c>
      <x:c r="L296" s="36" t="n">
        <x:v>0.0328</x:v>
      </x:c>
    </x:row>
    <x:row r="297">
      <x:c r="A297" s="34" t="n">
        <x:v>45635</x:v>
      </x:c>
      <x:c r="B297" s="28" t="str">
        <x:v>Grupo Industrial S.A.</x:v>
      </x:c>
      <x:c r="C297" s="28" t="str">
        <x:v>Planta São Paulo</x:v>
      </x:c>
      <x:c r="D297" s="28" t="str">
        <x:v>Linha 2 - Montagem</x:v>
      </x:c>
      <x:c r="E297" s="28" t="str">
        <x:v>SKU-002</x:v>
      </x:c>
      <x:c r="F297" s="28" t="str">
        <x:v>Alimentos</x:v>
      </x:c>
      <x:c r="G297" s="32" t="n">
        <x:v>4729</x:v>
      </x:c>
      <x:c r="H297" s="32" t="n">
        <x:v>4608</x:v>
      </x:c>
      <x:c r="I297" s="32" t="n">
        <x:v>121</x:v>
      </x:c>
      <x:c r="J297" s="32" t="n">
        <x:v>130</x:v>
      </x:c>
      <x:c r="K297" s="36" t="n">
        <x:v>0.0256</x:v>
      </x:c>
      <x:c r="L297" s="36" t="n">
        <x:v>0.0275</x:v>
      </x:c>
    </x:row>
    <x:row r="298">
      <x:c r="A298" s="34" t="n">
        <x:v>45635</x:v>
      </x:c>
      <x:c r="B298" s="28" t="str">
        <x:v>Grupo Industrial S.A.</x:v>
      </x:c>
      <x:c r="C298" s="28" t="str">
        <x:v>Planta Campinas</x:v>
      </x:c>
      <x:c r="D298" s="28" t="str">
        <x:v>Linha 3 - Extrusão</x:v>
      </x:c>
      <x:c r="E298" s="28" t="str">
        <x:v>SKU-078</x:v>
      </x:c>
      <x:c r="F298" s="28" t="str">
        <x:v>Higiene e Limpeza</x:v>
      </x:c>
      <x:c r="G298" s="32" t="n">
        <x:v>3797</x:v>
      </x:c>
      <x:c r="H298" s="32" t="n">
        <x:v>3634</x:v>
      </x:c>
      <x:c r="I298" s="32" t="n">
        <x:v>163</x:v>
      </x:c>
      <x:c r="J298" s="32" t="n">
        <x:v>146</x:v>
      </x:c>
      <x:c r="K298" s="36" t="n">
        <x:v>0.0429</x:v>
      </x:c>
      <x:c r="L298" s="36" t="n">
        <x:v>0.0385</x:v>
      </x:c>
    </x:row>
    <x:row r="299">
      <x:c r="A299" s="34" t="n">
        <x:v>45635</x:v>
      </x:c>
      <x:c r="B299" s="28" t="str">
        <x:v>Grupo Industrial S.A.</x:v>
      </x:c>
      <x:c r="C299" s="28" t="str">
        <x:v>Planta Campinas</x:v>
      </x:c>
      <x:c r="D299" s="28" t="str">
        <x:v>Linha 4 - Embalagem</x:v>
      </x:c>
      <x:c r="E299" s="28" t="str">
        <x:v>SKU-105</x:v>
      </x:c>
      <x:c r="F299" s="28" t="str">
        <x:v>Embalagens</x:v>
      </x:c>
      <x:c r="G299" s="32" t="n">
        <x:v>3097</x:v>
      </x:c>
      <x:c r="H299" s="32" t="n">
        <x:v>2945</x:v>
      </x:c>
      <x:c r="I299" s="32" t="n">
        <x:v>152</x:v>
      </x:c>
      <x:c r="J299" s="32" t="n">
        <x:v>86</x:v>
      </x:c>
      <x:c r="K299" s="36" t="n">
        <x:v>0.0491</x:v>
      </x:c>
      <x:c r="L299" s="36" t="n">
        <x:v>0.0278</x:v>
      </x:c>
    </x:row>
    <x:row r="300">
      <x:c r="A300" s="34" t="n">
        <x:v>45635</x:v>
      </x:c>
      <x:c r="B300" s="28" t="str">
        <x:v>Grupo Industrial S.A.</x:v>
      </x:c>
      <x:c r="C300" s="28" t="str">
        <x:v>Planta Curitiba</x:v>
      </x:c>
      <x:c r="D300" s="28" t="str">
        <x:v>Linha 5 - Usinagem</x:v>
      </x:c>
      <x:c r="E300" s="28" t="str">
        <x:v>SKU-223</x:v>
      </x:c>
      <x:c r="F300" s="28" t="str">
        <x:v>Bebidas</x:v>
      </x:c>
      <x:c r="G300" s="32" t="n">
        <x:v>4051</x:v>
      </x:c>
      <x:c r="H300" s="32" t="n">
        <x:v>3940</x:v>
      </x:c>
      <x:c r="I300" s="32" t="n">
        <x:v>111</x:v>
      </x:c>
      <x:c r="J300" s="32" t="n">
        <x:v>130</x:v>
      </x:c>
      <x:c r="K300" s="36" t="n">
        <x:v>0.0274</x:v>
      </x:c>
      <x:c r="L300" s="36" t="n">
        <x:v>0.0321</x:v>
      </x:c>
    </x:row>
    <x:row r="301">
      <x:c r="A301" s="34" t="n">
        <x:v>45635</x:v>
      </x:c>
      <x:c r="B301" s="28" t="str">
        <x:v>Grupo Industrial S.A.</x:v>
      </x:c>
      <x:c r="C301" s="28" t="str">
        <x:v>Planta Curitiba</x:v>
      </x:c>
      <x:c r="D301" s="28" t="str">
        <x:v>Linha 6 - Finalização</x:v>
      </x:c>
      <x:c r="E301" s="28" t="str">
        <x:v>SKU-432</x:v>
      </x:c>
      <x:c r="F301" s="28" t="str">
        <x:v>Alimentos</x:v>
      </x:c>
      <x:c r="G301" s="32" t="n">
        <x:v>3407</x:v>
      </x:c>
      <x:c r="H301" s="32" t="n">
        <x:v>3311</x:v>
      </x:c>
      <x:c r="I301" s="32" t="n">
        <x:v>96</x:v>
      </x:c>
      <x:c r="J301" s="32" t="n">
        <x:v>103</x:v>
      </x:c>
      <x:c r="K301" s="36" t="n">
        <x:v>0.0282</x:v>
      </x:c>
      <x:c r="L301" s="36" t="n">
        <x:v>0.0302</x:v>
      </x:c>
    </x:row>
    <x:row r="302">
      <x:c r="A302" s="34" t="n">
        <x:v>45642</x:v>
      </x:c>
      <x:c r="B302" s="28" t="str">
        <x:v>Grupo Industrial S.A.</x:v>
      </x:c>
      <x:c r="C302" s="28" t="str">
        <x:v>Planta São Paulo</x:v>
      </x:c>
      <x:c r="D302" s="28" t="str">
        <x:v>Linha 1 - Corte</x:v>
      </x:c>
      <x:c r="E302" s="28" t="str">
        <x:v>SKU-001</x:v>
      </x:c>
      <x:c r="F302" s="28" t="str">
        <x:v>Alimentos</x:v>
      </x:c>
      <x:c r="G302" s="32" t="n">
        <x:v>5614</x:v>
      </x:c>
      <x:c r="H302" s="32" t="n">
        <x:v>5444</x:v>
      </x:c>
      <x:c r="I302" s="32" t="n">
        <x:v>170</x:v>
      </x:c>
      <x:c r="J302" s="32" t="n">
        <x:v>132</x:v>
      </x:c>
      <x:c r="K302" s="36" t="n">
        <x:v>0.0303</x:v>
      </x:c>
      <x:c r="L302" s="36" t="n">
        <x:v>0.0235</x:v>
      </x:c>
    </x:row>
    <x:row r="303">
      <x:c r="A303" s="34" t="n">
        <x:v>45642</x:v>
      </x:c>
      <x:c r="B303" s="28" t="str">
        <x:v>Grupo Industrial S.A.</x:v>
      </x:c>
      <x:c r="C303" s="28" t="str">
        <x:v>Planta São Paulo</x:v>
      </x:c>
      <x:c r="D303" s="28" t="str">
        <x:v>Linha 2 - Montagem</x:v>
      </x:c>
      <x:c r="E303" s="28" t="str">
        <x:v>SKU-002</x:v>
      </x:c>
      <x:c r="F303" s="28" t="str">
        <x:v>Alimentos</x:v>
      </x:c>
      <x:c r="G303" s="32" t="n">
        <x:v>4388</x:v>
      </x:c>
      <x:c r="H303" s="32" t="n">
        <x:v>4303</x:v>
      </x:c>
      <x:c r="I303" s="32" t="n">
        <x:v>85</x:v>
      </x:c>
      <x:c r="J303" s="32" t="n">
        <x:v>116</x:v>
      </x:c>
      <x:c r="K303" s="36" t="n">
        <x:v>0.0194</x:v>
      </x:c>
      <x:c r="L303" s="36" t="n">
        <x:v>0.0264</x:v>
      </x:c>
    </x:row>
    <x:row r="304">
      <x:c r="A304" s="34" t="n">
        <x:v>45642</x:v>
      </x:c>
      <x:c r="B304" s="28" t="str">
        <x:v>Grupo Industrial S.A.</x:v>
      </x:c>
      <x:c r="C304" s="28" t="str">
        <x:v>Planta Campinas</x:v>
      </x:c>
      <x:c r="D304" s="28" t="str">
        <x:v>Linha 3 - Extrusão</x:v>
      </x:c>
      <x:c r="E304" s="28" t="str">
        <x:v>SKU-078</x:v>
      </x:c>
      <x:c r="F304" s="28" t="str">
        <x:v>Higiene e Limpeza</x:v>
      </x:c>
      <x:c r="G304" s="32" t="n">
        <x:v>3717</x:v>
      </x:c>
      <x:c r="H304" s="32" t="n">
        <x:v>3546</x:v>
      </x:c>
      <x:c r="I304" s="32" t="n">
        <x:v>171</x:v>
      </x:c>
      <x:c r="J304" s="32" t="n">
        <x:v>142</x:v>
      </x:c>
      <x:c r="K304" s="36" t="n">
        <x:v>0.046</x:v>
      </x:c>
      <x:c r="L304" s="36" t="n">
        <x:v>0.0382</x:v>
      </x:c>
    </x:row>
    <x:row r="305">
      <x:c r="A305" s="34" t="n">
        <x:v>45642</x:v>
      </x:c>
      <x:c r="B305" s="28" t="str">
        <x:v>Grupo Industrial S.A.</x:v>
      </x:c>
      <x:c r="C305" s="28" t="str">
        <x:v>Planta Campinas</x:v>
      </x:c>
      <x:c r="D305" s="28" t="str">
        <x:v>Linha 4 - Embalagem</x:v>
      </x:c>
      <x:c r="E305" s="28" t="str">
        <x:v>SKU-105</x:v>
      </x:c>
      <x:c r="F305" s="28" t="str">
        <x:v>Embalagens</x:v>
      </x:c>
      <x:c r="G305" s="32" t="n">
        <x:v>3245</x:v>
      </x:c>
      <x:c r="H305" s="32" t="n">
        <x:v>3089</x:v>
      </x:c>
      <x:c r="I305" s="32" t="n">
        <x:v>156</x:v>
      </x:c>
      <x:c r="J305" s="32" t="n">
        <x:v>119</x:v>
      </x:c>
      <x:c r="K305" s="36" t="n">
        <x:v>0.0481</x:v>
      </x:c>
      <x:c r="L305" s="36" t="n">
        <x:v>0.0367</x:v>
      </x:c>
    </x:row>
    <x:row r="306">
      <x:c r="A306" s="34" t="n">
        <x:v>45642</x:v>
      </x:c>
      <x:c r="B306" s="28" t="str">
        <x:v>Grupo Industrial S.A.</x:v>
      </x:c>
      <x:c r="C306" s="28" t="str">
        <x:v>Planta Curitiba</x:v>
      </x:c>
      <x:c r="D306" s="28" t="str">
        <x:v>Linha 5 - Usinagem</x:v>
      </x:c>
      <x:c r="E306" s="28" t="str">
        <x:v>SKU-223</x:v>
      </x:c>
      <x:c r="F306" s="28" t="str">
        <x:v>Bebidas</x:v>
      </x:c>
      <x:c r="G306" s="32" t="n">
        <x:v>4043</x:v>
      </x:c>
      <x:c r="H306" s="32" t="n">
        <x:v>3875</x:v>
      </x:c>
      <x:c r="I306" s="32" t="n">
        <x:v>168</x:v>
      </x:c>
      <x:c r="J306" s="32" t="n">
        <x:v>118</x:v>
      </x:c>
      <x:c r="K306" s="36" t="n">
        <x:v>0.0416</x:v>
      </x:c>
      <x:c r="L306" s="36" t="n">
        <x:v>0.0292</x:v>
      </x:c>
    </x:row>
    <x:row r="307">
      <x:c r="A307" s="34" t="n">
        <x:v>45642</x:v>
      </x:c>
      <x:c r="B307" s="28" t="str">
        <x:v>Grupo Industrial S.A.</x:v>
      </x:c>
      <x:c r="C307" s="28" t="str">
        <x:v>Planta Curitiba</x:v>
      </x:c>
      <x:c r="D307" s="28" t="str">
        <x:v>Linha 6 - Finalização</x:v>
      </x:c>
      <x:c r="E307" s="28" t="str">
        <x:v>SKU-432</x:v>
      </x:c>
      <x:c r="F307" s="28" t="str">
        <x:v>Alimentos</x:v>
      </x:c>
      <x:c r="G307" s="32" t="n">
        <x:v>3484</x:v>
      </x:c>
      <x:c r="H307" s="32" t="n">
        <x:v>3373</x:v>
      </x:c>
      <x:c r="I307" s="32" t="n">
        <x:v>111</x:v>
      </x:c>
      <x:c r="J307" s="32" t="n">
        <x:v>108</x:v>
      </x:c>
      <x:c r="K307" s="36" t="n">
        <x:v>0.0319</x:v>
      </x:c>
      <x:c r="L307" s="36" t="n">
        <x:v>0.031</x:v>
      </x:c>
    </x:row>
    <x:row r="308">
      <x:c r="A308" s="34" t="n">
        <x:v>45649</x:v>
      </x:c>
      <x:c r="B308" s="28" t="str">
        <x:v>Grupo Industrial S.A.</x:v>
      </x:c>
      <x:c r="C308" s="28" t="str">
        <x:v>Planta São Paulo</x:v>
      </x:c>
      <x:c r="D308" s="28" t="str">
        <x:v>Linha 1 - Corte</x:v>
      </x:c>
      <x:c r="E308" s="28" t="str">
        <x:v>SKU-001</x:v>
      </x:c>
      <x:c r="F308" s="28" t="str">
        <x:v>Alimentos</x:v>
      </x:c>
      <x:c r="G308" s="32" t="n">
        <x:v>5378</x:v>
      </x:c>
      <x:c r="H308" s="32" t="n">
        <x:v>5242</x:v>
      </x:c>
      <x:c r="I308" s="32" t="n">
        <x:v>136</x:v>
      </x:c>
      <x:c r="J308" s="32" t="n">
        <x:v>119</x:v>
      </x:c>
      <x:c r="K308" s="36" t="n">
        <x:v>0.0253</x:v>
      </x:c>
      <x:c r="L308" s="36" t="n">
        <x:v>0.0221</x:v>
      </x:c>
    </x:row>
    <x:row r="309">
      <x:c r="A309" s="34" t="n">
        <x:v>45649</x:v>
      </x:c>
      <x:c r="B309" s="28" t="str">
        <x:v>Grupo Industrial S.A.</x:v>
      </x:c>
      <x:c r="C309" s="28" t="str">
        <x:v>Planta São Paulo</x:v>
      </x:c>
      <x:c r="D309" s="28" t="str">
        <x:v>Linha 2 - Montagem</x:v>
      </x:c>
      <x:c r="E309" s="28" t="str">
        <x:v>SKU-002</x:v>
      </x:c>
      <x:c r="F309" s="28" t="str">
        <x:v>Alimentos</x:v>
      </x:c>
      <x:c r="G309" s="32" t="n">
        <x:v>4731</x:v>
      </x:c>
      <x:c r="H309" s="32" t="n">
        <x:v>4586</x:v>
      </x:c>
      <x:c r="I309" s="32" t="n">
        <x:v>145</x:v>
      </x:c>
      <x:c r="J309" s="32" t="n">
        <x:v>118</x:v>
      </x:c>
      <x:c r="K309" s="36" t="n">
        <x:v>0.0306</x:v>
      </x:c>
      <x:c r="L309" s="36" t="n">
        <x:v>0.0249</x:v>
      </x:c>
    </x:row>
    <x:row r="310">
      <x:c r="A310" s="34" t="n">
        <x:v>45649</x:v>
      </x:c>
      <x:c r="B310" s="28" t="str">
        <x:v>Grupo Industrial S.A.</x:v>
      </x:c>
      <x:c r="C310" s="28" t="str">
        <x:v>Planta Campinas</x:v>
      </x:c>
      <x:c r="D310" s="28" t="str">
        <x:v>Linha 3 - Extrusão</x:v>
      </x:c>
      <x:c r="E310" s="28" t="str">
        <x:v>SKU-078</x:v>
      </x:c>
      <x:c r="F310" s="28" t="str">
        <x:v>Higiene e Limpeza</x:v>
      </x:c>
      <x:c r="G310" s="32" t="n">
        <x:v>3588</x:v>
      </x:c>
      <x:c r="H310" s="32" t="n">
        <x:v>3399</x:v>
      </x:c>
      <x:c r="I310" s="32" t="n">
        <x:v>189</x:v>
      </x:c>
      <x:c r="J310" s="32" t="n">
        <x:v>98</x:v>
      </x:c>
      <x:c r="K310" s="36" t="n">
        <x:v>0.0527</x:v>
      </x:c>
      <x:c r="L310" s="36" t="n">
        <x:v>0.0273</x:v>
      </x:c>
    </x:row>
    <x:row r="311">
      <x:c r="A311" s="34" t="n">
        <x:v>45649</x:v>
      </x:c>
      <x:c r="B311" s="28" t="str">
        <x:v>Grupo Industrial S.A.</x:v>
      </x:c>
      <x:c r="C311" s="28" t="str">
        <x:v>Planta Campinas</x:v>
      </x:c>
      <x:c r="D311" s="28" t="str">
        <x:v>Linha 4 - Embalagem</x:v>
      </x:c>
      <x:c r="E311" s="28" t="str">
        <x:v>SKU-105</x:v>
      </x:c>
      <x:c r="F311" s="28" t="str">
        <x:v>Embalagens</x:v>
      </x:c>
      <x:c r="G311" s="32" t="n">
        <x:v>3361</x:v>
      </x:c>
      <x:c r="H311" s="32" t="n">
        <x:v>3208</x:v>
      </x:c>
      <x:c r="I311" s="32" t="n">
        <x:v>153</x:v>
      </x:c>
      <x:c r="J311" s="32" t="n">
        <x:v>104</x:v>
      </x:c>
      <x:c r="K311" s="36" t="n">
        <x:v>0.0455</x:v>
      </x:c>
      <x:c r="L311" s="36" t="n">
        <x:v>0.0309</x:v>
      </x:c>
    </x:row>
    <x:row r="312">
      <x:c r="A312" s="34" t="n">
        <x:v>45649</x:v>
      </x:c>
      <x:c r="B312" s="28" t="str">
        <x:v>Grupo Industrial S.A.</x:v>
      </x:c>
      <x:c r="C312" s="28" t="str">
        <x:v>Planta Curitiba</x:v>
      </x:c>
      <x:c r="D312" s="28" t="str">
        <x:v>Linha 5 - Usinagem</x:v>
      </x:c>
      <x:c r="E312" s="28" t="str">
        <x:v>SKU-223</x:v>
      </x:c>
      <x:c r="F312" s="28" t="str">
        <x:v>Bebidas</x:v>
      </x:c>
      <x:c r="G312" s="32" t="n">
        <x:v>3943</x:v>
      </x:c>
      <x:c r="H312" s="32" t="n">
        <x:v>3814</x:v>
      </x:c>
      <x:c r="I312" s="32" t="n">
        <x:v>129</x:v>
      </x:c>
      <x:c r="J312" s="32" t="n">
        <x:v>104</x:v>
      </x:c>
      <x:c r="K312" s="36" t="n">
        <x:v>0.0327</x:v>
      </x:c>
      <x:c r="L312" s="36" t="n">
        <x:v>0.0264</x:v>
      </x:c>
    </x:row>
    <x:row r="313">
      <x:c r="A313" s="34" t="n">
        <x:v>45649</x:v>
      </x:c>
      <x:c r="B313" s="28" t="str">
        <x:v>Grupo Industrial S.A.</x:v>
      </x:c>
      <x:c r="C313" s="28" t="str">
        <x:v>Planta Curitiba</x:v>
      </x:c>
      <x:c r="D313" s="28" t="str">
        <x:v>Linha 6 - Finalização</x:v>
      </x:c>
      <x:c r="E313" s="28" t="str">
        <x:v>SKU-432</x:v>
      </x:c>
      <x:c r="F313" s="28" t="str">
        <x:v>Alimentos</x:v>
      </x:c>
      <x:c r="G313" s="32" t="n">
        <x:v>3454</x:v>
      </x:c>
      <x:c r="H313" s="32" t="n">
        <x:v>3361</x:v>
      </x:c>
      <x:c r="I313" s="32" t="n">
        <x:v>93</x:v>
      </x:c>
      <x:c r="J313" s="32" t="n">
        <x:v>91</x:v>
      </x:c>
      <x:c r="K313" s="36" t="n">
        <x:v>0.0269</x:v>
      </x:c>
      <x:c r="L313" s="36" t="n">
        <x:v>0.0263</x:v>
      </x:c>
    </x:row>
    <x:row r="314">
      <x:c r="A314" s="34" t="n">
        <x:v>45656</x:v>
      </x:c>
      <x:c r="B314" s="28" t="str">
        <x:v>Grupo Industrial S.A.</x:v>
      </x:c>
      <x:c r="C314" s="28" t="str">
        <x:v>Planta São Paulo</x:v>
      </x:c>
      <x:c r="D314" s="28" t="str">
        <x:v>Linha 1 - Corte</x:v>
      </x:c>
      <x:c r="E314" s="28" t="str">
        <x:v>SKU-001</x:v>
      </x:c>
      <x:c r="F314" s="28" t="str">
        <x:v>Alimentos</x:v>
      </x:c>
      <x:c r="G314" s="32" t="n">
        <x:v>4964</x:v>
      </x:c>
      <x:c r="H314" s="32" t="n">
        <x:v>4875</x:v>
      </x:c>
      <x:c r="I314" s="32" t="n">
        <x:v>89</x:v>
      </x:c>
      <x:c r="J314" s="32" t="n">
        <x:v>158</x:v>
      </x:c>
      <x:c r="K314" s="36" t="n">
        <x:v>0.0179</x:v>
      </x:c>
      <x:c r="L314" s="36" t="n">
        <x:v>0.0318</x:v>
      </x:c>
    </x:row>
    <x:row r="315">
      <x:c r="A315" s="34" t="n">
        <x:v>45656</x:v>
      </x:c>
      <x:c r="B315" s="28" t="str">
        <x:v>Grupo Industrial S.A.</x:v>
      </x:c>
      <x:c r="C315" s="28" t="str">
        <x:v>Planta São Paulo</x:v>
      </x:c>
      <x:c r="D315" s="28" t="str">
        <x:v>Linha 2 - Montagem</x:v>
      </x:c>
      <x:c r="E315" s="28" t="str">
        <x:v>SKU-002</x:v>
      </x:c>
      <x:c r="F315" s="28" t="str">
        <x:v>Alimentos</x:v>
      </x:c>
      <x:c r="G315" s="32" t="n">
        <x:v>4658</x:v>
      </x:c>
      <x:c r="H315" s="32" t="n">
        <x:v>4543</x:v>
      </x:c>
      <x:c r="I315" s="32" t="n">
        <x:v>115</x:v>
      </x:c>
      <x:c r="J315" s="32" t="n">
        <x:v>150</x:v>
      </x:c>
      <x:c r="K315" s="36" t="n">
        <x:v>0.0247</x:v>
      </x:c>
      <x:c r="L315" s="36" t="n">
        <x:v>0.0322</x:v>
      </x:c>
    </x:row>
    <x:row r="316">
      <x:c r="A316" s="34" t="n">
        <x:v>45656</x:v>
      </x:c>
      <x:c r="B316" s="28" t="str">
        <x:v>Grupo Industrial S.A.</x:v>
      </x:c>
      <x:c r="C316" s="28" t="str">
        <x:v>Planta Campinas</x:v>
      </x:c>
      <x:c r="D316" s="28" t="str">
        <x:v>Linha 3 - Extrusão</x:v>
      </x:c>
      <x:c r="E316" s="28" t="str">
        <x:v>SKU-078</x:v>
      </x:c>
      <x:c r="F316" s="28" t="str">
        <x:v>Higiene e Limpeza</x:v>
      </x:c>
      <x:c r="G316" s="32" t="n">
        <x:v>3622</x:v>
      </x:c>
      <x:c r="H316" s="32" t="n">
        <x:v>3468</x:v>
      </x:c>
      <x:c r="I316" s="32" t="n">
        <x:v>154</x:v>
      </x:c>
      <x:c r="J316" s="32" t="n">
        <x:v>106</x:v>
      </x:c>
      <x:c r="K316" s="36" t="n">
        <x:v>0.0425</x:v>
      </x:c>
      <x:c r="L316" s="36" t="n">
        <x:v>0.0293</x:v>
      </x:c>
    </x:row>
    <x:row r="317">
      <x:c r="A317" s="34" t="n">
        <x:v>45656</x:v>
      </x:c>
      <x:c r="B317" s="28" t="str">
        <x:v>Grupo Industrial S.A.</x:v>
      </x:c>
      <x:c r="C317" s="28" t="str">
        <x:v>Planta Campinas</x:v>
      </x:c>
      <x:c r="D317" s="28" t="str">
        <x:v>Linha 4 - Embalagem</x:v>
      </x:c>
      <x:c r="E317" s="28" t="str">
        <x:v>SKU-105</x:v>
      </x:c>
      <x:c r="F317" s="28" t="str">
        <x:v>Embalagens</x:v>
      </x:c>
      <x:c r="G317" s="32" t="n">
        <x:v>3362</x:v>
      </x:c>
      <x:c r="H317" s="32" t="n">
        <x:v>3175</x:v>
      </x:c>
      <x:c r="I317" s="32" t="n">
        <x:v>187</x:v>
      </x:c>
      <x:c r="J317" s="32" t="n">
        <x:v>100</x:v>
      </x:c>
      <x:c r="K317" s="36" t="n">
        <x:v>0.0556</x:v>
      </x:c>
      <x:c r="L317" s="36" t="n">
        <x:v>0.0297</x:v>
      </x:c>
    </x:row>
    <x:row r="318">
      <x:c r="A318" s="34" t="n">
        <x:v>45656</x:v>
      </x:c>
      <x:c r="B318" s="28" t="str">
        <x:v>Grupo Industrial S.A.</x:v>
      </x:c>
      <x:c r="C318" s="28" t="str">
        <x:v>Planta Curitiba</x:v>
      </x:c>
      <x:c r="D318" s="28" t="str">
        <x:v>Linha 5 - Usinagem</x:v>
      </x:c>
      <x:c r="E318" s="28" t="str">
        <x:v>SKU-223</x:v>
      </x:c>
      <x:c r="F318" s="28" t="str">
        <x:v>Bebidas</x:v>
      </x:c>
      <x:c r="G318" s="32" t="n">
        <x:v>4180</x:v>
      </x:c>
      <x:c r="H318" s="32" t="n">
        <x:v>4054</x:v>
      </x:c>
      <x:c r="I318" s="32" t="n">
        <x:v>126</x:v>
      </x:c>
      <x:c r="J318" s="32" t="n">
        <x:v>117</x:v>
      </x:c>
      <x:c r="K318" s="36" t="n">
        <x:v>0.0301</x:v>
      </x:c>
      <x:c r="L318" s="36" t="n">
        <x:v>0.028</x:v>
      </x:c>
    </x:row>
    <x:row r="319">
      <x:c r="A319" s="34" t="n">
        <x:v>45656</x:v>
      </x:c>
      <x:c r="B319" s="28" t="str">
        <x:v>Grupo Industrial S.A.</x:v>
      </x:c>
      <x:c r="C319" s="28" t="str">
        <x:v>Planta Curitiba</x:v>
      </x:c>
      <x:c r="D319" s="28" t="str">
        <x:v>Linha 6 - Finalização</x:v>
      </x:c>
      <x:c r="E319" s="28" t="str">
        <x:v>SKU-432</x:v>
      </x:c>
      <x:c r="F319" s="28" t="str">
        <x:v>Alimentos</x:v>
      </x:c>
      <x:c r="G319" s="32" t="n">
        <x:v>3735</x:v>
      </x:c>
      <x:c r="H319" s="32" t="n">
        <x:v>3640</x:v>
      </x:c>
      <x:c r="I319" s="32" t="n">
        <x:v>95</x:v>
      </x:c>
      <x:c r="J319" s="32" t="n">
        <x:v>102</x:v>
      </x:c>
      <x:c r="K319" s="36" t="n">
        <x:v>0.0254</x:v>
      </x:c>
      <x:c r="L319" s="36" t="n">
        <x:v>0.0273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2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8" hidden="0" customWidth="1"/>
  </x:cols>
  <x:sheetData>
    <x:row r="1">
      <x:c r="A1" s="22" t="str">
        <x:v>Data</x:v>
      </x:c>
      <x:c r="B1" s="22" t="str">
        <x:v>Grupo</x:v>
      </x:c>
      <x:c r="C1" s="22" t="str">
        <x:v>Fabrica</x:v>
      </x:c>
      <x:c r="D1" s="22" t="str">
        <x:v>Linha</x:v>
      </x:c>
      <x:c r="E1" s="22" t="str">
        <x:v>Maquina</x:v>
      </x:c>
      <x:c r="F1" s="22" t="str">
        <x:v>Tipo_Parada</x:v>
      </x:c>
      <x:c r="G1" s="22" t="str">
        <x:v>Duracao_Horas</x:v>
      </x:c>
      <x:c r="H1" s="22" t="str">
        <x:v>Causa</x:v>
      </x:c>
      <x:c r="I1" s="22" t="str">
        <x:v>Evidencia_Causal</x:v>
      </x:c>
    </x:row>
    <x:row r="2">
      <x:c r="A2" s="34" t="n">
        <x:v>45292</x:v>
      </x:c>
      <x:c r="B2" s="28" t="str">
        <x:v>Grupo Industrial S.A.</x:v>
      </x:c>
      <x:c r="C2" s="28" t="str">
        <x:v>Planta São Paulo</x:v>
      </x:c>
      <x:c r="D2" s="28" t="str">
        <x:v>Linha 1 - Corte</x:v>
      </x:c>
      <x:c r="E2" s="28" t="str">
        <x:v>EQ-1-01</x:v>
      </x:c>
      <x:c r="F2" s="28" t="str">
        <x:v>Corretiva</x:v>
      </x:c>
      <x:c r="G2" s="32" t="n">
        <x:v>4.12</x:v>
      </x:c>
      <x:c r="H2" s="28" t="str">
        <x:v>Elétrica</x:v>
      </x:c>
      <x:c r="I2" s="28" t="str">
        <x:v>Sim</x:v>
      </x:c>
    </x:row>
    <x:row r="3">
      <x:c r="A3" s="34" t="n">
        <x:v>45292</x:v>
      </x:c>
      <x:c r="B3" s="28" t="str">
        <x:v>Grupo Industrial S.A.</x:v>
      </x:c>
      <x:c r="C3" s="28" t="str">
        <x:v>Planta São Paulo</x:v>
      </x:c>
      <x:c r="D3" s="28" t="str">
        <x:v>Linha 1 - Corte</x:v>
      </x:c>
      <x:c r="E3" s="28" t="str">
        <x:v>EQ-1-02</x:v>
      </x:c>
      <x:c r="F3" s="28" t="str">
        <x:v>Corretiva</x:v>
      </x:c>
      <x:c r="G3" s="32" t="n">
        <x:v>8.1</x:v>
      </x:c>
      <x:c r="H3" s="28" t="str">
        <x:v>Elétrica</x:v>
      </x:c>
      <x:c r="I3" s="28" t="str">
        <x:v>Sim</x:v>
      </x:c>
    </x:row>
    <x:row r="4">
      <x:c r="A4" s="34" t="n">
        <x:v>45292</x:v>
      </x:c>
      <x:c r="B4" s="28" t="str">
        <x:v>Grupo Industrial S.A.</x:v>
      </x:c>
      <x:c r="C4" s="28" t="str">
        <x:v>Planta São Paulo</x:v>
      </x:c>
      <x:c r="D4" s="28" t="str">
        <x:v>Linha 2 - Montagem</x:v>
      </x:c>
      <x:c r="E4" s="28" t="str">
        <x:v>EQ-2-01</x:v>
      </x:c>
      <x:c r="F4" s="28" t="str">
        <x:v>Corretiva</x:v>
      </x:c>
      <x:c r="G4" s="32" t="n">
        <x:v>7.08</x:v>
      </x:c>
      <x:c r="H4" s="28" t="str">
        <x:v>Elétrica</x:v>
      </x:c>
      <x:c r="I4" s="28" t="str">
        <x:v>Sim</x:v>
      </x:c>
    </x:row>
    <x:row r="5">
      <x:c r="A5" s="34" t="n">
        <x:v>45292</x:v>
      </x:c>
      <x:c r="B5" s="28" t="str">
        <x:v>Grupo Industrial S.A.</x:v>
      </x:c>
      <x:c r="C5" s="28" t="str">
        <x:v>Planta São Paulo</x:v>
      </x:c>
      <x:c r="D5" s="28" t="str">
        <x:v>Linha 2 - Montagem</x:v>
      </x:c>
      <x:c r="E5" s="28" t="str">
        <x:v>EQ-2-02</x:v>
      </x:c>
      <x:c r="F5" s="28" t="str">
        <x:v>Operacional</x:v>
      </x:c>
      <x:c r="G5" s="32" t="n">
        <x:v>10.92</x:v>
      </x:c>
      <x:c r="H5" s="28" t="str">
        <x:v>Setup</x:v>
      </x:c>
      <x:c r="I5" s="28" t="str">
        <x:v>Não</x:v>
      </x:c>
    </x:row>
    <x:row r="6">
      <x:c r="A6" s="34" t="n">
        <x:v>45292</x:v>
      </x:c>
      <x:c r="B6" s="28" t="str">
        <x:v>Grupo Industrial S.A.</x:v>
      </x:c>
      <x:c r="C6" s="28" t="str">
        <x:v>Planta Campinas</x:v>
      </x:c>
      <x:c r="D6" s="28" t="str">
        <x:v>Linha 3 - Extrusão</x:v>
      </x:c>
      <x:c r="E6" s="28" t="str">
        <x:v>EQ-3-01</x:v>
      </x:c>
      <x:c r="F6" s="28" t="str">
        <x:v>Corretiva</x:v>
      </x:c>
      <x:c r="G6" s="32" t="n">
        <x:v>7.12</x:v>
      </x:c>
      <x:c r="H6" s="28" t="str">
        <x:v>Quebras</x:v>
      </x:c>
      <x:c r="I6" s="28" t="str">
        <x:v>Sim</x:v>
      </x:c>
    </x:row>
    <x:row r="7">
      <x:c r="A7" s="34" t="n">
        <x:v>45292</x:v>
      </x:c>
      <x:c r="B7" s="28" t="str">
        <x:v>Grupo Industrial S.A.</x:v>
      </x:c>
      <x:c r="C7" s="28" t="str">
        <x:v>Planta Campinas</x:v>
      </x:c>
      <x:c r="D7" s="28" t="str">
        <x:v>Linha 3 - Extrusão</x:v>
      </x:c>
      <x:c r="E7" s="28" t="str">
        <x:v>EQ-3-02</x:v>
      </x:c>
      <x:c r="F7" s="28" t="str">
        <x:v>Operacional</x:v>
      </x:c>
      <x:c r="G7" s="32" t="n">
        <x:v>7.31</x:v>
      </x:c>
      <x:c r="H7" s="28" t="str">
        <x:v>Falta de material</x:v>
      </x:c>
      <x:c r="I7" s="28" t="str">
        <x:v>Sim</x:v>
      </x:c>
    </x:row>
    <x:row r="8">
      <x:c r="A8" s="34" t="n">
        <x:v>45292</x:v>
      </x:c>
      <x:c r="B8" s="28" t="str">
        <x:v>Grupo Industrial S.A.</x:v>
      </x:c>
      <x:c r="C8" s="28" t="str">
        <x:v>Planta Campinas</x:v>
      </x:c>
      <x:c r="D8" s="28" t="str">
        <x:v>Linha 3 - Extrusão</x:v>
      </x:c>
      <x:c r="E8" s="28" t="str">
        <x:v>EQ-3-03</x:v>
      </x:c>
      <x:c r="F8" s="28" t="str">
        <x:v>Operacional</x:v>
      </x:c>
      <x:c r="G8" s="32" t="n">
        <x:v>8.38</x:v>
      </x:c>
      <x:c r="H8" s="28" t="str">
        <x:v>Falta de material</x:v>
      </x:c>
      <x:c r="I8" s="28" t="str">
        <x:v>Sim</x:v>
      </x:c>
    </x:row>
    <x:row r="9">
      <x:c r="A9" s="34" t="n">
        <x:v>45292</x:v>
      </x:c>
      <x:c r="B9" s="28" t="str">
        <x:v>Grupo Industrial S.A.</x:v>
      </x:c>
      <x:c r="C9" s="28" t="str">
        <x:v>Planta Campinas</x:v>
      </x:c>
      <x:c r="D9" s="28" t="str">
        <x:v>Linha 4 - Embalagem</x:v>
      </x:c>
      <x:c r="E9" s="28" t="str">
        <x:v>EQ-4-01</x:v>
      </x:c>
      <x:c r="F9" s="28" t="str">
        <x:v>Operacional</x:v>
      </x:c>
      <x:c r="G9" s="32" t="n">
        <x:v>11.87</x:v>
      </x:c>
      <x:c r="H9" s="28" t="str">
        <x:v>Falta de material</x:v>
      </x:c>
      <x:c r="I9" s="28" t="str">
        <x:v>Sim</x:v>
      </x:c>
    </x:row>
    <x:row r="10">
      <x:c r="A10" s="34" t="n">
        <x:v>45292</x:v>
      </x:c>
      <x:c r="B10" s="28" t="str">
        <x:v>Grupo Industrial S.A.</x:v>
      </x:c>
      <x:c r="C10" s="28" t="str">
        <x:v>Planta Campinas</x:v>
      </x:c>
      <x:c r="D10" s="28" t="str">
        <x:v>Linha 4 - Embalagem</x:v>
      </x:c>
      <x:c r="E10" s="28" t="str">
        <x:v>EQ-4-02</x:v>
      </x:c>
      <x:c r="F10" s="28" t="str">
        <x:v>Operacional</x:v>
      </x:c>
      <x:c r="G10" s="32" t="n">
        <x:v>4.77</x:v>
      </x:c>
      <x:c r="H10" s="28" t="str">
        <x:v>Setup</x:v>
      </x:c>
      <x:c r="I10" s="28" t="str">
        <x:v>Não</x:v>
      </x:c>
    </x:row>
    <x:row r="11">
      <x:c r="A11" s="34" t="n">
        <x:v>45292</x:v>
      </x:c>
      <x:c r="B11" s="28" t="str">
        <x:v>Grupo Industrial S.A.</x:v>
      </x:c>
      <x:c r="C11" s="28" t="str">
        <x:v>Planta Campinas</x:v>
      </x:c>
      <x:c r="D11" s="28" t="str">
        <x:v>Linha 4 - Embalagem</x:v>
      </x:c>
      <x:c r="E11" s="28" t="str">
        <x:v>EQ-4-03</x:v>
      </x:c>
      <x:c r="F11" s="28" t="str">
        <x:v>Operacional</x:v>
      </x:c>
      <x:c r="G11" s="32" t="n">
        <x:v>7.65</x:v>
      </x:c>
      <x:c r="H11" s="28" t="str">
        <x:v>Falta de material</x:v>
      </x:c>
      <x:c r="I11" s="28" t="str">
        <x:v>Sim</x:v>
      </x:c>
    </x:row>
    <x:row r="12">
      <x:c r="A12" s="34" t="n">
        <x:v>45292</x:v>
      </x:c>
      <x:c r="B12" s="28" t="str">
        <x:v>Grupo Industrial S.A.</x:v>
      </x:c>
      <x:c r="C12" s="28" t="str">
        <x:v>Planta Curitiba</x:v>
      </x:c>
      <x:c r="D12" s="28" t="str">
        <x:v>Linha 5 - Usinagem</x:v>
      </x:c>
      <x:c r="E12" s="28" t="str">
        <x:v>EQ-5-01</x:v>
      </x:c>
      <x:c r="F12" s="28" t="str">
        <x:v>Corretiva</x:v>
      </x:c>
      <x:c r="G12" s="32" t="n">
        <x:v>5.1</x:v>
      </x:c>
      <x:c r="H12" s="28" t="str">
        <x:v>Microparadas</x:v>
      </x:c>
      <x:c r="I12" s="28" t="str">
        <x:v>Não</x:v>
      </x:c>
    </x:row>
    <x:row r="13">
      <x:c r="A13" s="34" t="n">
        <x:v>45292</x:v>
      </x:c>
      <x:c r="B13" s="28" t="str">
        <x:v>Grupo Industrial S.A.</x:v>
      </x:c>
      <x:c r="C13" s="28" t="str">
        <x:v>Planta Curitiba</x:v>
      </x:c>
      <x:c r="D13" s="28" t="str">
        <x:v>Linha 5 - Usinagem</x:v>
      </x:c>
      <x:c r="E13" s="28" t="str">
        <x:v>EQ-5-02</x:v>
      </x:c>
      <x:c r="F13" s="28" t="str">
        <x:v>Operacional</x:v>
      </x:c>
      <x:c r="G13" s="32" t="n">
        <x:v>4.13</x:v>
      </x:c>
      <x:c r="H13" s="28" t="str">
        <x:v>Troca de ferramenta</x:v>
      </x:c>
      <x:c r="I13" s="28" t="str">
        <x:v>Não</x:v>
      </x:c>
    </x:row>
    <x:row r="14">
      <x:c r="A14" s="34" t="n">
        <x:v>45292</x:v>
      </x:c>
      <x:c r="B14" s="28" t="str">
        <x:v>Grupo Industrial S.A.</x:v>
      </x:c>
      <x:c r="C14" s="28" t="str">
        <x:v>Planta Curitiba</x:v>
      </x:c>
      <x:c r="D14" s="28" t="str">
        <x:v>Linha 5 - Usinagem</x:v>
      </x:c>
      <x:c r="E14" s="28" t="str">
        <x:v>EQ-5-03</x:v>
      </x:c>
      <x:c r="F14" s="28" t="str">
        <x:v>Corretiva</x:v>
      </x:c>
      <x:c r="G14" s="32" t="n">
        <x:v>8.87</x:v>
      </x:c>
      <x:c r="H14" s="28" t="str">
        <x:v>Quebras</x:v>
      </x:c>
      <x:c r="I14" s="28" t="str">
        <x:v>Sim</x:v>
      </x:c>
    </x:row>
    <x:row r="15">
      <x:c r="A15" s="34" t="n">
        <x:v>45292</x:v>
      </x:c>
      <x:c r="B15" s="28" t="str">
        <x:v>Grupo Industrial S.A.</x:v>
      </x:c>
      <x:c r="C15" s="28" t="str">
        <x:v>Planta Curitiba</x:v>
      </x:c>
      <x:c r="D15" s="28" t="str">
        <x:v>Linha 6 - Finalização</x:v>
      </x:c>
      <x:c r="E15" s="28" t="str">
        <x:v>EQ-6-01</x:v>
      </x:c>
      <x:c r="F15" s="28" t="str">
        <x:v>Corretiva</x:v>
      </x:c>
      <x:c r="G15" s="32" t="n">
        <x:v>10.92</x:v>
      </x:c>
      <x:c r="H15" s="28" t="str">
        <x:v>Quebras</x:v>
      </x:c>
      <x:c r="I15" s="28" t="str">
        <x:v>Sim</x:v>
      </x:c>
    </x:row>
    <x:row r="16">
      <x:c r="A16" s="34" t="n">
        <x:v>45292</x:v>
      </x:c>
      <x:c r="B16" s="28" t="str">
        <x:v>Grupo Industrial S.A.</x:v>
      </x:c>
      <x:c r="C16" s="28" t="str">
        <x:v>Planta Curitiba</x:v>
      </x:c>
      <x:c r="D16" s="28" t="str">
        <x:v>Linha 6 - Finalização</x:v>
      </x:c>
      <x:c r="E16" s="28" t="str">
        <x:v>EQ-6-02</x:v>
      </x:c>
      <x:c r="F16" s="28" t="str">
        <x:v>Operacional</x:v>
      </x:c>
      <x:c r="G16" s="32" t="n">
        <x:v>3.35</x:v>
      </x:c>
      <x:c r="H16" s="28" t="str">
        <x:v>Troca de ferramenta</x:v>
      </x:c>
      <x:c r="I16" s="28" t="str">
        <x:v>Não</x:v>
      </x:c>
    </x:row>
    <x:row r="17">
      <x:c r="A17" s="34" t="n">
        <x:v>45292</x:v>
      </x:c>
      <x:c r="B17" s="28" t="str">
        <x:v>Grupo Industrial S.A.</x:v>
      </x:c>
      <x:c r="C17" s="28" t="str">
        <x:v>Planta Curitiba</x:v>
      </x:c>
      <x:c r="D17" s="28" t="str">
        <x:v>Linha 6 - Finalização</x:v>
      </x:c>
      <x:c r="E17" s="28" t="str">
        <x:v>EQ-6-03</x:v>
      </x:c>
      <x:c r="F17" s="28" t="str">
        <x:v>Operacional</x:v>
      </x:c>
      <x:c r="G17" s="32" t="n">
        <x:v>7.12</x:v>
      </x:c>
      <x:c r="H17" s="28" t="str">
        <x:v>Setup</x:v>
      </x:c>
      <x:c r="I17" s="28" t="str">
        <x:v>Não</x:v>
      </x:c>
    </x:row>
    <x:row r="18">
      <x:c r="A18" s="34" t="n">
        <x:v>45299</x:v>
      </x:c>
      <x:c r="B18" s="28" t="str">
        <x:v>Grupo Industrial S.A.</x:v>
      </x:c>
      <x:c r="C18" s="28" t="str">
        <x:v>Planta São Paulo</x:v>
      </x:c>
      <x:c r="D18" s="28" t="str">
        <x:v>Linha 1 - Corte</x:v>
      </x:c>
      <x:c r="E18" s="28" t="str">
        <x:v>EQ-1-01</x:v>
      </x:c>
      <x:c r="F18" s="28" t="str">
        <x:v>Operacional</x:v>
      </x:c>
      <x:c r="G18" s="32" t="n">
        <x:v>3.73</x:v>
      </x:c>
      <x:c r="H18" s="28" t="str">
        <x:v>Setup</x:v>
      </x:c>
      <x:c r="I18" s="28" t="str">
        <x:v>Não</x:v>
      </x:c>
    </x:row>
    <x:row r="19">
      <x:c r="A19" s="34" t="n">
        <x:v>45299</x:v>
      </x:c>
      <x:c r="B19" s="28" t="str">
        <x:v>Grupo Industrial S.A.</x:v>
      </x:c>
      <x:c r="C19" s="28" t="str">
        <x:v>Planta São Paulo</x:v>
      </x:c>
      <x:c r="D19" s="28" t="str">
        <x:v>Linha 1 - Corte</x:v>
      </x:c>
      <x:c r="E19" s="28" t="str">
        <x:v>EQ-1-02</x:v>
      </x:c>
      <x:c r="F19" s="28" t="str">
        <x:v>Corretiva</x:v>
      </x:c>
      <x:c r="G19" s="32" t="n">
        <x:v>8.85</x:v>
      </x:c>
      <x:c r="H19" s="28" t="str">
        <x:v>Microparadas</x:v>
      </x:c>
      <x:c r="I19" s="28" t="str">
        <x:v>Não</x:v>
      </x:c>
    </x:row>
    <x:row r="20">
      <x:c r="A20" s="34" t="n">
        <x:v>45299</x:v>
      </x:c>
      <x:c r="B20" s="28" t="str">
        <x:v>Grupo Industrial S.A.</x:v>
      </x:c>
      <x:c r="C20" s="28" t="str">
        <x:v>Planta São Paulo</x:v>
      </x:c>
      <x:c r="D20" s="28" t="str">
        <x:v>Linha 2 - Montagem</x:v>
      </x:c>
      <x:c r="E20" s="28" t="str">
        <x:v>EQ-2-01</x:v>
      </x:c>
      <x:c r="F20" s="28" t="str">
        <x:v>Operacional</x:v>
      </x:c>
      <x:c r="G20" s="32" t="n">
        <x:v>5.25</x:v>
      </x:c>
      <x:c r="H20" s="28" t="str">
        <x:v>Setup</x:v>
      </x:c>
      <x:c r="I20" s="28" t="str">
        <x:v>Não</x:v>
      </x:c>
    </x:row>
    <x:row r="21">
      <x:c r="A21" s="34" t="n">
        <x:v>45299</x:v>
      </x:c>
      <x:c r="B21" s="28" t="str">
        <x:v>Grupo Industrial S.A.</x:v>
      </x:c>
      <x:c r="C21" s="28" t="str">
        <x:v>Planta São Paulo</x:v>
      </x:c>
      <x:c r="D21" s="28" t="str">
        <x:v>Linha 2 - Montagem</x:v>
      </x:c>
      <x:c r="E21" s="28" t="str">
        <x:v>EQ-2-02</x:v>
      </x:c>
      <x:c r="F21" s="28" t="str">
        <x:v>Corretiva</x:v>
      </x:c>
      <x:c r="G21" s="32" t="n">
        <x:v>7.71</x:v>
      </x:c>
      <x:c r="H21" s="28" t="str">
        <x:v>Microparadas</x:v>
      </x:c>
      <x:c r="I21" s="28" t="str">
        <x:v>Não</x:v>
      </x:c>
    </x:row>
    <x:row r="22">
      <x:c r="A22" s="34" t="n">
        <x:v>45299</x:v>
      </x:c>
      <x:c r="B22" s="28" t="str">
        <x:v>Grupo Industrial S.A.</x:v>
      </x:c>
      <x:c r="C22" s="28" t="str">
        <x:v>Planta Campinas</x:v>
      </x:c>
      <x:c r="D22" s="28" t="str">
        <x:v>Linha 3 - Extrusão</x:v>
      </x:c>
      <x:c r="E22" s="28" t="str">
        <x:v>EQ-3-01</x:v>
      </x:c>
      <x:c r="F22" s="28" t="str">
        <x:v>Operacional</x:v>
      </x:c>
      <x:c r="G22" s="32" t="n">
        <x:v>8.59</x:v>
      </x:c>
      <x:c r="H22" s="28" t="str">
        <x:v>Falta de material</x:v>
      </x:c>
      <x:c r="I22" s="28" t="str">
        <x:v>Sim</x:v>
      </x:c>
    </x:row>
    <x:row r="23">
      <x:c r="A23" s="34" t="n">
        <x:v>45299</x:v>
      </x:c>
      <x:c r="B23" s="28" t="str">
        <x:v>Grupo Industrial S.A.</x:v>
      </x:c>
      <x:c r="C23" s="28" t="str">
        <x:v>Planta Campinas</x:v>
      </x:c>
      <x:c r="D23" s="28" t="str">
        <x:v>Linha 3 - Extrusão</x:v>
      </x:c>
      <x:c r="E23" s="28" t="str">
        <x:v>EQ-3-02</x:v>
      </x:c>
      <x:c r="F23" s="28" t="str">
        <x:v>Corretiva</x:v>
      </x:c>
      <x:c r="G23" s="32" t="n">
        <x:v>4.04</x:v>
      </x:c>
      <x:c r="H23" s="28" t="str">
        <x:v>Quebras</x:v>
      </x:c>
      <x:c r="I23" s="28" t="str">
        <x:v>Sim</x:v>
      </x:c>
    </x:row>
    <x:row r="24">
      <x:c r="A24" s="34" t="n">
        <x:v>45299</x:v>
      </x:c>
      <x:c r="B24" s="28" t="str">
        <x:v>Grupo Industrial S.A.</x:v>
      </x:c>
      <x:c r="C24" s="28" t="str">
        <x:v>Planta Campinas</x:v>
      </x:c>
      <x:c r="D24" s="28" t="str">
        <x:v>Linha 3 - Extrusão</x:v>
      </x:c>
      <x:c r="E24" s="28" t="str">
        <x:v>EQ-3-03</x:v>
      </x:c>
      <x:c r="F24" s="28" t="str">
        <x:v>Operacional</x:v>
      </x:c>
      <x:c r="G24" s="32" t="n">
        <x:v>8.96</x:v>
      </x:c>
      <x:c r="H24" s="28" t="str">
        <x:v>Falta de material</x:v>
      </x:c>
      <x:c r="I24" s="28" t="str">
        <x:v>Sim</x:v>
      </x:c>
    </x:row>
    <x:row r="25">
      <x:c r="A25" s="34" t="n">
        <x:v>45299</x:v>
      </x:c>
      <x:c r="B25" s="28" t="str">
        <x:v>Grupo Industrial S.A.</x:v>
      </x:c>
      <x:c r="C25" s="28" t="str">
        <x:v>Planta Campinas</x:v>
      </x:c>
      <x:c r="D25" s="28" t="str">
        <x:v>Linha 4 - Embalagem</x:v>
      </x:c>
      <x:c r="E25" s="28" t="str">
        <x:v>EQ-4-01</x:v>
      </x:c>
      <x:c r="F25" s="28" t="str">
        <x:v>Corretiva</x:v>
      </x:c>
      <x:c r="G25" s="32" t="n">
        <x:v>12.22</x:v>
      </x:c>
      <x:c r="H25" s="28" t="str">
        <x:v>Ajustes</x:v>
      </x:c>
      <x:c r="I25" s="28" t="str">
        <x:v>Não</x:v>
      </x:c>
    </x:row>
    <x:row r="26">
      <x:c r="A26" s="34" t="n">
        <x:v>45299</x:v>
      </x:c>
      <x:c r="B26" s="28" t="str">
        <x:v>Grupo Industrial S.A.</x:v>
      </x:c>
      <x:c r="C26" s="28" t="str">
        <x:v>Planta Campinas</x:v>
      </x:c>
      <x:c r="D26" s="28" t="str">
        <x:v>Linha 4 - Embalagem</x:v>
      </x:c>
      <x:c r="E26" s="28" t="str">
        <x:v>EQ-4-02</x:v>
      </x:c>
      <x:c r="F26" s="28" t="str">
        <x:v>Operacional</x:v>
      </x:c>
      <x:c r="G26" s="32" t="n">
        <x:v>4.31</x:v>
      </x:c>
      <x:c r="H26" s="28" t="str">
        <x:v>Setup</x:v>
      </x:c>
      <x:c r="I26" s="28" t="str">
        <x:v>Não</x:v>
      </x:c>
    </x:row>
    <x:row r="27">
      <x:c r="A27" s="34" t="n">
        <x:v>45299</x:v>
      </x:c>
      <x:c r="B27" s="28" t="str">
        <x:v>Grupo Industrial S.A.</x:v>
      </x:c>
      <x:c r="C27" s="28" t="str">
        <x:v>Planta Campinas</x:v>
      </x:c>
      <x:c r="D27" s="28" t="str">
        <x:v>Linha 4 - Embalagem</x:v>
      </x:c>
      <x:c r="E27" s="28" t="str">
        <x:v>EQ-4-03</x:v>
      </x:c>
      <x:c r="F27" s="28" t="str">
        <x:v>Corretiva</x:v>
      </x:c>
      <x:c r="G27" s="32" t="n">
        <x:v>7.69</x:v>
      </x:c>
      <x:c r="H27" s="28" t="str">
        <x:v>Ajustes</x:v>
      </x:c>
      <x:c r="I27" s="28" t="str">
        <x:v>Não</x:v>
      </x:c>
    </x:row>
    <x:row r="28">
      <x:c r="A28" s="34" t="n">
        <x:v>45299</x:v>
      </x:c>
      <x:c r="B28" s="28" t="str">
        <x:v>Grupo Industrial S.A.</x:v>
      </x:c>
      <x:c r="C28" s="28" t="str">
        <x:v>Planta Curitiba</x:v>
      </x:c>
      <x:c r="D28" s="28" t="str">
        <x:v>Linha 5 - Usinagem</x:v>
      </x:c>
      <x:c r="E28" s="28" t="str">
        <x:v>EQ-5-01</x:v>
      </x:c>
      <x:c r="F28" s="28" t="str">
        <x:v>Corretiva</x:v>
      </x:c>
      <x:c r="G28" s="32" t="n">
        <x:v>8.69</x:v>
      </x:c>
      <x:c r="H28" s="28" t="str">
        <x:v>Quebras</x:v>
      </x:c>
      <x:c r="I28" s="28" t="str">
        <x:v>Sim</x:v>
      </x:c>
    </x:row>
    <x:row r="29">
      <x:c r="A29" s="34" t="n">
        <x:v>45299</x:v>
      </x:c>
      <x:c r="B29" s="28" t="str">
        <x:v>Grupo Industrial S.A.</x:v>
      </x:c>
      <x:c r="C29" s="28" t="str">
        <x:v>Planta Curitiba</x:v>
      </x:c>
      <x:c r="D29" s="28" t="str">
        <x:v>Linha 5 - Usinagem</x:v>
      </x:c>
      <x:c r="E29" s="28" t="str">
        <x:v>EQ-5-02</x:v>
      </x:c>
      <x:c r="F29" s="28" t="str">
        <x:v>Operacional</x:v>
      </x:c>
      <x:c r="G29" s="32" t="n">
        <x:v>3.41</x:v>
      </x:c>
      <x:c r="H29" s="28" t="str">
        <x:v>Troca de ferramenta</x:v>
      </x:c>
      <x:c r="I29" s="28" t="str">
        <x:v>Não</x:v>
      </x:c>
    </x:row>
    <x:row r="30">
      <x:c r="A30" s="34" t="n">
        <x:v>45299</x:v>
      </x:c>
      <x:c r="B30" s="28" t="str">
        <x:v>Grupo Industrial S.A.</x:v>
      </x:c>
      <x:c r="C30" s="28" t="str">
        <x:v>Planta Curitiba</x:v>
      </x:c>
      <x:c r="D30" s="28" t="str">
        <x:v>Linha 5 - Usinagem</x:v>
      </x:c>
      <x:c r="E30" s="28" t="str">
        <x:v>EQ-5-03</x:v>
      </x:c>
      <x:c r="F30" s="28" t="str">
        <x:v>Corretiva</x:v>
      </x:c>
      <x:c r="G30" s="32" t="n">
        <x:v>8.1</x:v>
      </x:c>
      <x:c r="H30" s="28" t="str">
        <x:v>Microparadas</x:v>
      </x:c>
      <x:c r="I30" s="28" t="str">
        <x:v>Não</x:v>
      </x:c>
    </x:row>
    <x:row r="31">
      <x:c r="A31" s="34" t="n">
        <x:v>45299</x:v>
      </x:c>
      <x:c r="B31" s="28" t="str">
        <x:v>Grupo Industrial S.A.</x:v>
      </x:c>
      <x:c r="C31" s="28" t="str">
        <x:v>Planta Curitiba</x:v>
      </x:c>
      <x:c r="D31" s="28" t="str">
        <x:v>Linha 6 - Finalização</x:v>
      </x:c>
      <x:c r="E31" s="28" t="str">
        <x:v>EQ-6-01</x:v>
      </x:c>
      <x:c r="F31" s="28" t="str">
        <x:v>Corretiva</x:v>
      </x:c>
      <x:c r="G31" s="32" t="n">
        <x:v>5.94</x:v>
      </x:c>
      <x:c r="H31" s="28" t="str">
        <x:v>Microparadas</x:v>
      </x:c>
      <x:c r="I31" s="28" t="str">
        <x:v>Não</x:v>
      </x:c>
    </x:row>
    <x:row r="32">
      <x:c r="A32" s="34" t="n">
        <x:v>45299</x:v>
      </x:c>
      <x:c r="B32" s="28" t="str">
        <x:v>Grupo Industrial S.A.</x:v>
      </x:c>
      <x:c r="C32" s="28" t="str">
        <x:v>Planta Curitiba</x:v>
      </x:c>
      <x:c r="D32" s="28" t="str">
        <x:v>Linha 6 - Finalização</x:v>
      </x:c>
      <x:c r="E32" s="28" t="str">
        <x:v>EQ-6-02</x:v>
      </x:c>
      <x:c r="F32" s="28" t="str">
        <x:v>Operacional</x:v>
      </x:c>
      <x:c r="G32" s="32" t="n">
        <x:v>6.6</x:v>
      </x:c>
      <x:c r="H32" s="28" t="str">
        <x:v>Troca de ferramenta</x:v>
      </x:c>
      <x:c r="I32" s="28" t="str">
        <x:v>Não</x:v>
      </x:c>
    </x:row>
    <x:row r="33">
      <x:c r="A33" s="34" t="n">
        <x:v>45299</x:v>
      </x:c>
      <x:c r="B33" s="28" t="str">
        <x:v>Grupo Industrial S.A.</x:v>
      </x:c>
      <x:c r="C33" s="28" t="str">
        <x:v>Planta Curitiba</x:v>
      </x:c>
      <x:c r="D33" s="28" t="str">
        <x:v>Linha 6 - Finalização</x:v>
      </x:c>
      <x:c r="E33" s="28" t="str">
        <x:v>EQ-6-03</x:v>
      </x:c>
      <x:c r="F33" s="28" t="str">
        <x:v>Operacional</x:v>
      </x:c>
      <x:c r="G33" s="32" t="n">
        <x:v>6.33</x:v>
      </x:c>
      <x:c r="H33" s="28" t="str">
        <x:v>Troca de ferramenta</x:v>
      </x:c>
      <x:c r="I33" s="28" t="str">
        <x:v>Não</x:v>
      </x:c>
    </x:row>
    <x:row r="34">
      <x:c r="A34" s="34" t="n">
        <x:v>45306</x:v>
      </x:c>
      <x:c r="B34" s="28" t="str">
        <x:v>Grupo Industrial S.A.</x:v>
      </x:c>
      <x:c r="C34" s="28" t="str">
        <x:v>Planta São Paulo</x:v>
      </x:c>
      <x:c r="D34" s="28" t="str">
        <x:v>Linha 1 - Corte</x:v>
      </x:c>
      <x:c r="E34" s="28" t="str">
        <x:v>EQ-1-01</x:v>
      </x:c>
      <x:c r="F34" s="28" t="str">
        <x:v>Corretiva</x:v>
      </x:c>
      <x:c r="G34" s="32" t="n">
        <x:v>6.92</x:v>
      </x:c>
      <x:c r="H34" s="28" t="str">
        <x:v>Microparadas</x:v>
      </x:c>
      <x:c r="I34" s="28" t="str">
        <x:v>Não</x:v>
      </x:c>
    </x:row>
    <x:row r="35">
      <x:c r="A35" s="34" t="n">
        <x:v>45306</x:v>
      </x:c>
      <x:c r="B35" s="28" t="str">
        <x:v>Grupo Industrial S.A.</x:v>
      </x:c>
      <x:c r="C35" s="28" t="str">
        <x:v>Planta São Paulo</x:v>
      </x:c>
      <x:c r="D35" s="28" t="str">
        <x:v>Linha 1 - Corte</x:v>
      </x:c>
      <x:c r="E35" s="28" t="str">
        <x:v>EQ-1-02</x:v>
      </x:c>
      <x:c r="F35" s="28" t="str">
        <x:v>Corretiva</x:v>
      </x:c>
      <x:c r="G35" s="32" t="n">
        <x:v>9.82</x:v>
      </x:c>
      <x:c r="H35" s="28" t="str">
        <x:v>Quebras</x:v>
      </x:c>
      <x:c r="I35" s="28" t="str">
        <x:v>Sim</x:v>
      </x:c>
    </x:row>
    <x:row r="36">
      <x:c r="A36" s="34" t="n">
        <x:v>45306</x:v>
      </x:c>
      <x:c r="B36" s="28" t="str">
        <x:v>Grupo Industrial S.A.</x:v>
      </x:c>
      <x:c r="C36" s="28" t="str">
        <x:v>Planta São Paulo</x:v>
      </x:c>
      <x:c r="D36" s="28" t="str">
        <x:v>Linha 2 - Montagem</x:v>
      </x:c>
      <x:c r="E36" s="28" t="str">
        <x:v>EQ-2-01</x:v>
      </x:c>
      <x:c r="F36" s="28" t="str">
        <x:v>Operacional</x:v>
      </x:c>
      <x:c r="G36" s="32" t="n">
        <x:v>5.4</x:v>
      </x:c>
      <x:c r="H36" s="28" t="str">
        <x:v>Setup</x:v>
      </x:c>
      <x:c r="I36" s="28" t="str">
        <x:v>Não</x:v>
      </x:c>
    </x:row>
    <x:row r="37">
      <x:c r="A37" s="34" t="n">
        <x:v>45306</x:v>
      </x:c>
      <x:c r="B37" s="28" t="str">
        <x:v>Grupo Industrial S.A.</x:v>
      </x:c>
      <x:c r="C37" s="28" t="str">
        <x:v>Planta São Paulo</x:v>
      </x:c>
      <x:c r="D37" s="28" t="str">
        <x:v>Linha 2 - Montagem</x:v>
      </x:c>
      <x:c r="E37" s="28" t="str">
        <x:v>EQ-2-02</x:v>
      </x:c>
      <x:c r="F37" s="28" t="str">
        <x:v>Operacional</x:v>
      </x:c>
      <x:c r="G37" s="32" t="n">
        <x:v>8.91</x:v>
      </x:c>
      <x:c r="H37" s="28" t="str">
        <x:v>Setup</x:v>
      </x:c>
      <x:c r="I37" s="28" t="str">
        <x:v>Não</x:v>
      </x:c>
    </x:row>
    <x:row r="38">
      <x:c r="A38" s="34" t="n">
        <x:v>45306</x:v>
      </x:c>
      <x:c r="B38" s="28" t="str">
        <x:v>Grupo Industrial S.A.</x:v>
      </x:c>
      <x:c r="C38" s="28" t="str">
        <x:v>Planta Campinas</x:v>
      </x:c>
      <x:c r="D38" s="28" t="str">
        <x:v>Linha 3 - Extrusão</x:v>
      </x:c>
      <x:c r="E38" s="28" t="str">
        <x:v>EQ-3-01</x:v>
      </x:c>
      <x:c r="F38" s="28" t="str">
        <x:v>Operacional</x:v>
      </x:c>
      <x:c r="G38" s="32" t="n">
        <x:v>9.2</x:v>
      </x:c>
      <x:c r="H38" s="28" t="str">
        <x:v>Falta de material</x:v>
      </x:c>
      <x:c r="I38" s="28" t="str">
        <x:v>Sim</x:v>
      </x:c>
    </x:row>
    <x:row r="39">
      <x:c r="A39" s="34" t="n">
        <x:v>45306</x:v>
      </x:c>
      <x:c r="B39" s="28" t="str">
        <x:v>Grupo Industrial S.A.</x:v>
      </x:c>
      <x:c r="C39" s="28" t="str">
        <x:v>Planta Campinas</x:v>
      </x:c>
      <x:c r="D39" s="28" t="str">
        <x:v>Linha 3 - Extrusão</x:v>
      </x:c>
      <x:c r="E39" s="28" t="str">
        <x:v>EQ-3-02</x:v>
      </x:c>
      <x:c r="F39" s="28" t="str">
        <x:v>Operacional</x:v>
      </x:c>
      <x:c r="G39" s="32" t="n">
        <x:v>5.46</x:v>
      </x:c>
      <x:c r="H39" s="28" t="str">
        <x:v>Falta de material</x:v>
      </x:c>
      <x:c r="I39" s="28" t="str">
        <x:v>Sim</x:v>
      </x:c>
    </x:row>
    <x:row r="40">
      <x:c r="A40" s="34" t="n">
        <x:v>45306</x:v>
      </x:c>
      <x:c r="B40" s="28" t="str">
        <x:v>Grupo Industrial S.A.</x:v>
      </x:c>
      <x:c r="C40" s="28" t="str">
        <x:v>Planta Campinas</x:v>
      </x:c>
      <x:c r="D40" s="28" t="str">
        <x:v>Linha 3 - Extrusão</x:v>
      </x:c>
      <x:c r="E40" s="28" t="str">
        <x:v>EQ-3-03</x:v>
      </x:c>
      <x:c r="F40" s="28" t="str">
        <x:v>Corretiva</x:v>
      </x:c>
      <x:c r="G40" s="32" t="n">
        <x:v>7.15</x:v>
      </x:c>
      <x:c r="H40" s="28" t="str">
        <x:v>Quebras</x:v>
      </x:c>
      <x:c r="I40" s="28" t="str">
        <x:v>Sim</x:v>
      </x:c>
    </x:row>
    <x:row r="41">
      <x:c r="A41" s="34" t="n">
        <x:v>45306</x:v>
      </x:c>
      <x:c r="B41" s="28" t="str">
        <x:v>Grupo Industrial S.A.</x:v>
      </x:c>
      <x:c r="C41" s="28" t="str">
        <x:v>Planta Campinas</x:v>
      </x:c>
      <x:c r="D41" s="28" t="str">
        <x:v>Linha 4 - Embalagem</x:v>
      </x:c>
      <x:c r="E41" s="28" t="str">
        <x:v>EQ-4-01</x:v>
      </x:c>
      <x:c r="F41" s="28" t="str">
        <x:v>Corretiva</x:v>
      </x:c>
      <x:c r="G41" s="32" t="n">
        <x:v>12.49</x:v>
      </x:c>
      <x:c r="H41" s="28" t="str">
        <x:v>Ajustes</x:v>
      </x:c>
      <x:c r="I41" s="28" t="str">
        <x:v>Não</x:v>
      </x:c>
    </x:row>
    <x:row r="42">
      <x:c r="A42" s="34" t="n">
        <x:v>45306</x:v>
      </x:c>
      <x:c r="B42" s="28" t="str">
        <x:v>Grupo Industrial S.A.</x:v>
      </x:c>
      <x:c r="C42" s="28" t="str">
        <x:v>Planta Campinas</x:v>
      </x:c>
      <x:c r="D42" s="28" t="str">
        <x:v>Linha 4 - Embalagem</x:v>
      </x:c>
      <x:c r="E42" s="28" t="str">
        <x:v>EQ-4-02</x:v>
      </x:c>
      <x:c r="F42" s="28" t="str">
        <x:v>Corretiva</x:v>
      </x:c>
      <x:c r="G42" s="32" t="n">
        <x:v>6.77</x:v>
      </x:c>
      <x:c r="H42" s="28" t="str">
        <x:v>Ajustes</x:v>
      </x:c>
      <x:c r="I42" s="28" t="str">
        <x:v>Não</x:v>
      </x:c>
    </x:row>
    <x:row r="43">
      <x:c r="A43" s="34" t="n">
        <x:v>45306</x:v>
      </x:c>
      <x:c r="B43" s="28" t="str">
        <x:v>Grupo Industrial S.A.</x:v>
      </x:c>
      <x:c r="C43" s="28" t="str">
        <x:v>Planta Campinas</x:v>
      </x:c>
      <x:c r="D43" s="28" t="str">
        <x:v>Linha 4 - Embalagem</x:v>
      </x:c>
      <x:c r="E43" s="28" t="str">
        <x:v>EQ-4-03</x:v>
      </x:c>
      <x:c r="F43" s="28" t="str">
        <x:v>Operacional</x:v>
      </x:c>
      <x:c r="G43" s="32" t="n">
        <x:v>6.26</x:v>
      </x:c>
      <x:c r="H43" s="28" t="str">
        <x:v>Setup</x:v>
      </x:c>
      <x:c r="I43" s="28" t="str">
        <x:v>Não</x:v>
      </x:c>
    </x:row>
    <x:row r="44">
      <x:c r="A44" s="34" t="n">
        <x:v>45306</x:v>
      </x:c>
      <x:c r="B44" s="28" t="str">
        <x:v>Grupo Industrial S.A.</x:v>
      </x:c>
      <x:c r="C44" s="28" t="str">
        <x:v>Planta Curitiba</x:v>
      </x:c>
      <x:c r="D44" s="28" t="str">
        <x:v>Linha 5 - Usinagem</x:v>
      </x:c>
      <x:c r="E44" s="28" t="str">
        <x:v>EQ-5-01</x:v>
      </x:c>
      <x:c r="F44" s="28" t="str">
        <x:v>Operacional</x:v>
      </x:c>
      <x:c r="G44" s="32" t="n">
        <x:v>9.91</x:v>
      </x:c>
      <x:c r="H44" s="28" t="str">
        <x:v>Setup</x:v>
      </x:c>
      <x:c r="I44" s="28" t="str">
        <x:v>Não</x:v>
      </x:c>
    </x:row>
    <x:row r="45">
      <x:c r="A45" s="34" t="n">
        <x:v>45306</x:v>
      </x:c>
      <x:c r="B45" s="28" t="str">
        <x:v>Grupo Industrial S.A.</x:v>
      </x:c>
      <x:c r="C45" s="28" t="str">
        <x:v>Planta Curitiba</x:v>
      </x:c>
      <x:c r="D45" s="28" t="str">
        <x:v>Linha 5 - Usinagem</x:v>
      </x:c>
      <x:c r="E45" s="28" t="str">
        <x:v>EQ-5-02</x:v>
      </x:c>
      <x:c r="F45" s="28" t="str">
        <x:v>Corretiva</x:v>
      </x:c>
      <x:c r="G45" s="32" t="n">
        <x:v>3.63</x:v>
      </x:c>
      <x:c r="H45" s="28" t="str">
        <x:v>Quebras</x:v>
      </x:c>
      <x:c r="I45" s="28" t="str">
        <x:v>Sim</x:v>
      </x:c>
    </x:row>
    <x:row r="46">
      <x:c r="A46" s="34" t="n">
        <x:v>45306</x:v>
      </x:c>
      <x:c r="B46" s="28" t="str">
        <x:v>Grupo Industrial S.A.</x:v>
      </x:c>
      <x:c r="C46" s="28" t="str">
        <x:v>Planta Curitiba</x:v>
      </x:c>
      <x:c r="D46" s="28" t="str">
        <x:v>Linha 5 - Usinagem</x:v>
      </x:c>
      <x:c r="E46" s="28" t="str">
        <x:v>EQ-5-03</x:v>
      </x:c>
      <x:c r="F46" s="28" t="str">
        <x:v>Operacional</x:v>
      </x:c>
      <x:c r="G46" s="32" t="n">
        <x:v>7.6</x:v>
      </x:c>
      <x:c r="H46" s="28" t="str">
        <x:v>Troca de ferramenta</x:v>
      </x:c>
      <x:c r="I46" s="28" t="str">
        <x:v>Não</x:v>
      </x:c>
    </x:row>
    <x:row r="47">
      <x:c r="A47" s="34" t="n">
        <x:v>45306</x:v>
      </x:c>
      <x:c r="B47" s="28" t="str">
        <x:v>Grupo Industrial S.A.</x:v>
      </x:c>
      <x:c r="C47" s="28" t="str">
        <x:v>Planta Curitiba</x:v>
      </x:c>
      <x:c r="D47" s="28" t="str">
        <x:v>Linha 6 - Finalização</x:v>
      </x:c>
      <x:c r="E47" s="28" t="str">
        <x:v>EQ-6-01</x:v>
      </x:c>
      <x:c r="F47" s="28" t="str">
        <x:v>Corretiva</x:v>
      </x:c>
      <x:c r="G47" s="32" t="n">
        <x:v>8.48</x:v>
      </x:c>
      <x:c r="H47" s="28" t="str">
        <x:v>Microparadas</x:v>
      </x:c>
      <x:c r="I47" s="28" t="str">
        <x:v>Não</x:v>
      </x:c>
    </x:row>
    <x:row r="48">
      <x:c r="A48" s="34" t="n">
        <x:v>45306</x:v>
      </x:c>
      <x:c r="B48" s="28" t="str">
        <x:v>Grupo Industrial S.A.</x:v>
      </x:c>
      <x:c r="C48" s="28" t="str">
        <x:v>Planta Curitiba</x:v>
      </x:c>
      <x:c r="D48" s="28" t="str">
        <x:v>Linha 6 - Finalização</x:v>
      </x:c>
      <x:c r="E48" s="28" t="str">
        <x:v>EQ-6-02</x:v>
      </x:c>
      <x:c r="F48" s="28" t="str">
        <x:v>Corretiva</x:v>
      </x:c>
      <x:c r="G48" s="32" t="n">
        <x:v>3.57</x:v>
      </x:c>
      <x:c r="H48" s="28" t="str">
        <x:v>Microparadas</x:v>
      </x:c>
      <x:c r="I48" s="28" t="str">
        <x:v>Não</x:v>
      </x:c>
    </x:row>
    <x:row r="49">
      <x:c r="A49" s="34" t="n">
        <x:v>45306</x:v>
      </x:c>
      <x:c r="B49" s="28" t="str">
        <x:v>Grupo Industrial S.A.</x:v>
      </x:c>
      <x:c r="C49" s="28" t="str">
        <x:v>Planta Curitiba</x:v>
      </x:c>
      <x:c r="D49" s="28" t="str">
        <x:v>Linha 6 - Finalização</x:v>
      </x:c>
      <x:c r="E49" s="28" t="str">
        <x:v>EQ-6-03</x:v>
      </x:c>
      <x:c r="F49" s="28" t="str">
        <x:v>Operacional</x:v>
      </x:c>
      <x:c r="G49" s="32" t="n">
        <x:v>6.31</x:v>
      </x:c>
      <x:c r="H49" s="28" t="str">
        <x:v>Troca de ferramenta</x:v>
      </x:c>
      <x:c r="I49" s="28" t="str">
        <x:v>Não</x:v>
      </x:c>
    </x:row>
    <x:row r="50">
      <x:c r="A50" s="34" t="n">
        <x:v>45313</x:v>
      </x:c>
      <x:c r="B50" s="28" t="str">
        <x:v>Grupo Industrial S.A.</x:v>
      </x:c>
      <x:c r="C50" s="28" t="str">
        <x:v>Planta São Paulo</x:v>
      </x:c>
      <x:c r="D50" s="28" t="str">
        <x:v>Linha 1 - Corte</x:v>
      </x:c>
      <x:c r="E50" s="28" t="str">
        <x:v>EQ-1-01</x:v>
      </x:c>
      <x:c r="F50" s="28" t="str">
        <x:v>Corretiva</x:v>
      </x:c>
      <x:c r="G50" s="32" t="n">
        <x:v>7.95</x:v>
      </x:c>
      <x:c r="H50" s="28" t="str">
        <x:v>Microparadas</x:v>
      </x:c>
      <x:c r="I50" s="28" t="str">
        <x:v>Não</x:v>
      </x:c>
    </x:row>
    <x:row r="51">
      <x:c r="A51" s="34" t="n">
        <x:v>45313</x:v>
      </x:c>
      <x:c r="B51" s="28" t="str">
        <x:v>Grupo Industrial S.A.</x:v>
      </x:c>
      <x:c r="C51" s="28" t="str">
        <x:v>Planta São Paulo</x:v>
      </x:c>
      <x:c r="D51" s="28" t="str">
        <x:v>Linha 1 - Corte</x:v>
      </x:c>
      <x:c r="E51" s="28" t="str">
        <x:v>EQ-1-02</x:v>
      </x:c>
      <x:c r="F51" s="28" t="str">
        <x:v>Corretiva</x:v>
      </x:c>
      <x:c r="G51" s="32" t="n">
        <x:v>9.19</x:v>
      </x:c>
      <x:c r="H51" s="28" t="str">
        <x:v>Quebras</x:v>
      </x:c>
      <x:c r="I51" s="28" t="str">
        <x:v>Sim</x:v>
      </x:c>
    </x:row>
    <x:row r="52">
      <x:c r="A52" s="34" t="n">
        <x:v>45313</x:v>
      </x:c>
      <x:c r="B52" s="28" t="str">
        <x:v>Grupo Industrial S.A.</x:v>
      </x:c>
      <x:c r="C52" s="28" t="str">
        <x:v>Planta São Paulo</x:v>
      </x:c>
      <x:c r="D52" s="28" t="str">
        <x:v>Linha 2 - Montagem</x:v>
      </x:c>
      <x:c r="E52" s="28" t="str">
        <x:v>EQ-2-01</x:v>
      </x:c>
      <x:c r="F52" s="28" t="str">
        <x:v>Corretiva</x:v>
      </x:c>
      <x:c r="G52" s="32" t="n">
        <x:v>4.62</x:v>
      </x:c>
      <x:c r="H52" s="28" t="str">
        <x:v>Microparadas</x:v>
      </x:c>
      <x:c r="I52" s="28" t="str">
        <x:v>Não</x:v>
      </x:c>
    </x:row>
    <x:row r="53">
      <x:c r="A53" s="34" t="n">
        <x:v>45313</x:v>
      </x:c>
      <x:c r="B53" s="28" t="str">
        <x:v>Grupo Industrial S.A.</x:v>
      </x:c>
      <x:c r="C53" s="28" t="str">
        <x:v>Planta São Paulo</x:v>
      </x:c>
      <x:c r="D53" s="28" t="str">
        <x:v>Linha 2 - Montagem</x:v>
      </x:c>
      <x:c r="E53" s="28" t="str">
        <x:v>EQ-2-02</x:v>
      </x:c>
      <x:c r="F53" s="28" t="str">
        <x:v>Corretiva</x:v>
      </x:c>
      <x:c r="G53" s="32" t="n">
        <x:v>10.52</x:v>
      </x:c>
      <x:c r="H53" s="28" t="str">
        <x:v>Elétrica</x:v>
      </x:c>
      <x:c r="I53" s="28" t="str">
        <x:v>Sim</x:v>
      </x:c>
    </x:row>
    <x:row r="54">
      <x:c r="A54" s="34" t="n">
        <x:v>45313</x:v>
      </x:c>
      <x:c r="B54" s="28" t="str">
        <x:v>Grupo Industrial S.A.</x:v>
      </x:c>
      <x:c r="C54" s="28" t="str">
        <x:v>Planta Campinas</x:v>
      </x:c>
      <x:c r="D54" s="28" t="str">
        <x:v>Linha 3 - Extrusão</x:v>
      </x:c>
      <x:c r="E54" s="28" t="str">
        <x:v>EQ-3-01</x:v>
      </x:c>
      <x:c r="F54" s="28" t="str">
        <x:v>Operacional</x:v>
      </x:c>
      <x:c r="G54" s="32" t="n">
        <x:v>10.76</x:v>
      </x:c>
      <x:c r="H54" s="28" t="str">
        <x:v>Falta de material</x:v>
      </x:c>
      <x:c r="I54" s="28" t="str">
        <x:v>Sim</x:v>
      </x:c>
    </x:row>
    <x:row r="55">
      <x:c r="A55" s="34" t="n">
        <x:v>45313</x:v>
      </x:c>
      <x:c r="B55" s="28" t="str">
        <x:v>Grupo Industrial S.A.</x:v>
      </x:c>
      <x:c r="C55" s="28" t="str">
        <x:v>Planta Campinas</x:v>
      </x:c>
      <x:c r="D55" s="28" t="str">
        <x:v>Linha 3 - Extrusão</x:v>
      </x:c>
      <x:c r="E55" s="28" t="str">
        <x:v>EQ-3-02</x:v>
      </x:c>
      <x:c r="F55" s="28" t="str">
        <x:v>Corretiva</x:v>
      </x:c>
      <x:c r="G55" s="32" t="n">
        <x:v>6.66</x:v>
      </x:c>
      <x:c r="H55" s="28" t="str">
        <x:v>Ajustes</x:v>
      </x:c>
      <x:c r="I55" s="28" t="str">
        <x:v>Não</x:v>
      </x:c>
    </x:row>
    <x:row r="56">
      <x:c r="A56" s="34" t="n">
        <x:v>45313</x:v>
      </x:c>
      <x:c r="B56" s="28" t="str">
        <x:v>Grupo Industrial S.A.</x:v>
      </x:c>
      <x:c r="C56" s="28" t="str">
        <x:v>Planta Campinas</x:v>
      </x:c>
      <x:c r="D56" s="28" t="str">
        <x:v>Linha 3 - Extrusão</x:v>
      </x:c>
      <x:c r="E56" s="28" t="str">
        <x:v>EQ-3-03</x:v>
      </x:c>
      <x:c r="F56" s="28" t="str">
        <x:v>Operacional</x:v>
      </x:c>
      <x:c r="G56" s="32" t="n">
        <x:v>7.82</x:v>
      </x:c>
      <x:c r="H56" s="28" t="str">
        <x:v>Falta de material</x:v>
      </x:c>
      <x:c r="I56" s="28" t="str">
        <x:v>Sim</x:v>
      </x:c>
    </x:row>
    <x:row r="57">
      <x:c r="A57" s="34" t="n">
        <x:v>45313</x:v>
      </x:c>
      <x:c r="B57" s="28" t="str">
        <x:v>Grupo Industrial S.A.</x:v>
      </x:c>
      <x:c r="C57" s="28" t="str">
        <x:v>Planta Campinas</x:v>
      </x:c>
      <x:c r="D57" s="28" t="str">
        <x:v>Linha 4 - Embalagem</x:v>
      </x:c>
      <x:c r="E57" s="28" t="str">
        <x:v>EQ-4-01</x:v>
      </x:c>
      <x:c r="F57" s="28" t="str">
        <x:v>Corretiva</x:v>
      </x:c>
      <x:c r="G57" s="32" t="n">
        <x:v>10.68</x:v>
      </x:c>
      <x:c r="H57" s="28" t="str">
        <x:v>Ajustes</x:v>
      </x:c>
      <x:c r="I57" s="28" t="str">
        <x:v>Não</x:v>
      </x:c>
    </x:row>
    <x:row r="58">
      <x:c r="A58" s="34" t="n">
        <x:v>45313</x:v>
      </x:c>
      <x:c r="B58" s="28" t="str">
        <x:v>Grupo Industrial S.A.</x:v>
      </x:c>
      <x:c r="C58" s="28" t="str">
        <x:v>Planta Campinas</x:v>
      </x:c>
      <x:c r="D58" s="28" t="str">
        <x:v>Linha 4 - Embalagem</x:v>
      </x:c>
      <x:c r="E58" s="28" t="str">
        <x:v>EQ-4-02</x:v>
      </x:c>
      <x:c r="F58" s="28" t="str">
        <x:v>Corretiva</x:v>
      </x:c>
      <x:c r="G58" s="32" t="n">
        <x:v>5.95</x:v>
      </x:c>
      <x:c r="H58" s="28" t="str">
        <x:v>Ajustes</x:v>
      </x:c>
      <x:c r="I58" s="28" t="str">
        <x:v>Não</x:v>
      </x:c>
    </x:row>
    <x:row r="59">
      <x:c r="A59" s="34" t="n">
        <x:v>45313</x:v>
      </x:c>
      <x:c r="B59" s="28" t="str">
        <x:v>Grupo Industrial S.A.</x:v>
      </x:c>
      <x:c r="C59" s="28" t="str">
        <x:v>Planta Campinas</x:v>
      </x:c>
      <x:c r="D59" s="28" t="str">
        <x:v>Linha 4 - Embalagem</x:v>
      </x:c>
      <x:c r="E59" s="28" t="str">
        <x:v>EQ-4-03</x:v>
      </x:c>
      <x:c r="F59" s="28" t="str">
        <x:v>Corretiva</x:v>
      </x:c>
      <x:c r="G59" s="32" t="n">
        <x:v>8.33</x:v>
      </x:c>
      <x:c r="H59" s="28" t="str">
        <x:v>Ajustes</x:v>
      </x:c>
      <x:c r="I59" s="28" t="str">
        <x:v>Não</x:v>
      </x:c>
    </x:row>
    <x:row r="60">
      <x:c r="A60" s="34" t="n">
        <x:v>45313</x:v>
      </x:c>
      <x:c r="B60" s="28" t="str">
        <x:v>Grupo Industrial S.A.</x:v>
      </x:c>
      <x:c r="C60" s="28" t="str">
        <x:v>Planta Curitiba</x:v>
      </x:c>
      <x:c r="D60" s="28" t="str">
        <x:v>Linha 5 - Usinagem</x:v>
      </x:c>
      <x:c r="E60" s="28" t="str">
        <x:v>EQ-5-01</x:v>
      </x:c>
      <x:c r="F60" s="28" t="str">
        <x:v>Operacional</x:v>
      </x:c>
      <x:c r="G60" s="32" t="n">
        <x:v>6.24</x:v>
      </x:c>
      <x:c r="H60" s="28" t="str">
        <x:v>Troca de ferramenta</x:v>
      </x:c>
      <x:c r="I60" s="28" t="str">
        <x:v>Não</x:v>
      </x:c>
    </x:row>
    <x:row r="61">
      <x:c r="A61" s="34" t="n">
        <x:v>45313</x:v>
      </x:c>
      <x:c r="B61" s="28" t="str">
        <x:v>Grupo Industrial S.A.</x:v>
      </x:c>
      <x:c r="C61" s="28" t="str">
        <x:v>Planta Curitiba</x:v>
      </x:c>
      <x:c r="D61" s="28" t="str">
        <x:v>Linha 5 - Usinagem</x:v>
      </x:c>
      <x:c r="E61" s="28" t="str">
        <x:v>EQ-5-02</x:v>
      </x:c>
      <x:c r="F61" s="28" t="str">
        <x:v>Operacional</x:v>
      </x:c>
      <x:c r="G61" s="32" t="n">
        <x:v>5.1</x:v>
      </x:c>
      <x:c r="H61" s="28" t="str">
        <x:v>Troca de ferramenta</x:v>
      </x:c>
      <x:c r="I61" s="28" t="str">
        <x:v>Não</x:v>
      </x:c>
    </x:row>
    <x:row r="62">
      <x:c r="A62" s="34" t="n">
        <x:v>45313</x:v>
      </x:c>
      <x:c r="B62" s="28" t="str">
        <x:v>Grupo Industrial S.A.</x:v>
      </x:c>
      <x:c r="C62" s="28" t="str">
        <x:v>Planta Curitiba</x:v>
      </x:c>
      <x:c r="D62" s="28" t="str">
        <x:v>Linha 5 - Usinagem</x:v>
      </x:c>
      <x:c r="E62" s="28" t="str">
        <x:v>EQ-5-03</x:v>
      </x:c>
      <x:c r="F62" s="28" t="str">
        <x:v>Operacional</x:v>
      </x:c>
      <x:c r="G62" s="32" t="n">
        <x:v>7.6</x:v>
      </x:c>
      <x:c r="H62" s="28" t="str">
        <x:v>Troca de ferramenta</x:v>
      </x:c>
      <x:c r="I62" s="28" t="str">
        <x:v>Não</x:v>
      </x:c>
    </x:row>
    <x:row r="63">
      <x:c r="A63" s="34" t="n">
        <x:v>45313</x:v>
      </x:c>
      <x:c r="B63" s="28" t="str">
        <x:v>Grupo Industrial S.A.</x:v>
      </x:c>
      <x:c r="C63" s="28" t="str">
        <x:v>Planta Curitiba</x:v>
      </x:c>
      <x:c r="D63" s="28" t="str">
        <x:v>Linha 6 - Finalização</x:v>
      </x:c>
      <x:c r="E63" s="28" t="str">
        <x:v>EQ-6-01</x:v>
      </x:c>
      <x:c r="F63" s="28" t="str">
        <x:v>Operacional</x:v>
      </x:c>
      <x:c r="G63" s="32" t="n">
        <x:v>7.56</x:v>
      </x:c>
      <x:c r="H63" s="28" t="str">
        <x:v>Troca de ferramenta</x:v>
      </x:c>
      <x:c r="I63" s="28" t="str">
        <x:v>Não</x:v>
      </x:c>
    </x:row>
    <x:row r="64">
      <x:c r="A64" s="34" t="n">
        <x:v>45313</x:v>
      </x:c>
      <x:c r="B64" s="28" t="str">
        <x:v>Grupo Industrial S.A.</x:v>
      </x:c>
      <x:c r="C64" s="28" t="str">
        <x:v>Planta Curitiba</x:v>
      </x:c>
      <x:c r="D64" s="28" t="str">
        <x:v>Linha 6 - Finalização</x:v>
      </x:c>
      <x:c r="E64" s="28" t="str">
        <x:v>EQ-6-02</x:v>
      </x:c>
      <x:c r="F64" s="28" t="str">
        <x:v>Operacional</x:v>
      </x:c>
      <x:c r="G64" s="32" t="n">
        <x:v>4.15</x:v>
      </x:c>
      <x:c r="H64" s="28" t="str">
        <x:v>Troca de ferramenta</x:v>
      </x:c>
      <x:c r="I64" s="28" t="str">
        <x:v>Não</x:v>
      </x:c>
    </x:row>
    <x:row r="65">
      <x:c r="A65" s="34" t="n">
        <x:v>45313</x:v>
      </x:c>
      <x:c r="B65" s="28" t="str">
        <x:v>Grupo Industrial S.A.</x:v>
      </x:c>
      <x:c r="C65" s="28" t="str">
        <x:v>Planta Curitiba</x:v>
      </x:c>
      <x:c r="D65" s="28" t="str">
        <x:v>Linha 6 - Finalização</x:v>
      </x:c>
      <x:c r="E65" s="28" t="str">
        <x:v>EQ-6-03</x:v>
      </x:c>
      <x:c r="F65" s="28" t="str">
        <x:v>Corretiva</x:v>
      </x:c>
      <x:c r="G65" s="32" t="n">
        <x:v>8.75</x:v>
      </x:c>
      <x:c r="H65" s="28" t="str">
        <x:v>Quebras</x:v>
      </x:c>
      <x:c r="I65" s="28" t="str">
        <x:v>Sim</x:v>
      </x:c>
    </x:row>
    <x:row r="66">
      <x:c r="A66" s="34" t="n">
        <x:v>45320</x:v>
      </x:c>
      <x:c r="B66" s="28" t="str">
        <x:v>Grupo Industrial S.A.</x:v>
      </x:c>
      <x:c r="C66" s="28" t="str">
        <x:v>Planta São Paulo</x:v>
      </x:c>
      <x:c r="D66" s="28" t="str">
        <x:v>Linha 1 - Corte</x:v>
      </x:c>
      <x:c r="E66" s="28" t="str">
        <x:v>EQ-1-01</x:v>
      </x:c>
      <x:c r="F66" s="28" t="str">
        <x:v>Corretiva</x:v>
      </x:c>
      <x:c r="G66" s="32" t="n">
        <x:v>6.23</x:v>
      </x:c>
      <x:c r="H66" s="28" t="str">
        <x:v>Quebras</x:v>
      </x:c>
      <x:c r="I66" s="28" t="str">
        <x:v>Sim</x:v>
      </x:c>
    </x:row>
    <x:row r="67">
      <x:c r="A67" s="34" t="n">
        <x:v>45320</x:v>
      </x:c>
      <x:c r="B67" s="28" t="str">
        <x:v>Grupo Industrial S.A.</x:v>
      </x:c>
      <x:c r="C67" s="28" t="str">
        <x:v>Planta São Paulo</x:v>
      </x:c>
      <x:c r="D67" s="28" t="str">
        <x:v>Linha 1 - Corte</x:v>
      </x:c>
      <x:c r="E67" s="28" t="str">
        <x:v>EQ-1-02</x:v>
      </x:c>
      <x:c r="F67" s="28" t="str">
        <x:v>Corretiva</x:v>
      </x:c>
      <x:c r="G67" s="32" t="n">
        <x:v>9.53</x:v>
      </x:c>
      <x:c r="H67" s="28" t="str">
        <x:v>Quebras</x:v>
      </x:c>
      <x:c r="I67" s="28" t="str">
        <x:v>Sim</x:v>
      </x:c>
    </x:row>
    <x:row r="68">
      <x:c r="A68" s="34" t="n">
        <x:v>45320</x:v>
      </x:c>
      <x:c r="B68" s="28" t="str">
        <x:v>Grupo Industrial S.A.</x:v>
      </x:c>
      <x:c r="C68" s="28" t="str">
        <x:v>Planta São Paulo</x:v>
      </x:c>
      <x:c r="D68" s="28" t="str">
        <x:v>Linha 2 - Montagem</x:v>
      </x:c>
      <x:c r="E68" s="28" t="str">
        <x:v>EQ-2-01</x:v>
      </x:c>
      <x:c r="F68" s="28" t="str">
        <x:v>Operacional</x:v>
      </x:c>
      <x:c r="G68" s="32" t="n">
        <x:v>7.57</x:v>
      </x:c>
      <x:c r="H68" s="28" t="str">
        <x:v>Setup</x:v>
      </x:c>
      <x:c r="I68" s="28" t="str">
        <x:v>Não</x:v>
      </x:c>
    </x:row>
    <x:row r="69">
      <x:c r="A69" s="34" t="n">
        <x:v>45320</x:v>
      </x:c>
      <x:c r="B69" s="28" t="str">
        <x:v>Grupo Industrial S.A.</x:v>
      </x:c>
      <x:c r="C69" s="28" t="str">
        <x:v>Planta São Paulo</x:v>
      </x:c>
      <x:c r="D69" s="28" t="str">
        <x:v>Linha 2 - Montagem</x:v>
      </x:c>
      <x:c r="E69" s="28" t="str">
        <x:v>EQ-2-02</x:v>
      </x:c>
      <x:c r="F69" s="28" t="str">
        <x:v>Corretiva</x:v>
      </x:c>
      <x:c r="G69" s="32" t="n">
        <x:v>8.37</x:v>
      </x:c>
      <x:c r="H69" s="28" t="str">
        <x:v>Quebras</x:v>
      </x:c>
      <x:c r="I69" s="28" t="str">
        <x:v>Sim</x:v>
      </x:c>
    </x:row>
    <x:row r="70">
      <x:c r="A70" s="34" t="n">
        <x:v>45320</x:v>
      </x:c>
      <x:c r="B70" s="28" t="str">
        <x:v>Grupo Industrial S.A.</x:v>
      </x:c>
      <x:c r="C70" s="28" t="str">
        <x:v>Planta Campinas</x:v>
      </x:c>
      <x:c r="D70" s="28" t="str">
        <x:v>Linha 3 - Extrusão</x:v>
      </x:c>
      <x:c r="E70" s="28" t="str">
        <x:v>EQ-3-01</x:v>
      </x:c>
      <x:c r="F70" s="28" t="str">
        <x:v>Corretiva</x:v>
      </x:c>
      <x:c r="G70" s="32" t="n">
        <x:v>12.09</x:v>
      </x:c>
      <x:c r="H70" s="28" t="str">
        <x:v>Ajustes</x:v>
      </x:c>
      <x:c r="I70" s="28" t="str">
        <x:v>Não</x:v>
      </x:c>
    </x:row>
    <x:row r="71">
      <x:c r="A71" s="34" t="n">
        <x:v>45320</x:v>
      </x:c>
      <x:c r="B71" s="28" t="str">
        <x:v>Grupo Industrial S.A.</x:v>
      </x:c>
      <x:c r="C71" s="28" t="str">
        <x:v>Planta Campinas</x:v>
      </x:c>
      <x:c r="D71" s="28" t="str">
        <x:v>Linha 3 - Extrusão</x:v>
      </x:c>
      <x:c r="E71" s="28" t="str">
        <x:v>EQ-3-02</x:v>
      </x:c>
      <x:c r="F71" s="28" t="str">
        <x:v>Corretiva</x:v>
      </x:c>
      <x:c r="G71" s="32" t="n">
        <x:v>3.75</x:v>
      </x:c>
      <x:c r="H71" s="28" t="str">
        <x:v>Quebras</x:v>
      </x:c>
      <x:c r="I71" s="28" t="str">
        <x:v>Sim</x:v>
      </x:c>
    </x:row>
    <x:row r="72">
      <x:c r="A72" s="34" t="n">
        <x:v>45320</x:v>
      </x:c>
      <x:c r="B72" s="28" t="str">
        <x:v>Grupo Industrial S.A.</x:v>
      </x:c>
      <x:c r="C72" s="28" t="str">
        <x:v>Planta Campinas</x:v>
      </x:c>
      <x:c r="D72" s="28" t="str">
        <x:v>Linha 3 - Extrusão</x:v>
      </x:c>
      <x:c r="E72" s="28" t="str">
        <x:v>EQ-3-03</x:v>
      </x:c>
      <x:c r="F72" s="28" t="str">
        <x:v>Corretiva</x:v>
      </x:c>
      <x:c r="G72" s="32" t="n">
        <x:v>8.88</x:v>
      </x:c>
      <x:c r="H72" s="28" t="str">
        <x:v>Quebras</x:v>
      </x:c>
      <x:c r="I72" s="28" t="str">
        <x:v>Sim</x:v>
      </x:c>
    </x:row>
    <x:row r="73">
      <x:c r="A73" s="34" t="n">
        <x:v>45320</x:v>
      </x:c>
      <x:c r="B73" s="28" t="str">
        <x:v>Grupo Industrial S.A.</x:v>
      </x:c>
      <x:c r="C73" s="28" t="str">
        <x:v>Planta Campinas</x:v>
      </x:c>
      <x:c r="D73" s="28" t="str">
        <x:v>Linha 4 - Embalagem</x:v>
      </x:c>
      <x:c r="E73" s="28" t="str">
        <x:v>EQ-4-01</x:v>
      </x:c>
      <x:c r="F73" s="28" t="str">
        <x:v>Operacional</x:v>
      </x:c>
      <x:c r="G73" s="32" t="n">
        <x:v>6.73</x:v>
      </x:c>
      <x:c r="H73" s="28" t="str">
        <x:v>Falta de material</x:v>
      </x:c>
      <x:c r="I73" s="28" t="str">
        <x:v>Sim</x:v>
      </x:c>
    </x:row>
    <x:row r="74">
      <x:c r="A74" s="34" t="n">
        <x:v>45320</x:v>
      </x:c>
      <x:c r="B74" s="28" t="str">
        <x:v>Grupo Industrial S.A.</x:v>
      </x:c>
      <x:c r="C74" s="28" t="str">
        <x:v>Planta Campinas</x:v>
      </x:c>
      <x:c r="D74" s="28" t="str">
        <x:v>Linha 4 - Embalagem</x:v>
      </x:c>
      <x:c r="E74" s="28" t="str">
        <x:v>EQ-4-02</x:v>
      </x:c>
      <x:c r="F74" s="28" t="str">
        <x:v>Operacional</x:v>
      </x:c>
      <x:c r="G74" s="32" t="n">
        <x:v>6.63</x:v>
      </x:c>
      <x:c r="H74" s="28" t="str">
        <x:v>Setup</x:v>
      </x:c>
      <x:c r="I74" s="28" t="str">
        <x:v>Não</x:v>
      </x:c>
    </x:row>
    <x:row r="75">
      <x:c r="A75" s="34" t="n">
        <x:v>45320</x:v>
      </x:c>
      <x:c r="B75" s="28" t="str">
        <x:v>Grupo Industrial S.A.</x:v>
      </x:c>
      <x:c r="C75" s="28" t="str">
        <x:v>Planta Campinas</x:v>
      </x:c>
      <x:c r="D75" s="28" t="str">
        <x:v>Linha 4 - Embalagem</x:v>
      </x:c>
      <x:c r="E75" s="28" t="str">
        <x:v>EQ-4-03</x:v>
      </x:c>
      <x:c r="F75" s="28" t="str">
        <x:v>Corretiva</x:v>
      </x:c>
      <x:c r="G75" s="32" t="n">
        <x:v>9.88</x:v>
      </x:c>
      <x:c r="H75" s="28" t="str">
        <x:v>Ajustes</x:v>
      </x:c>
      <x:c r="I75" s="28" t="str">
        <x:v>Não</x:v>
      </x:c>
    </x:row>
    <x:row r="76">
      <x:c r="A76" s="34" t="n">
        <x:v>45320</x:v>
      </x:c>
      <x:c r="B76" s="28" t="str">
        <x:v>Grupo Industrial S.A.</x:v>
      </x:c>
      <x:c r="C76" s="28" t="str">
        <x:v>Planta Curitiba</x:v>
      </x:c>
      <x:c r="D76" s="28" t="str">
        <x:v>Linha 5 - Usinagem</x:v>
      </x:c>
      <x:c r="E76" s="28" t="str">
        <x:v>EQ-5-01</x:v>
      </x:c>
      <x:c r="F76" s="28" t="str">
        <x:v>Corretiva</x:v>
      </x:c>
      <x:c r="G76" s="32" t="n">
        <x:v>7.02</x:v>
      </x:c>
      <x:c r="H76" s="28" t="str">
        <x:v>Microparadas</x:v>
      </x:c>
      <x:c r="I76" s="28" t="str">
        <x:v>Não</x:v>
      </x:c>
    </x:row>
    <x:row r="77">
      <x:c r="A77" s="34" t="n">
        <x:v>45320</x:v>
      </x:c>
      <x:c r="B77" s="28" t="str">
        <x:v>Grupo Industrial S.A.</x:v>
      </x:c>
      <x:c r="C77" s="28" t="str">
        <x:v>Planta Curitiba</x:v>
      </x:c>
      <x:c r="D77" s="28" t="str">
        <x:v>Linha 5 - Usinagem</x:v>
      </x:c>
      <x:c r="E77" s="28" t="str">
        <x:v>EQ-5-02</x:v>
      </x:c>
      <x:c r="F77" s="28" t="str">
        <x:v>Operacional</x:v>
      </x:c>
      <x:c r="G77" s="32" t="n">
        <x:v>6.88</x:v>
      </x:c>
      <x:c r="H77" s="28" t="str">
        <x:v>Setup</x:v>
      </x:c>
      <x:c r="I77" s="28" t="str">
        <x:v>Não</x:v>
      </x:c>
    </x:row>
    <x:row r="78">
      <x:c r="A78" s="34" t="n">
        <x:v>45320</x:v>
      </x:c>
      <x:c r="B78" s="28" t="str">
        <x:v>Grupo Industrial S.A.</x:v>
      </x:c>
      <x:c r="C78" s="28" t="str">
        <x:v>Planta Curitiba</x:v>
      </x:c>
      <x:c r="D78" s="28" t="str">
        <x:v>Linha 5 - Usinagem</x:v>
      </x:c>
      <x:c r="E78" s="28" t="str">
        <x:v>EQ-5-03</x:v>
      </x:c>
      <x:c r="F78" s="28" t="str">
        <x:v>Corretiva</x:v>
      </x:c>
      <x:c r="G78" s="32" t="n">
        <x:v>7.03</x:v>
      </x:c>
      <x:c r="H78" s="28" t="str">
        <x:v>Microparadas</x:v>
      </x:c>
      <x:c r="I78" s="28" t="str">
        <x:v>Não</x:v>
      </x:c>
    </x:row>
    <x:row r="79">
      <x:c r="A79" s="34" t="n">
        <x:v>45320</x:v>
      </x:c>
      <x:c r="B79" s="28" t="str">
        <x:v>Grupo Industrial S.A.</x:v>
      </x:c>
      <x:c r="C79" s="28" t="str">
        <x:v>Planta Curitiba</x:v>
      </x:c>
      <x:c r="D79" s="28" t="str">
        <x:v>Linha 6 - Finalização</x:v>
      </x:c>
      <x:c r="E79" s="28" t="str">
        <x:v>EQ-6-01</x:v>
      </x:c>
      <x:c r="F79" s="28" t="str">
        <x:v>Operacional</x:v>
      </x:c>
      <x:c r="G79" s="32" t="n">
        <x:v>8.15</x:v>
      </x:c>
      <x:c r="H79" s="28" t="str">
        <x:v>Setup</x:v>
      </x:c>
      <x:c r="I79" s="28" t="str">
        <x:v>Não</x:v>
      </x:c>
    </x:row>
    <x:row r="80">
      <x:c r="A80" s="34" t="n">
        <x:v>45320</x:v>
      </x:c>
      <x:c r="B80" s="28" t="str">
        <x:v>Grupo Industrial S.A.</x:v>
      </x:c>
      <x:c r="C80" s="28" t="str">
        <x:v>Planta Curitiba</x:v>
      </x:c>
      <x:c r="D80" s="28" t="str">
        <x:v>Linha 6 - Finalização</x:v>
      </x:c>
      <x:c r="E80" s="28" t="str">
        <x:v>EQ-6-02</x:v>
      </x:c>
      <x:c r="F80" s="28" t="str">
        <x:v>Corretiva</x:v>
      </x:c>
      <x:c r="G80" s="32" t="n">
        <x:v>9.1</x:v>
      </x:c>
      <x:c r="H80" s="28" t="str">
        <x:v>Quebras</x:v>
      </x:c>
      <x:c r="I80" s="28" t="str">
        <x:v>Sim</x:v>
      </x:c>
    </x:row>
    <x:row r="81">
      <x:c r="A81" s="34" t="n">
        <x:v>45327</x:v>
      </x:c>
      <x:c r="B81" s="28" t="str">
        <x:v>Grupo Industrial S.A.</x:v>
      </x:c>
      <x:c r="C81" s="28" t="str">
        <x:v>Planta São Paulo</x:v>
      </x:c>
      <x:c r="D81" s="28" t="str">
        <x:v>Linha 1 - Corte</x:v>
      </x:c>
      <x:c r="E81" s="28" t="str">
        <x:v>EQ-1-01</x:v>
      </x:c>
      <x:c r="F81" s="28" t="str">
        <x:v>Operacional</x:v>
      </x:c>
      <x:c r="G81" s="32" t="n">
        <x:v>9.02</x:v>
      </x:c>
      <x:c r="H81" s="28" t="str">
        <x:v>Setup</x:v>
      </x:c>
      <x:c r="I81" s="28" t="str">
        <x:v>Não</x:v>
      </x:c>
    </x:row>
    <x:row r="82">
      <x:c r="A82" s="34" t="n">
        <x:v>45327</x:v>
      </x:c>
      <x:c r="B82" s="28" t="str">
        <x:v>Grupo Industrial S.A.</x:v>
      </x:c>
      <x:c r="C82" s="28" t="str">
        <x:v>Planta São Paulo</x:v>
      </x:c>
      <x:c r="D82" s="28" t="str">
        <x:v>Linha 1 - Corte</x:v>
      </x:c>
      <x:c r="E82" s="28" t="str">
        <x:v>EQ-1-02</x:v>
      </x:c>
      <x:c r="F82" s="28" t="str">
        <x:v>Corretiva</x:v>
      </x:c>
      <x:c r="G82" s="32" t="n">
        <x:v>8.45</x:v>
      </x:c>
      <x:c r="H82" s="28" t="str">
        <x:v>Elétrica</x:v>
      </x:c>
      <x:c r="I82" s="28" t="str">
        <x:v>Sim</x:v>
      </x:c>
    </x:row>
    <x:row r="83">
      <x:c r="A83" s="34" t="n">
        <x:v>45327</x:v>
      </x:c>
      <x:c r="B83" s="28" t="str">
        <x:v>Grupo Industrial S.A.</x:v>
      </x:c>
      <x:c r="C83" s="28" t="str">
        <x:v>Planta São Paulo</x:v>
      </x:c>
      <x:c r="D83" s="28" t="str">
        <x:v>Linha 2 - Montagem</x:v>
      </x:c>
      <x:c r="E83" s="28" t="str">
        <x:v>EQ-2-01</x:v>
      </x:c>
      <x:c r="F83" s="28" t="str">
        <x:v>Operacional</x:v>
      </x:c>
      <x:c r="G83" s="32" t="n">
        <x:v>6.37</x:v>
      </x:c>
      <x:c r="H83" s="28" t="str">
        <x:v>Setup</x:v>
      </x:c>
      <x:c r="I83" s="28" t="str">
        <x:v>Não</x:v>
      </x:c>
    </x:row>
    <x:row r="84">
      <x:c r="A84" s="34" t="n">
        <x:v>45327</x:v>
      </x:c>
      <x:c r="B84" s="28" t="str">
        <x:v>Grupo Industrial S.A.</x:v>
      </x:c>
      <x:c r="C84" s="28" t="str">
        <x:v>Planta São Paulo</x:v>
      </x:c>
      <x:c r="D84" s="28" t="str">
        <x:v>Linha 2 - Montagem</x:v>
      </x:c>
      <x:c r="E84" s="28" t="str">
        <x:v>EQ-2-02</x:v>
      </x:c>
      <x:c r="F84" s="28" t="str">
        <x:v>Operacional</x:v>
      </x:c>
      <x:c r="G84" s="32" t="n">
        <x:v>6.87</x:v>
      </x:c>
      <x:c r="H84" s="28" t="str">
        <x:v>Setup</x:v>
      </x:c>
      <x:c r="I84" s="28" t="str">
        <x:v>Não</x:v>
      </x:c>
    </x:row>
    <x:row r="85">
      <x:c r="A85" s="34" t="n">
        <x:v>45327</x:v>
      </x:c>
      <x:c r="B85" s="28" t="str">
        <x:v>Grupo Industrial S.A.</x:v>
      </x:c>
      <x:c r="C85" s="28" t="str">
        <x:v>Planta Campinas</x:v>
      </x:c>
      <x:c r="D85" s="28" t="str">
        <x:v>Linha 3 - Extrusão</x:v>
      </x:c>
      <x:c r="E85" s="28" t="str">
        <x:v>EQ-3-01</x:v>
      </x:c>
      <x:c r="F85" s="28" t="str">
        <x:v>Operacional</x:v>
      </x:c>
      <x:c r="G85" s="32" t="n">
        <x:v>11.98</x:v>
      </x:c>
      <x:c r="H85" s="28" t="str">
        <x:v>Falta de material</x:v>
      </x:c>
      <x:c r="I85" s="28" t="str">
        <x:v>Sim</x:v>
      </x:c>
    </x:row>
    <x:row r="86">
      <x:c r="A86" s="34" t="n">
        <x:v>45327</x:v>
      </x:c>
      <x:c r="B86" s="28" t="str">
        <x:v>Grupo Industrial S.A.</x:v>
      </x:c>
      <x:c r="C86" s="28" t="str">
        <x:v>Planta Campinas</x:v>
      </x:c>
      <x:c r="D86" s="28" t="str">
        <x:v>Linha 3 - Extrusão</x:v>
      </x:c>
      <x:c r="E86" s="28" t="str">
        <x:v>EQ-3-02</x:v>
      </x:c>
      <x:c r="F86" s="28" t="str">
        <x:v>Corretiva</x:v>
      </x:c>
      <x:c r="G86" s="32" t="n">
        <x:v>3.73</x:v>
      </x:c>
      <x:c r="H86" s="28" t="str">
        <x:v>Ajustes</x:v>
      </x:c>
      <x:c r="I86" s="28" t="str">
        <x:v>Não</x:v>
      </x:c>
    </x:row>
    <x:row r="87">
      <x:c r="A87" s="34" t="n">
        <x:v>45327</x:v>
      </x:c>
      <x:c r="B87" s="28" t="str">
        <x:v>Grupo Industrial S.A.</x:v>
      </x:c>
      <x:c r="C87" s="28" t="str">
        <x:v>Planta Campinas</x:v>
      </x:c>
      <x:c r="D87" s="28" t="str">
        <x:v>Linha 3 - Extrusão</x:v>
      </x:c>
      <x:c r="E87" s="28" t="str">
        <x:v>EQ-3-03</x:v>
      </x:c>
      <x:c r="F87" s="28" t="str">
        <x:v>Corretiva</x:v>
      </x:c>
      <x:c r="G87" s="32" t="n">
        <x:v>8.01</x:v>
      </x:c>
      <x:c r="H87" s="28" t="str">
        <x:v>Ajustes</x:v>
      </x:c>
      <x:c r="I87" s="28" t="str">
        <x:v>Não</x:v>
      </x:c>
    </x:row>
    <x:row r="88">
      <x:c r="A88" s="34" t="n">
        <x:v>45327</x:v>
      </x:c>
      <x:c r="B88" s="28" t="str">
        <x:v>Grupo Industrial S.A.</x:v>
      </x:c>
      <x:c r="C88" s="28" t="str">
        <x:v>Planta Campinas</x:v>
      </x:c>
      <x:c r="D88" s="28" t="str">
        <x:v>Linha 4 - Embalagem</x:v>
      </x:c>
      <x:c r="E88" s="28" t="str">
        <x:v>EQ-4-01</x:v>
      </x:c>
      <x:c r="F88" s="28" t="str">
        <x:v>Operacional</x:v>
      </x:c>
      <x:c r="G88" s="32" t="n">
        <x:v>9.85</x:v>
      </x:c>
      <x:c r="H88" s="28" t="str">
        <x:v>Falta de material</x:v>
      </x:c>
      <x:c r="I88" s="28" t="str">
        <x:v>Sim</x:v>
      </x:c>
    </x:row>
    <x:row r="89">
      <x:c r="A89" s="34" t="n">
        <x:v>45327</x:v>
      </x:c>
      <x:c r="B89" s="28" t="str">
        <x:v>Grupo Industrial S.A.</x:v>
      </x:c>
      <x:c r="C89" s="28" t="str">
        <x:v>Planta Campinas</x:v>
      </x:c>
      <x:c r="D89" s="28" t="str">
        <x:v>Linha 4 - Embalagem</x:v>
      </x:c>
      <x:c r="E89" s="28" t="str">
        <x:v>EQ-4-02</x:v>
      </x:c>
      <x:c r="F89" s="28" t="str">
        <x:v>Operacional</x:v>
      </x:c>
      <x:c r="G89" s="32" t="n">
        <x:v>7.27</x:v>
      </x:c>
      <x:c r="H89" s="28" t="str">
        <x:v>Setup</x:v>
      </x:c>
      <x:c r="I89" s="28" t="str">
        <x:v>Não</x:v>
      </x:c>
    </x:row>
    <x:row r="90">
      <x:c r="A90" s="34" t="n">
        <x:v>45327</x:v>
      </x:c>
      <x:c r="B90" s="28" t="str">
        <x:v>Grupo Industrial S.A.</x:v>
      </x:c>
      <x:c r="C90" s="28" t="str">
        <x:v>Planta Campinas</x:v>
      </x:c>
      <x:c r="D90" s="28" t="str">
        <x:v>Linha 4 - Embalagem</x:v>
      </x:c>
      <x:c r="E90" s="28" t="str">
        <x:v>EQ-4-03</x:v>
      </x:c>
      <x:c r="F90" s="28" t="str">
        <x:v>Corretiva</x:v>
      </x:c>
      <x:c r="G90" s="32" t="n">
        <x:v>7.61</x:v>
      </x:c>
      <x:c r="H90" s="28" t="str">
        <x:v>Ajustes</x:v>
      </x:c>
      <x:c r="I90" s="28" t="str">
        <x:v>Não</x:v>
      </x:c>
    </x:row>
    <x:row r="91">
      <x:c r="A91" s="34" t="n">
        <x:v>45327</x:v>
      </x:c>
      <x:c r="B91" s="28" t="str">
        <x:v>Grupo Industrial S.A.</x:v>
      </x:c>
      <x:c r="C91" s="28" t="str">
        <x:v>Planta Curitiba</x:v>
      </x:c>
      <x:c r="D91" s="28" t="str">
        <x:v>Linha 5 - Usinagem</x:v>
      </x:c>
      <x:c r="E91" s="28" t="str">
        <x:v>EQ-5-01</x:v>
      </x:c>
      <x:c r="F91" s="28" t="str">
        <x:v>Corretiva</x:v>
      </x:c>
      <x:c r="G91" s="32" t="n">
        <x:v>6.24</x:v>
      </x:c>
      <x:c r="H91" s="28" t="str">
        <x:v>Quebras</x:v>
      </x:c>
      <x:c r="I91" s="28" t="str">
        <x:v>Sim</x:v>
      </x:c>
    </x:row>
    <x:row r="92">
      <x:c r="A92" s="34" t="n">
        <x:v>45327</x:v>
      </x:c>
      <x:c r="B92" s="28" t="str">
        <x:v>Grupo Industrial S.A.</x:v>
      </x:c>
      <x:c r="C92" s="28" t="str">
        <x:v>Planta Curitiba</x:v>
      </x:c>
      <x:c r="D92" s="28" t="str">
        <x:v>Linha 5 - Usinagem</x:v>
      </x:c>
      <x:c r="E92" s="28" t="str">
        <x:v>EQ-5-02</x:v>
      </x:c>
      <x:c r="F92" s="28" t="str">
        <x:v>Corretiva</x:v>
      </x:c>
      <x:c r="G92" s="32" t="n">
        <x:v>7.07</x:v>
      </x:c>
      <x:c r="H92" s="28" t="str">
        <x:v>Microparadas</x:v>
      </x:c>
      <x:c r="I92" s="28" t="str">
        <x:v>Não</x:v>
      </x:c>
    </x:row>
    <x:row r="93">
      <x:c r="A93" s="34" t="n">
        <x:v>45327</x:v>
      </x:c>
      <x:c r="B93" s="28" t="str">
        <x:v>Grupo Industrial S.A.</x:v>
      </x:c>
      <x:c r="C93" s="28" t="str">
        <x:v>Planta Curitiba</x:v>
      </x:c>
      <x:c r="D93" s="28" t="str">
        <x:v>Linha 5 - Usinagem</x:v>
      </x:c>
      <x:c r="E93" s="28" t="str">
        <x:v>EQ-5-03</x:v>
      </x:c>
      <x:c r="F93" s="28" t="str">
        <x:v>Corretiva</x:v>
      </x:c>
      <x:c r="G93" s="32" t="n">
        <x:v>7.64</x:v>
      </x:c>
      <x:c r="H93" s="28" t="str">
        <x:v>Microparadas</x:v>
      </x:c>
      <x:c r="I93" s="28" t="str">
        <x:v>Não</x:v>
      </x:c>
    </x:row>
    <x:row r="94">
      <x:c r="A94" s="34" t="n">
        <x:v>45327</x:v>
      </x:c>
      <x:c r="B94" s="28" t="str">
        <x:v>Grupo Industrial S.A.</x:v>
      </x:c>
      <x:c r="C94" s="28" t="str">
        <x:v>Planta Curitiba</x:v>
      </x:c>
      <x:c r="D94" s="28" t="str">
        <x:v>Linha 6 - Finalização</x:v>
      </x:c>
      <x:c r="E94" s="28" t="str">
        <x:v>EQ-6-01</x:v>
      </x:c>
      <x:c r="F94" s="28" t="str">
        <x:v>Operacional</x:v>
      </x:c>
      <x:c r="G94" s="32" t="n">
        <x:v>8.35</x:v>
      </x:c>
      <x:c r="H94" s="28" t="str">
        <x:v>Setup</x:v>
      </x:c>
      <x:c r="I94" s="28" t="str">
        <x:v>Não</x:v>
      </x:c>
    </x:row>
    <x:row r="95">
      <x:c r="A95" s="34" t="n">
        <x:v>45327</x:v>
      </x:c>
      <x:c r="B95" s="28" t="str">
        <x:v>Grupo Industrial S.A.</x:v>
      </x:c>
      <x:c r="C95" s="28" t="str">
        <x:v>Planta Curitiba</x:v>
      </x:c>
      <x:c r="D95" s="28" t="str">
        <x:v>Linha 6 - Finalização</x:v>
      </x:c>
      <x:c r="E95" s="28" t="str">
        <x:v>EQ-6-02</x:v>
      </x:c>
      <x:c r="F95" s="28" t="str">
        <x:v>Corretiva</x:v>
      </x:c>
      <x:c r="G95" s="32" t="n">
        <x:v>4.57</x:v>
      </x:c>
      <x:c r="H95" s="28" t="str">
        <x:v>Quebras</x:v>
      </x:c>
      <x:c r="I95" s="28" t="str">
        <x:v>Sim</x:v>
      </x:c>
    </x:row>
    <x:row r="96">
      <x:c r="A96" s="34" t="n">
        <x:v>45327</x:v>
      </x:c>
      <x:c r="B96" s="28" t="str">
        <x:v>Grupo Industrial S.A.</x:v>
      </x:c>
      <x:c r="C96" s="28" t="str">
        <x:v>Planta Curitiba</x:v>
      </x:c>
      <x:c r="D96" s="28" t="str">
        <x:v>Linha 6 - Finalização</x:v>
      </x:c>
      <x:c r="E96" s="28" t="str">
        <x:v>EQ-6-03</x:v>
      </x:c>
      <x:c r="F96" s="28" t="str">
        <x:v>Corretiva</x:v>
      </x:c>
      <x:c r="G96" s="32" t="n">
        <x:v>5.09</x:v>
      </x:c>
      <x:c r="H96" s="28" t="str">
        <x:v>Microparadas</x:v>
      </x:c>
      <x:c r="I96" s="28" t="str">
        <x:v>Não</x:v>
      </x:c>
    </x:row>
    <x:row r="97">
      <x:c r="A97" s="34" t="n">
        <x:v>45334</x:v>
      </x:c>
      <x:c r="B97" s="28" t="str">
        <x:v>Grupo Industrial S.A.</x:v>
      </x:c>
      <x:c r="C97" s="28" t="str">
        <x:v>Planta São Paulo</x:v>
      </x:c>
      <x:c r="D97" s="28" t="str">
        <x:v>Linha 1 - Corte</x:v>
      </x:c>
      <x:c r="E97" s="28" t="str">
        <x:v>EQ-1-01</x:v>
      </x:c>
      <x:c r="F97" s="28" t="str">
        <x:v>Operacional</x:v>
      </x:c>
      <x:c r="G97" s="32" t="n">
        <x:v>4.84</x:v>
      </x:c>
      <x:c r="H97" s="28" t="str">
        <x:v>Setup</x:v>
      </x:c>
      <x:c r="I97" s="28" t="str">
        <x:v>Não</x:v>
      </x:c>
    </x:row>
    <x:row r="98">
      <x:c r="A98" s="34" t="n">
        <x:v>45334</x:v>
      </x:c>
      <x:c r="B98" s="28" t="str">
        <x:v>Grupo Industrial S.A.</x:v>
      </x:c>
      <x:c r="C98" s="28" t="str">
        <x:v>Planta São Paulo</x:v>
      </x:c>
      <x:c r="D98" s="28" t="str">
        <x:v>Linha 1 - Corte</x:v>
      </x:c>
      <x:c r="E98" s="28" t="str">
        <x:v>EQ-1-02</x:v>
      </x:c>
      <x:c r="F98" s="28" t="str">
        <x:v>Corretiva</x:v>
      </x:c>
      <x:c r="G98" s="32" t="n">
        <x:v>9.55</x:v>
      </x:c>
      <x:c r="H98" s="28" t="str">
        <x:v>Quebras</x:v>
      </x:c>
      <x:c r="I98" s="28" t="str">
        <x:v>Sim</x:v>
      </x:c>
    </x:row>
    <x:row r="99">
      <x:c r="A99" s="34" t="n">
        <x:v>45334</x:v>
      </x:c>
      <x:c r="B99" s="28" t="str">
        <x:v>Grupo Industrial S.A.</x:v>
      </x:c>
      <x:c r="C99" s="28" t="str">
        <x:v>Planta São Paulo</x:v>
      </x:c>
      <x:c r="D99" s="28" t="str">
        <x:v>Linha 2 - Montagem</x:v>
      </x:c>
      <x:c r="E99" s="28" t="str">
        <x:v>EQ-2-01</x:v>
      </x:c>
      <x:c r="F99" s="28" t="str">
        <x:v>Corretiva</x:v>
      </x:c>
      <x:c r="G99" s="32" t="n">
        <x:v>6.2</x:v>
      </x:c>
      <x:c r="H99" s="28" t="str">
        <x:v>Microparadas</x:v>
      </x:c>
      <x:c r="I99" s="28" t="str">
        <x:v>Não</x:v>
      </x:c>
    </x:row>
    <x:row r="100">
      <x:c r="A100" s="34" t="n">
        <x:v>45334</x:v>
      </x:c>
      <x:c r="B100" s="28" t="str">
        <x:v>Grupo Industrial S.A.</x:v>
      </x:c>
      <x:c r="C100" s="28" t="str">
        <x:v>Planta São Paulo</x:v>
      </x:c>
      <x:c r="D100" s="28" t="str">
        <x:v>Linha 2 - Montagem</x:v>
      </x:c>
      <x:c r="E100" s="28" t="str">
        <x:v>EQ-2-02</x:v>
      </x:c>
      <x:c r="F100" s="28" t="str">
        <x:v>Corretiva</x:v>
      </x:c>
      <x:c r="G100" s="32" t="n">
        <x:v>8.17</x:v>
      </x:c>
      <x:c r="H100" s="28" t="str">
        <x:v>Microparadas</x:v>
      </x:c>
      <x:c r="I100" s="28" t="str">
        <x:v>Não</x:v>
      </x:c>
    </x:row>
    <x:row r="101">
      <x:c r="A101" s="34" t="n">
        <x:v>45334</x:v>
      </x:c>
      <x:c r="B101" s="28" t="str">
        <x:v>Grupo Industrial S.A.</x:v>
      </x:c>
      <x:c r="C101" s="28" t="str">
        <x:v>Planta Campinas</x:v>
      </x:c>
      <x:c r="D101" s="28" t="str">
        <x:v>Linha 3 - Extrusão</x:v>
      </x:c>
      <x:c r="E101" s="28" t="str">
        <x:v>EQ-3-01</x:v>
      </x:c>
      <x:c r="F101" s="28" t="str">
        <x:v>Operacional</x:v>
      </x:c>
      <x:c r="G101" s="32" t="n">
        <x:v>9.44</x:v>
      </x:c>
      <x:c r="H101" s="28" t="str">
        <x:v>Falta de material</x:v>
      </x:c>
      <x:c r="I101" s="28" t="str">
        <x:v>Sim</x:v>
      </x:c>
    </x:row>
    <x:row r="102">
      <x:c r="A102" s="34" t="n">
        <x:v>45334</x:v>
      </x:c>
      <x:c r="B102" s="28" t="str">
        <x:v>Grupo Industrial S.A.</x:v>
      </x:c>
      <x:c r="C102" s="28" t="str">
        <x:v>Planta Campinas</x:v>
      </x:c>
      <x:c r="D102" s="28" t="str">
        <x:v>Linha 3 - Extrusão</x:v>
      </x:c>
      <x:c r="E102" s="28" t="str">
        <x:v>EQ-3-02</x:v>
      </x:c>
      <x:c r="F102" s="28" t="str">
        <x:v>Corretiva</x:v>
      </x:c>
      <x:c r="G102" s="32" t="n">
        <x:v>6.31</x:v>
      </x:c>
      <x:c r="H102" s="28" t="str">
        <x:v>Quebras</x:v>
      </x:c>
      <x:c r="I102" s="28" t="str">
        <x:v>Sim</x:v>
      </x:c>
    </x:row>
    <x:row r="103">
      <x:c r="A103" s="34" t="n">
        <x:v>45334</x:v>
      </x:c>
      <x:c r="B103" s="28" t="str">
        <x:v>Grupo Industrial S.A.</x:v>
      </x:c>
      <x:c r="C103" s="28" t="str">
        <x:v>Planta Campinas</x:v>
      </x:c>
      <x:c r="D103" s="28" t="str">
        <x:v>Linha 3 - Extrusão</x:v>
      </x:c>
      <x:c r="E103" s="28" t="str">
        <x:v>EQ-3-03</x:v>
      </x:c>
      <x:c r="F103" s="28" t="str">
        <x:v>Operacional</x:v>
      </x:c>
      <x:c r="G103" s="32" t="n">
        <x:v>7.97</x:v>
      </x:c>
      <x:c r="H103" s="28" t="str">
        <x:v>Falta de material</x:v>
      </x:c>
      <x:c r="I103" s="28" t="str">
        <x:v>Sim</x:v>
      </x:c>
    </x:row>
    <x:row r="104">
      <x:c r="A104" s="34" t="n">
        <x:v>45334</x:v>
      </x:c>
      <x:c r="B104" s="28" t="str">
        <x:v>Grupo Industrial S.A.</x:v>
      </x:c>
      <x:c r="C104" s="28" t="str">
        <x:v>Planta Campinas</x:v>
      </x:c>
      <x:c r="D104" s="28" t="str">
        <x:v>Linha 4 - Embalagem</x:v>
      </x:c>
      <x:c r="E104" s="28" t="str">
        <x:v>EQ-4-01</x:v>
      </x:c>
      <x:c r="F104" s="28" t="str">
        <x:v>Corretiva</x:v>
      </x:c>
      <x:c r="G104" s="32" t="n">
        <x:v>10.63</x:v>
      </x:c>
      <x:c r="H104" s="28" t="str">
        <x:v>Ajustes</x:v>
      </x:c>
      <x:c r="I104" s="28" t="str">
        <x:v>Não</x:v>
      </x:c>
    </x:row>
    <x:row r="105">
      <x:c r="A105" s="34" t="n">
        <x:v>45334</x:v>
      </x:c>
      <x:c r="B105" s="28" t="str">
        <x:v>Grupo Industrial S.A.</x:v>
      </x:c>
      <x:c r="C105" s="28" t="str">
        <x:v>Planta Campinas</x:v>
      </x:c>
      <x:c r="D105" s="28" t="str">
        <x:v>Linha 4 - Embalagem</x:v>
      </x:c>
      <x:c r="E105" s="28" t="str">
        <x:v>EQ-4-02</x:v>
      </x:c>
      <x:c r="F105" s="28" t="str">
        <x:v>Operacional</x:v>
      </x:c>
      <x:c r="G105" s="32" t="n">
        <x:v>5.26</x:v>
      </x:c>
      <x:c r="H105" s="28" t="str">
        <x:v>Falta de material</x:v>
      </x:c>
      <x:c r="I105" s="28" t="str">
        <x:v>Sim</x:v>
      </x:c>
    </x:row>
    <x:row r="106">
      <x:c r="A106" s="34" t="n">
        <x:v>45334</x:v>
      </x:c>
      <x:c r="B106" s="28" t="str">
        <x:v>Grupo Industrial S.A.</x:v>
      </x:c>
      <x:c r="C106" s="28" t="str">
        <x:v>Planta Campinas</x:v>
      </x:c>
      <x:c r="D106" s="28" t="str">
        <x:v>Linha 4 - Embalagem</x:v>
      </x:c>
      <x:c r="E106" s="28" t="str">
        <x:v>EQ-4-03</x:v>
      </x:c>
      <x:c r="F106" s="28" t="str">
        <x:v>Operacional</x:v>
      </x:c>
      <x:c r="G106" s="32" t="n">
        <x:v>5.55</x:v>
      </x:c>
      <x:c r="H106" s="28" t="str">
        <x:v>Setup</x:v>
      </x:c>
      <x:c r="I106" s="28" t="str">
        <x:v>Não</x:v>
      </x:c>
    </x:row>
    <x:row r="107">
      <x:c r="A107" s="34" t="n">
        <x:v>45334</x:v>
      </x:c>
      <x:c r="B107" s="28" t="str">
        <x:v>Grupo Industrial S.A.</x:v>
      </x:c>
      <x:c r="C107" s="28" t="str">
        <x:v>Planta Curitiba</x:v>
      </x:c>
      <x:c r="D107" s="28" t="str">
        <x:v>Linha 5 - Usinagem</x:v>
      </x:c>
      <x:c r="E107" s="28" t="str">
        <x:v>EQ-5-01</x:v>
      </x:c>
      <x:c r="F107" s="28" t="str">
        <x:v>Corretiva</x:v>
      </x:c>
      <x:c r="G107" s="32" t="n">
        <x:v>9.36</x:v>
      </x:c>
      <x:c r="H107" s="28" t="str">
        <x:v>Microparadas</x:v>
      </x:c>
      <x:c r="I107" s="28" t="str">
        <x:v>Não</x:v>
      </x:c>
    </x:row>
    <x:row r="108">
      <x:c r="A108" s="34" t="n">
        <x:v>45334</x:v>
      </x:c>
      <x:c r="B108" s="28" t="str">
        <x:v>Grupo Industrial S.A.</x:v>
      </x:c>
      <x:c r="C108" s="28" t="str">
        <x:v>Planta Curitiba</x:v>
      </x:c>
      <x:c r="D108" s="28" t="str">
        <x:v>Linha 5 - Usinagem</x:v>
      </x:c>
      <x:c r="E108" s="28" t="str">
        <x:v>EQ-5-02</x:v>
      </x:c>
      <x:c r="F108" s="28" t="str">
        <x:v>Corretiva</x:v>
      </x:c>
      <x:c r="G108" s="32" t="n">
        <x:v>3.69</x:v>
      </x:c>
      <x:c r="H108" s="28" t="str">
        <x:v>Microparadas</x:v>
      </x:c>
      <x:c r="I108" s="28" t="str">
        <x:v>Não</x:v>
      </x:c>
    </x:row>
    <x:row r="109">
      <x:c r="A109" s="34" t="n">
        <x:v>45334</x:v>
      </x:c>
      <x:c r="B109" s="28" t="str">
        <x:v>Grupo Industrial S.A.</x:v>
      </x:c>
      <x:c r="C109" s="28" t="str">
        <x:v>Planta Curitiba</x:v>
      </x:c>
      <x:c r="D109" s="28" t="str">
        <x:v>Linha 5 - Usinagem</x:v>
      </x:c>
      <x:c r="E109" s="28" t="str">
        <x:v>EQ-5-03</x:v>
      </x:c>
      <x:c r="F109" s="28" t="str">
        <x:v>Operacional</x:v>
      </x:c>
      <x:c r="G109" s="32" t="n">
        <x:v>7.1</x:v>
      </x:c>
      <x:c r="H109" s="28" t="str">
        <x:v>Setup</x:v>
      </x:c>
      <x:c r="I109" s="28" t="str">
        <x:v>Não</x:v>
      </x:c>
    </x:row>
    <x:row r="110">
      <x:c r="A110" s="34" t="n">
        <x:v>45334</x:v>
      </x:c>
      <x:c r="B110" s="28" t="str">
        <x:v>Grupo Industrial S.A.</x:v>
      </x:c>
      <x:c r="C110" s="28" t="str">
        <x:v>Planta Curitiba</x:v>
      </x:c>
      <x:c r="D110" s="28" t="str">
        <x:v>Linha 6 - Finalização</x:v>
      </x:c>
      <x:c r="E110" s="28" t="str">
        <x:v>EQ-6-01</x:v>
      </x:c>
      <x:c r="F110" s="28" t="str">
        <x:v>Corretiva</x:v>
      </x:c>
      <x:c r="G110" s="32" t="n">
        <x:v>9.96</x:v>
      </x:c>
      <x:c r="H110" s="28" t="str">
        <x:v>Quebras</x:v>
      </x:c>
      <x:c r="I110" s="28" t="str">
        <x:v>Sim</x:v>
      </x:c>
    </x:row>
    <x:row r="111">
      <x:c r="A111" s="34" t="n">
        <x:v>45334</x:v>
      </x:c>
      <x:c r="B111" s="28" t="str">
        <x:v>Grupo Industrial S.A.</x:v>
      </x:c>
      <x:c r="C111" s="28" t="str">
        <x:v>Planta Curitiba</x:v>
      </x:c>
      <x:c r="D111" s="28" t="str">
        <x:v>Linha 6 - Finalização</x:v>
      </x:c>
      <x:c r="E111" s="28" t="str">
        <x:v>EQ-6-02</x:v>
      </x:c>
      <x:c r="F111" s="28" t="str">
        <x:v>Operacional</x:v>
      </x:c>
      <x:c r="G111" s="32" t="n">
        <x:v>4.22</x:v>
      </x:c>
      <x:c r="H111" s="28" t="str">
        <x:v>Setup</x:v>
      </x:c>
      <x:c r="I111" s="28" t="str">
        <x:v>Não</x:v>
      </x:c>
    </x:row>
    <x:row r="112">
      <x:c r="A112" s="34" t="n">
        <x:v>45334</x:v>
      </x:c>
      <x:c r="B112" s="28" t="str">
        <x:v>Grupo Industrial S.A.</x:v>
      </x:c>
      <x:c r="C112" s="28" t="str">
        <x:v>Planta Curitiba</x:v>
      </x:c>
      <x:c r="D112" s="28" t="str">
        <x:v>Linha 6 - Finalização</x:v>
      </x:c>
      <x:c r="E112" s="28" t="str">
        <x:v>EQ-6-03</x:v>
      </x:c>
      <x:c r="F112" s="28" t="str">
        <x:v>Operacional</x:v>
      </x:c>
      <x:c r="G112" s="32" t="n">
        <x:v>5.04</x:v>
      </x:c>
      <x:c r="H112" s="28" t="str">
        <x:v>Setup</x:v>
      </x:c>
      <x:c r="I112" s="28" t="str">
        <x:v>Não</x:v>
      </x:c>
    </x:row>
    <x:row r="113">
      <x:c r="A113" s="34" t="n">
        <x:v>45341</x:v>
      </x:c>
      <x:c r="B113" s="28" t="str">
        <x:v>Grupo Industrial S.A.</x:v>
      </x:c>
      <x:c r="C113" s="28" t="str">
        <x:v>Planta São Paulo</x:v>
      </x:c>
      <x:c r="D113" s="28" t="str">
        <x:v>Linha 1 - Corte</x:v>
      </x:c>
      <x:c r="E113" s="28" t="str">
        <x:v>EQ-1-01</x:v>
      </x:c>
      <x:c r="F113" s="28" t="str">
        <x:v>Operacional</x:v>
      </x:c>
      <x:c r="G113" s="32" t="n">
        <x:v>4.61</x:v>
      </x:c>
      <x:c r="H113" s="28" t="str">
        <x:v>Setup</x:v>
      </x:c>
      <x:c r="I113" s="28" t="str">
        <x:v>Não</x:v>
      </x:c>
    </x:row>
    <x:row r="114">
      <x:c r="A114" s="34" t="n">
        <x:v>45341</x:v>
      </x:c>
      <x:c r="B114" s="28" t="str">
        <x:v>Grupo Industrial S.A.</x:v>
      </x:c>
      <x:c r="C114" s="28" t="str">
        <x:v>Planta São Paulo</x:v>
      </x:c>
      <x:c r="D114" s="28" t="str">
        <x:v>Linha 1 - Corte</x:v>
      </x:c>
      <x:c r="E114" s="28" t="str">
        <x:v>EQ-1-02</x:v>
      </x:c>
      <x:c r="F114" s="28" t="str">
        <x:v>Corretiva</x:v>
      </x:c>
      <x:c r="G114" s="32" t="n">
        <x:v>7.48</x:v>
      </x:c>
      <x:c r="H114" s="28" t="str">
        <x:v>Quebras</x:v>
      </x:c>
      <x:c r="I114" s="28" t="str">
        <x:v>Sim</x:v>
      </x:c>
    </x:row>
    <x:row r="115">
      <x:c r="A115" s="34" t="n">
        <x:v>45341</x:v>
      </x:c>
      <x:c r="B115" s="28" t="str">
        <x:v>Grupo Industrial S.A.</x:v>
      </x:c>
      <x:c r="C115" s="28" t="str">
        <x:v>Planta São Paulo</x:v>
      </x:c>
      <x:c r="D115" s="28" t="str">
        <x:v>Linha 2 - Montagem</x:v>
      </x:c>
      <x:c r="E115" s="28" t="str">
        <x:v>EQ-2-01</x:v>
      </x:c>
      <x:c r="F115" s="28" t="str">
        <x:v>Operacional</x:v>
      </x:c>
      <x:c r="G115" s="32" t="n">
        <x:v>8.31</x:v>
      </x:c>
      <x:c r="H115" s="28" t="str">
        <x:v>Setup</x:v>
      </x:c>
      <x:c r="I115" s="28" t="str">
        <x:v>Não</x:v>
      </x:c>
    </x:row>
    <x:row r="116">
      <x:c r="A116" s="34" t="n">
        <x:v>45341</x:v>
      </x:c>
      <x:c r="B116" s="28" t="str">
        <x:v>Grupo Industrial S.A.</x:v>
      </x:c>
      <x:c r="C116" s="28" t="str">
        <x:v>Planta São Paulo</x:v>
      </x:c>
      <x:c r="D116" s="28" t="str">
        <x:v>Linha 2 - Montagem</x:v>
      </x:c>
      <x:c r="E116" s="28" t="str">
        <x:v>EQ-2-02</x:v>
      </x:c>
      <x:c r="F116" s="28" t="str">
        <x:v>Operacional</x:v>
      </x:c>
      <x:c r="G116" s="32" t="n">
        <x:v>8.12</x:v>
      </x:c>
      <x:c r="H116" s="28" t="str">
        <x:v>Setup</x:v>
      </x:c>
      <x:c r="I116" s="28" t="str">
        <x:v>Não</x:v>
      </x:c>
    </x:row>
    <x:row r="117">
      <x:c r="A117" s="34" t="n">
        <x:v>45341</x:v>
      </x:c>
      <x:c r="B117" s="28" t="str">
        <x:v>Grupo Industrial S.A.</x:v>
      </x:c>
      <x:c r="C117" s="28" t="str">
        <x:v>Planta Campinas</x:v>
      </x:c>
      <x:c r="D117" s="28" t="str">
        <x:v>Linha 3 - Extrusão</x:v>
      </x:c>
      <x:c r="E117" s="28" t="str">
        <x:v>EQ-3-01</x:v>
      </x:c>
      <x:c r="F117" s="28" t="str">
        <x:v>Operacional</x:v>
      </x:c>
      <x:c r="G117" s="32" t="n">
        <x:v>9.79</x:v>
      </x:c>
      <x:c r="H117" s="28" t="str">
        <x:v>Falta de material</x:v>
      </x:c>
      <x:c r="I117" s="28" t="str">
        <x:v>Sim</x:v>
      </x:c>
    </x:row>
    <x:row r="118">
      <x:c r="A118" s="34" t="n">
        <x:v>45341</x:v>
      </x:c>
      <x:c r="B118" s="28" t="str">
        <x:v>Grupo Industrial S.A.</x:v>
      </x:c>
      <x:c r="C118" s="28" t="str">
        <x:v>Planta Campinas</x:v>
      </x:c>
      <x:c r="D118" s="28" t="str">
        <x:v>Linha 3 - Extrusão</x:v>
      </x:c>
      <x:c r="E118" s="28" t="str">
        <x:v>EQ-3-02</x:v>
      </x:c>
      <x:c r="F118" s="28" t="str">
        <x:v>Corretiva</x:v>
      </x:c>
      <x:c r="G118" s="32" t="n">
        <x:v>4.08</x:v>
      </x:c>
      <x:c r="H118" s="28" t="str">
        <x:v>Quebras</x:v>
      </x:c>
      <x:c r="I118" s="28" t="str">
        <x:v>Sim</x:v>
      </x:c>
    </x:row>
    <x:row r="119">
      <x:c r="A119" s="34" t="n">
        <x:v>45341</x:v>
      </x:c>
      <x:c r="B119" s="28" t="str">
        <x:v>Grupo Industrial S.A.</x:v>
      </x:c>
      <x:c r="C119" s="28" t="str">
        <x:v>Planta Campinas</x:v>
      </x:c>
      <x:c r="D119" s="28" t="str">
        <x:v>Linha 3 - Extrusão</x:v>
      </x:c>
      <x:c r="E119" s="28" t="str">
        <x:v>EQ-3-03</x:v>
      </x:c>
      <x:c r="F119" s="28" t="str">
        <x:v>Corretiva</x:v>
      </x:c>
      <x:c r="G119" s="32" t="n">
        <x:v>9.96</x:v>
      </x:c>
      <x:c r="H119" s="28" t="str">
        <x:v>Quebras</x:v>
      </x:c>
      <x:c r="I119" s="28" t="str">
        <x:v>Sim</x:v>
      </x:c>
    </x:row>
    <x:row r="120">
      <x:c r="A120" s="34" t="n">
        <x:v>45341</x:v>
      </x:c>
      <x:c r="B120" s="28" t="str">
        <x:v>Grupo Industrial S.A.</x:v>
      </x:c>
      <x:c r="C120" s="28" t="str">
        <x:v>Planta Campinas</x:v>
      </x:c>
      <x:c r="D120" s="28" t="str">
        <x:v>Linha 4 - Embalagem</x:v>
      </x:c>
      <x:c r="E120" s="28" t="str">
        <x:v>EQ-4-01</x:v>
      </x:c>
      <x:c r="F120" s="28" t="str">
        <x:v>Corretiva</x:v>
      </x:c>
      <x:c r="G120" s="32" t="n">
        <x:v>10.14</x:v>
      </x:c>
      <x:c r="H120" s="28" t="str">
        <x:v>Quebras</x:v>
      </x:c>
      <x:c r="I120" s="28" t="str">
        <x:v>Sim</x:v>
      </x:c>
    </x:row>
    <x:row r="121">
      <x:c r="A121" s="34" t="n">
        <x:v>45341</x:v>
      </x:c>
      <x:c r="B121" s="28" t="str">
        <x:v>Grupo Industrial S.A.</x:v>
      </x:c>
      <x:c r="C121" s="28" t="str">
        <x:v>Planta Campinas</x:v>
      </x:c>
      <x:c r="D121" s="28" t="str">
        <x:v>Linha 4 - Embalagem</x:v>
      </x:c>
      <x:c r="E121" s="28" t="str">
        <x:v>EQ-4-02</x:v>
      </x:c>
      <x:c r="F121" s="28" t="str">
        <x:v>Corretiva</x:v>
      </x:c>
      <x:c r="G121" s="32" t="n">
        <x:v>6.44</x:v>
      </x:c>
      <x:c r="H121" s="28" t="str">
        <x:v>Ajustes</x:v>
      </x:c>
      <x:c r="I121" s="28" t="str">
        <x:v>Não</x:v>
      </x:c>
    </x:row>
    <x:row r="122">
      <x:c r="A122" s="34" t="n">
        <x:v>45341</x:v>
      </x:c>
      <x:c r="B122" s="28" t="str">
        <x:v>Grupo Industrial S.A.</x:v>
      </x:c>
      <x:c r="C122" s="28" t="str">
        <x:v>Planta Campinas</x:v>
      </x:c>
      <x:c r="D122" s="28" t="str">
        <x:v>Linha 4 - Embalagem</x:v>
      </x:c>
      <x:c r="E122" s="28" t="str">
        <x:v>EQ-4-03</x:v>
      </x:c>
      <x:c r="F122" s="28" t="str">
        <x:v>Operacional</x:v>
      </x:c>
      <x:c r="G122" s="32" t="n">
        <x:v>8.15</x:v>
      </x:c>
      <x:c r="H122" s="28" t="str">
        <x:v>Setup</x:v>
      </x:c>
      <x:c r="I122" s="28" t="str">
        <x:v>Não</x:v>
      </x:c>
    </x:row>
    <x:row r="123">
      <x:c r="A123" s="34" t="n">
        <x:v>45341</x:v>
      </x:c>
      <x:c r="B123" s="28" t="str">
        <x:v>Grupo Industrial S.A.</x:v>
      </x:c>
      <x:c r="C123" s="28" t="str">
        <x:v>Planta Curitiba</x:v>
      </x:c>
      <x:c r="D123" s="28" t="str">
        <x:v>Linha 5 - Usinagem</x:v>
      </x:c>
      <x:c r="E123" s="28" t="str">
        <x:v>EQ-5-01</x:v>
      </x:c>
      <x:c r="F123" s="28" t="str">
        <x:v>Operacional</x:v>
      </x:c>
      <x:c r="G123" s="32" t="n">
        <x:v>5.67</x:v>
      </x:c>
      <x:c r="H123" s="28" t="str">
        <x:v>Setup</x:v>
      </x:c>
      <x:c r="I123" s="28" t="str">
        <x:v>Não</x:v>
      </x:c>
    </x:row>
    <x:row r="124">
      <x:c r="A124" s="34" t="n">
        <x:v>45341</x:v>
      </x:c>
      <x:c r="B124" s="28" t="str">
        <x:v>Grupo Industrial S.A.</x:v>
      </x:c>
      <x:c r="C124" s="28" t="str">
        <x:v>Planta Curitiba</x:v>
      </x:c>
      <x:c r="D124" s="28" t="str">
        <x:v>Linha 5 - Usinagem</x:v>
      </x:c>
      <x:c r="E124" s="28" t="str">
        <x:v>EQ-5-02</x:v>
      </x:c>
      <x:c r="F124" s="28" t="str">
        <x:v>Operacional</x:v>
      </x:c>
      <x:c r="G124" s="32" t="n">
        <x:v>11.42</x:v>
      </x:c>
      <x:c r="H124" s="28" t="str">
        <x:v>Setup</x:v>
      </x:c>
      <x:c r="I124" s="28" t="str">
        <x:v>Não</x:v>
      </x:c>
    </x:row>
    <x:row r="125">
      <x:c r="A125" s="34" t="n">
        <x:v>45341</x:v>
      </x:c>
      <x:c r="B125" s="28" t="str">
        <x:v>Grupo Industrial S.A.</x:v>
      </x:c>
      <x:c r="C125" s="28" t="str">
        <x:v>Planta Curitiba</x:v>
      </x:c>
      <x:c r="D125" s="28" t="str">
        <x:v>Linha 6 - Finalização</x:v>
      </x:c>
      <x:c r="E125" s="28" t="str">
        <x:v>EQ-6-01</x:v>
      </x:c>
      <x:c r="F125" s="28" t="str">
        <x:v>Operacional</x:v>
      </x:c>
      <x:c r="G125" s="32" t="n">
        <x:v>5.97</x:v>
      </x:c>
      <x:c r="H125" s="28" t="str">
        <x:v>Setup</x:v>
      </x:c>
      <x:c r="I125" s="28" t="str">
        <x:v>Não</x:v>
      </x:c>
    </x:row>
    <x:row r="126">
      <x:c r="A126" s="34" t="n">
        <x:v>45341</x:v>
      </x:c>
      <x:c r="B126" s="28" t="str">
        <x:v>Grupo Industrial S.A.</x:v>
      </x:c>
      <x:c r="C126" s="28" t="str">
        <x:v>Planta Curitiba</x:v>
      </x:c>
      <x:c r="D126" s="28" t="str">
        <x:v>Linha 6 - Finalização</x:v>
      </x:c>
      <x:c r="E126" s="28" t="str">
        <x:v>EQ-6-02</x:v>
      </x:c>
      <x:c r="F126" s="28" t="str">
        <x:v>Operacional</x:v>
      </x:c>
      <x:c r="G126" s="32" t="n">
        <x:v>11.16</x:v>
      </x:c>
      <x:c r="H126" s="28" t="str">
        <x:v>Troca de ferramenta</x:v>
      </x:c>
      <x:c r="I126" s="28" t="str">
        <x:v>Não</x:v>
      </x:c>
    </x:row>
    <x:row r="127">
      <x:c r="A127" s="34" t="n">
        <x:v>45348</x:v>
      </x:c>
      <x:c r="B127" s="28" t="str">
        <x:v>Grupo Industrial S.A.</x:v>
      </x:c>
      <x:c r="C127" s="28" t="str">
        <x:v>Planta São Paulo</x:v>
      </x:c>
      <x:c r="D127" s="28" t="str">
        <x:v>Linha 1 - Corte</x:v>
      </x:c>
      <x:c r="E127" s="28" t="str">
        <x:v>EQ-1-01</x:v>
      </x:c>
      <x:c r="F127" s="28" t="str">
        <x:v>Corretiva</x:v>
      </x:c>
      <x:c r="G127" s="32" t="n">
        <x:v>4.67</x:v>
      </x:c>
      <x:c r="H127" s="28" t="str">
        <x:v>Quebras</x:v>
      </x:c>
      <x:c r="I127" s="28" t="str">
        <x:v>Sim</x:v>
      </x:c>
    </x:row>
    <x:row r="128">
      <x:c r="A128" s="34" t="n">
        <x:v>45348</x:v>
      </x:c>
      <x:c r="B128" s="28" t="str">
        <x:v>Grupo Industrial S.A.</x:v>
      </x:c>
      <x:c r="C128" s="28" t="str">
        <x:v>Planta São Paulo</x:v>
      </x:c>
      <x:c r="D128" s="28" t="str">
        <x:v>Linha 1 - Corte</x:v>
      </x:c>
      <x:c r="E128" s="28" t="str">
        <x:v>EQ-1-02</x:v>
      </x:c>
      <x:c r="F128" s="28" t="str">
        <x:v>Corretiva</x:v>
      </x:c>
      <x:c r="G128" s="32" t="n">
        <x:v>9.89</x:v>
      </x:c>
      <x:c r="H128" s="28" t="str">
        <x:v>Microparadas</x:v>
      </x:c>
      <x:c r="I128" s="28" t="str">
        <x:v>Não</x:v>
      </x:c>
    </x:row>
    <x:row r="129">
      <x:c r="A129" s="34" t="n">
        <x:v>45348</x:v>
      </x:c>
      <x:c r="B129" s="28" t="str">
        <x:v>Grupo Industrial S.A.</x:v>
      </x:c>
      <x:c r="C129" s="28" t="str">
        <x:v>Planta São Paulo</x:v>
      </x:c>
      <x:c r="D129" s="28" t="str">
        <x:v>Linha 2 - Montagem</x:v>
      </x:c>
      <x:c r="E129" s="28" t="str">
        <x:v>EQ-2-01</x:v>
      </x:c>
      <x:c r="F129" s="28" t="str">
        <x:v>Corretiva</x:v>
      </x:c>
      <x:c r="G129" s="32" t="n">
        <x:v>5.98</x:v>
      </x:c>
      <x:c r="H129" s="28" t="str">
        <x:v>Microparadas</x:v>
      </x:c>
      <x:c r="I129" s="28" t="str">
        <x:v>Não</x:v>
      </x:c>
    </x:row>
    <x:row r="130">
      <x:c r="A130" s="34" t="n">
        <x:v>45348</x:v>
      </x:c>
      <x:c r="B130" s="28" t="str">
        <x:v>Grupo Industrial S.A.</x:v>
      </x:c>
      <x:c r="C130" s="28" t="str">
        <x:v>Planta São Paulo</x:v>
      </x:c>
      <x:c r="D130" s="28" t="str">
        <x:v>Linha 2 - Montagem</x:v>
      </x:c>
      <x:c r="E130" s="28" t="str">
        <x:v>EQ-2-02</x:v>
      </x:c>
      <x:c r="F130" s="28" t="str">
        <x:v>Corretiva</x:v>
      </x:c>
      <x:c r="G130" s="32" t="n">
        <x:v>9.43</x:v>
      </x:c>
      <x:c r="H130" s="28" t="str">
        <x:v>Quebras</x:v>
      </x:c>
      <x:c r="I130" s="28" t="str">
        <x:v>Sim</x:v>
      </x:c>
    </x:row>
    <x:row r="131">
      <x:c r="A131" s="34" t="n">
        <x:v>45348</x:v>
      </x:c>
      <x:c r="B131" s="28" t="str">
        <x:v>Grupo Industrial S.A.</x:v>
      </x:c>
      <x:c r="C131" s="28" t="str">
        <x:v>Planta Campinas</x:v>
      </x:c>
      <x:c r="D131" s="28" t="str">
        <x:v>Linha 3 - Extrusão</x:v>
      </x:c>
      <x:c r="E131" s="28" t="str">
        <x:v>EQ-3-01</x:v>
      </x:c>
      <x:c r="F131" s="28" t="str">
        <x:v>Corretiva</x:v>
      </x:c>
      <x:c r="G131" s="32" t="n">
        <x:v>6.96</x:v>
      </x:c>
      <x:c r="H131" s="28" t="str">
        <x:v>Ajustes</x:v>
      </x:c>
      <x:c r="I131" s="28" t="str">
        <x:v>Não</x:v>
      </x:c>
    </x:row>
    <x:row r="132">
      <x:c r="A132" s="34" t="n">
        <x:v>45348</x:v>
      </x:c>
      <x:c r="B132" s="28" t="str">
        <x:v>Grupo Industrial S.A.</x:v>
      </x:c>
      <x:c r="C132" s="28" t="str">
        <x:v>Planta Campinas</x:v>
      </x:c>
      <x:c r="D132" s="28" t="str">
        <x:v>Linha 3 - Extrusão</x:v>
      </x:c>
      <x:c r="E132" s="28" t="str">
        <x:v>EQ-3-02</x:v>
      </x:c>
      <x:c r="F132" s="28" t="str">
        <x:v>Operacional</x:v>
      </x:c>
      <x:c r="G132" s="32" t="n">
        <x:v>5.69</x:v>
      </x:c>
      <x:c r="H132" s="28" t="str">
        <x:v>Setup</x:v>
      </x:c>
      <x:c r="I132" s="28" t="str">
        <x:v>Não</x:v>
      </x:c>
    </x:row>
    <x:row r="133">
      <x:c r="A133" s="34" t="n">
        <x:v>45348</x:v>
      </x:c>
      <x:c r="B133" s="28" t="str">
        <x:v>Grupo Industrial S.A.</x:v>
      </x:c>
      <x:c r="C133" s="28" t="str">
        <x:v>Planta Campinas</x:v>
      </x:c>
      <x:c r="D133" s="28" t="str">
        <x:v>Linha 3 - Extrusão</x:v>
      </x:c>
      <x:c r="E133" s="28" t="str">
        <x:v>EQ-3-03</x:v>
      </x:c>
      <x:c r="F133" s="28" t="str">
        <x:v>Corretiva</x:v>
      </x:c>
      <x:c r="G133" s="32" t="n">
        <x:v>10.68</x:v>
      </x:c>
      <x:c r="H133" s="28" t="str">
        <x:v>Ajustes</x:v>
      </x:c>
      <x:c r="I133" s="28" t="str">
        <x:v>Não</x:v>
      </x:c>
    </x:row>
    <x:row r="134">
      <x:c r="A134" s="34" t="n">
        <x:v>45348</x:v>
      </x:c>
      <x:c r="B134" s="28" t="str">
        <x:v>Grupo Industrial S.A.</x:v>
      </x:c>
      <x:c r="C134" s="28" t="str">
        <x:v>Planta Campinas</x:v>
      </x:c>
      <x:c r="D134" s="28" t="str">
        <x:v>Linha 4 - Embalagem</x:v>
      </x:c>
      <x:c r="E134" s="28" t="str">
        <x:v>EQ-4-01</x:v>
      </x:c>
      <x:c r="F134" s="28" t="str">
        <x:v>Corretiva</x:v>
      </x:c>
      <x:c r="G134" s="32" t="n">
        <x:v>7.6</x:v>
      </x:c>
      <x:c r="H134" s="28" t="str">
        <x:v>Quebras</x:v>
      </x:c>
      <x:c r="I134" s="28" t="str">
        <x:v>Sim</x:v>
      </x:c>
    </x:row>
    <x:row r="135">
      <x:c r="A135" s="34" t="n">
        <x:v>45348</x:v>
      </x:c>
      <x:c r="B135" s="28" t="str">
        <x:v>Grupo Industrial S.A.</x:v>
      </x:c>
      <x:c r="C135" s="28" t="str">
        <x:v>Planta Campinas</x:v>
      </x:c>
      <x:c r="D135" s="28" t="str">
        <x:v>Linha 4 - Embalagem</x:v>
      </x:c>
      <x:c r="E135" s="28" t="str">
        <x:v>EQ-4-02</x:v>
      </x:c>
      <x:c r="F135" s="28" t="str">
        <x:v>Operacional</x:v>
      </x:c>
      <x:c r="G135" s="32" t="n">
        <x:v>6.66</x:v>
      </x:c>
      <x:c r="H135" s="28" t="str">
        <x:v>Falta de material</x:v>
      </x:c>
      <x:c r="I135" s="28" t="str">
        <x:v>Sim</x:v>
      </x:c>
    </x:row>
    <x:row r="136">
      <x:c r="A136" s="34" t="n">
        <x:v>45348</x:v>
      </x:c>
      <x:c r="B136" s="28" t="str">
        <x:v>Grupo Industrial S.A.</x:v>
      </x:c>
      <x:c r="C136" s="28" t="str">
        <x:v>Planta Campinas</x:v>
      </x:c>
      <x:c r="D136" s="28" t="str">
        <x:v>Linha 4 - Embalagem</x:v>
      </x:c>
      <x:c r="E136" s="28" t="str">
        <x:v>EQ-4-03</x:v>
      </x:c>
      <x:c r="F136" s="28" t="str">
        <x:v>Corretiva</x:v>
      </x:c>
      <x:c r="G136" s="32" t="n">
        <x:v>12.09</x:v>
      </x:c>
      <x:c r="H136" s="28" t="str">
        <x:v>Ajustes</x:v>
      </x:c>
      <x:c r="I136" s="28" t="str">
        <x:v>Não</x:v>
      </x:c>
    </x:row>
    <x:row r="137">
      <x:c r="A137" s="34" t="n">
        <x:v>45348</x:v>
      </x:c>
      <x:c r="B137" s="28" t="str">
        <x:v>Grupo Industrial S.A.</x:v>
      </x:c>
      <x:c r="C137" s="28" t="str">
        <x:v>Planta Curitiba</x:v>
      </x:c>
      <x:c r="D137" s="28" t="str">
        <x:v>Linha 5 - Usinagem</x:v>
      </x:c>
      <x:c r="E137" s="28" t="str">
        <x:v>EQ-5-01</x:v>
      </x:c>
      <x:c r="F137" s="28" t="str">
        <x:v>Operacional</x:v>
      </x:c>
      <x:c r="G137" s="32" t="n">
        <x:v>6.79</x:v>
      </x:c>
      <x:c r="H137" s="28" t="str">
        <x:v>Troca de ferramenta</x:v>
      </x:c>
      <x:c r="I137" s="28" t="str">
        <x:v>Não</x:v>
      </x:c>
    </x:row>
    <x:row r="138">
      <x:c r="A138" s="34" t="n">
        <x:v>45348</x:v>
      </x:c>
      <x:c r="B138" s="28" t="str">
        <x:v>Grupo Industrial S.A.</x:v>
      </x:c>
      <x:c r="C138" s="28" t="str">
        <x:v>Planta Curitiba</x:v>
      </x:c>
      <x:c r="D138" s="28" t="str">
        <x:v>Linha 5 - Usinagem</x:v>
      </x:c>
      <x:c r="E138" s="28" t="str">
        <x:v>EQ-5-02</x:v>
      </x:c>
      <x:c r="F138" s="28" t="str">
        <x:v>Corretiva</x:v>
      </x:c>
      <x:c r="G138" s="32" t="n">
        <x:v>5.86</x:v>
      </x:c>
      <x:c r="H138" s="28" t="str">
        <x:v>Quebras</x:v>
      </x:c>
      <x:c r="I138" s="28" t="str">
        <x:v>Sim</x:v>
      </x:c>
    </x:row>
    <x:row r="139">
      <x:c r="A139" s="34" t="n">
        <x:v>45348</x:v>
      </x:c>
      <x:c r="B139" s="28" t="str">
        <x:v>Grupo Industrial S.A.</x:v>
      </x:c>
      <x:c r="C139" s="28" t="str">
        <x:v>Planta Curitiba</x:v>
      </x:c>
      <x:c r="D139" s="28" t="str">
        <x:v>Linha 5 - Usinagem</x:v>
      </x:c>
      <x:c r="E139" s="28" t="str">
        <x:v>EQ-5-03</x:v>
      </x:c>
      <x:c r="F139" s="28" t="str">
        <x:v>Operacional</x:v>
      </x:c>
      <x:c r="G139" s="32" t="n">
        <x:v>7.66</x:v>
      </x:c>
      <x:c r="H139" s="28" t="str">
        <x:v>Troca de ferramenta</x:v>
      </x:c>
      <x:c r="I139" s="28" t="str">
        <x:v>Não</x:v>
      </x:c>
    </x:row>
    <x:row r="140">
      <x:c r="A140" s="34" t="n">
        <x:v>45348</x:v>
      </x:c>
      <x:c r="B140" s="28" t="str">
        <x:v>Grupo Industrial S.A.</x:v>
      </x:c>
      <x:c r="C140" s="28" t="str">
        <x:v>Planta Curitiba</x:v>
      </x:c>
      <x:c r="D140" s="28" t="str">
        <x:v>Linha 6 - Finalização</x:v>
      </x:c>
      <x:c r="E140" s="28" t="str">
        <x:v>EQ-6-01</x:v>
      </x:c>
      <x:c r="F140" s="28" t="str">
        <x:v>Operacional</x:v>
      </x:c>
      <x:c r="G140" s="32" t="n">
        <x:v>8.58</x:v>
      </x:c>
      <x:c r="H140" s="28" t="str">
        <x:v>Troca de ferramenta</x:v>
      </x:c>
      <x:c r="I140" s="28" t="str">
        <x:v>Não</x:v>
      </x:c>
    </x:row>
    <x:row r="141">
      <x:c r="A141" s="34" t="n">
        <x:v>45348</x:v>
      </x:c>
      <x:c r="B141" s="28" t="str">
        <x:v>Grupo Industrial S.A.</x:v>
      </x:c>
      <x:c r="C141" s="28" t="str">
        <x:v>Planta Curitiba</x:v>
      </x:c>
      <x:c r="D141" s="28" t="str">
        <x:v>Linha 6 - Finalização</x:v>
      </x:c>
      <x:c r="E141" s="28" t="str">
        <x:v>EQ-6-02</x:v>
      </x:c>
      <x:c r="F141" s="28" t="str">
        <x:v>Operacional</x:v>
      </x:c>
      <x:c r="G141" s="32" t="n">
        <x:v>4.9</x:v>
      </x:c>
      <x:c r="H141" s="28" t="str">
        <x:v>Troca de ferramenta</x:v>
      </x:c>
      <x:c r="I141" s="28" t="str">
        <x:v>Não</x:v>
      </x:c>
    </x:row>
    <x:row r="142">
      <x:c r="A142" s="34" t="n">
        <x:v>45348</x:v>
      </x:c>
      <x:c r="B142" s="28" t="str">
        <x:v>Grupo Industrial S.A.</x:v>
      </x:c>
      <x:c r="C142" s="28" t="str">
        <x:v>Planta Curitiba</x:v>
      </x:c>
      <x:c r="D142" s="28" t="str">
        <x:v>Linha 6 - Finalização</x:v>
      </x:c>
      <x:c r="E142" s="28" t="str">
        <x:v>EQ-6-03</x:v>
      </x:c>
      <x:c r="F142" s="28" t="str">
        <x:v>Operacional</x:v>
      </x:c>
      <x:c r="G142" s="32" t="n">
        <x:v>4.83</x:v>
      </x:c>
      <x:c r="H142" s="28" t="str">
        <x:v>Setup</x:v>
      </x:c>
      <x:c r="I142" s="28" t="str">
        <x:v>Não</x:v>
      </x:c>
    </x:row>
    <x:row r="143">
      <x:c r="A143" s="34" t="n">
        <x:v>45355</x:v>
      </x:c>
      <x:c r="B143" s="28" t="str">
        <x:v>Grupo Industrial S.A.</x:v>
      </x:c>
      <x:c r="C143" s="28" t="str">
        <x:v>Planta São Paulo</x:v>
      </x:c>
      <x:c r="D143" s="28" t="str">
        <x:v>Linha 1 - Corte</x:v>
      </x:c>
      <x:c r="E143" s="28" t="str">
        <x:v>EQ-1-01</x:v>
      </x:c>
      <x:c r="F143" s="28" t="str">
        <x:v>Corretiva</x:v>
      </x:c>
      <x:c r="G143" s="32" t="n">
        <x:v>5.81</x:v>
      </x:c>
      <x:c r="H143" s="28" t="str">
        <x:v>Quebras</x:v>
      </x:c>
      <x:c r="I143" s="28" t="str">
        <x:v>Sim</x:v>
      </x:c>
    </x:row>
    <x:row r="144">
      <x:c r="A144" s="34" t="n">
        <x:v>45355</x:v>
      </x:c>
      <x:c r="B144" s="28" t="str">
        <x:v>Grupo Industrial S.A.</x:v>
      </x:c>
      <x:c r="C144" s="28" t="str">
        <x:v>Planta São Paulo</x:v>
      </x:c>
      <x:c r="D144" s="28" t="str">
        <x:v>Linha 1 - Corte</x:v>
      </x:c>
      <x:c r="E144" s="28" t="str">
        <x:v>EQ-1-02</x:v>
      </x:c>
      <x:c r="F144" s="28" t="str">
        <x:v>Corretiva</x:v>
      </x:c>
      <x:c r="G144" s="32" t="n">
        <x:v>7.39</x:v>
      </x:c>
      <x:c r="H144" s="28" t="str">
        <x:v>Elétrica</x:v>
      </x:c>
      <x:c r="I144" s="28" t="str">
        <x:v>Sim</x:v>
      </x:c>
    </x:row>
    <x:row r="145">
      <x:c r="A145" s="34" t="n">
        <x:v>45355</x:v>
      </x:c>
      <x:c r="B145" s="28" t="str">
        <x:v>Grupo Industrial S.A.</x:v>
      </x:c>
      <x:c r="C145" s="28" t="str">
        <x:v>Planta São Paulo</x:v>
      </x:c>
      <x:c r="D145" s="28" t="str">
        <x:v>Linha 2 - Montagem</x:v>
      </x:c>
      <x:c r="E145" s="28" t="str">
        <x:v>EQ-2-01</x:v>
      </x:c>
      <x:c r="F145" s="28" t="str">
        <x:v>Corretiva</x:v>
      </x:c>
      <x:c r="G145" s="32" t="n">
        <x:v>6.8</x:v>
      </x:c>
      <x:c r="H145" s="28" t="str">
        <x:v>Quebras</x:v>
      </x:c>
      <x:c r="I145" s="28" t="str">
        <x:v>Sim</x:v>
      </x:c>
    </x:row>
    <x:row r="146">
      <x:c r="A146" s="34" t="n">
        <x:v>45355</x:v>
      </x:c>
      <x:c r="B146" s="28" t="str">
        <x:v>Grupo Industrial S.A.</x:v>
      </x:c>
      <x:c r="C146" s="28" t="str">
        <x:v>Planta São Paulo</x:v>
      </x:c>
      <x:c r="D146" s="28" t="str">
        <x:v>Linha 2 - Montagem</x:v>
      </x:c>
      <x:c r="E146" s="28" t="str">
        <x:v>EQ-2-02</x:v>
      </x:c>
      <x:c r="F146" s="28" t="str">
        <x:v>Corretiva</x:v>
      </x:c>
      <x:c r="G146" s="32" t="n">
        <x:v>10.27</x:v>
      </x:c>
      <x:c r="H146" s="28" t="str">
        <x:v>Quebras</x:v>
      </x:c>
      <x:c r="I146" s="28" t="str">
        <x:v>Sim</x:v>
      </x:c>
    </x:row>
    <x:row r="147">
      <x:c r="A147" s="34" t="n">
        <x:v>45355</x:v>
      </x:c>
      <x:c r="B147" s="28" t="str">
        <x:v>Grupo Industrial S.A.</x:v>
      </x:c>
      <x:c r="C147" s="28" t="str">
        <x:v>Planta Campinas</x:v>
      </x:c>
      <x:c r="D147" s="28" t="str">
        <x:v>Linha 3 - Extrusão</x:v>
      </x:c>
      <x:c r="E147" s="28" t="str">
        <x:v>EQ-3-01</x:v>
      </x:c>
      <x:c r="F147" s="28" t="str">
        <x:v>Operacional</x:v>
      </x:c>
      <x:c r="G147" s="32" t="n">
        <x:v>9.33</x:v>
      </x:c>
      <x:c r="H147" s="28" t="str">
        <x:v>Setup</x:v>
      </x:c>
      <x:c r="I147" s="28" t="str">
        <x:v>Não</x:v>
      </x:c>
    </x:row>
    <x:row r="148">
      <x:c r="A148" s="34" t="n">
        <x:v>45355</x:v>
      </x:c>
      <x:c r="B148" s="28" t="str">
        <x:v>Grupo Industrial S.A.</x:v>
      </x:c>
      <x:c r="C148" s="28" t="str">
        <x:v>Planta Campinas</x:v>
      </x:c>
      <x:c r="D148" s="28" t="str">
        <x:v>Linha 3 - Extrusão</x:v>
      </x:c>
      <x:c r="E148" s="28" t="str">
        <x:v>EQ-3-02</x:v>
      </x:c>
      <x:c r="F148" s="28" t="str">
        <x:v>Corretiva</x:v>
      </x:c>
      <x:c r="G148" s="32" t="n">
        <x:v>5.47</x:v>
      </x:c>
      <x:c r="H148" s="28" t="str">
        <x:v>Quebras</x:v>
      </x:c>
      <x:c r="I148" s="28" t="str">
        <x:v>Sim</x:v>
      </x:c>
    </x:row>
    <x:row r="149">
      <x:c r="A149" s="34" t="n">
        <x:v>45355</x:v>
      </x:c>
      <x:c r="B149" s="28" t="str">
        <x:v>Grupo Industrial S.A.</x:v>
      </x:c>
      <x:c r="C149" s="28" t="str">
        <x:v>Planta Campinas</x:v>
      </x:c>
      <x:c r="D149" s="28" t="str">
        <x:v>Linha 3 - Extrusão</x:v>
      </x:c>
      <x:c r="E149" s="28" t="str">
        <x:v>EQ-3-03</x:v>
      </x:c>
      <x:c r="F149" s="28" t="str">
        <x:v>Corretiva</x:v>
      </x:c>
      <x:c r="G149" s="32" t="n">
        <x:v>8.86</x:v>
      </x:c>
      <x:c r="H149" s="28" t="str">
        <x:v>Ajustes</x:v>
      </x:c>
      <x:c r="I149" s="28" t="str">
        <x:v>Não</x:v>
      </x:c>
    </x:row>
    <x:row r="150">
      <x:c r="A150" s="34" t="n">
        <x:v>45355</x:v>
      </x:c>
      <x:c r="B150" s="28" t="str">
        <x:v>Grupo Industrial S.A.</x:v>
      </x:c>
      <x:c r="C150" s="28" t="str">
        <x:v>Planta Campinas</x:v>
      </x:c>
      <x:c r="D150" s="28" t="str">
        <x:v>Linha 4 - Embalagem</x:v>
      </x:c>
      <x:c r="E150" s="28" t="str">
        <x:v>EQ-4-01</x:v>
      </x:c>
      <x:c r="F150" s="28" t="str">
        <x:v>Corretiva</x:v>
      </x:c>
      <x:c r="G150" s="32" t="n">
        <x:v>6.92</x:v>
      </x:c>
      <x:c r="H150" s="28" t="str">
        <x:v>Ajustes</x:v>
      </x:c>
      <x:c r="I150" s="28" t="str">
        <x:v>Não</x:v>
      </x:c>
    </x:row>
    <x:row r="151">
      <x:c r="A151" s="34" t="n">
        <x:v>45355</x:v>
      </x:c>
      <x:c r="B151" s="28" t="str">
        <x:v>Grupo Industrial S.A.</x:v>
      </x:c>
      <x:c r="C151" s="28" t="str">
        <x:v>Planta Campinas</x:v>
      </x:c>
      <x:c r="D151" s="28" t="str">
        <x:v>Linha 4 - Embalagem</x:v>
      </x:c>
      <x:c r="E151" s="28" t="str">
        <x:v>EQ-4-02</x:v>
      </x:c>
      <x:c r="F151" s="28" t="str">
        <x:v>Operacional</x:v>
      </x:c>
      <x:c r="G151" s="32" t="n">
        <x:v>4.57</x:v>
      </x:c>
      <x:c r="H151" s="28" t="str">
        <x:v>Falta de material</x:v>
      </x:c>
      <x:c r="I151" s="28" t="str">
        <x:v>Sim</x:v>
      </x:c>
    </x:row>
    <x:row r="152">
      <x:c r="A152" s="34" t="n">
        <x:v>45355</x:v>
      </x:c>
      <x:c r="B152" s="28" t="str">
        <x:v>Grupo Industrial S.A.</x:v>
      </x:c>
      <x:c r="C152" s="28" t="str">
        <x:v>Planta Campinas</x:v>
      </x:c>
      <x:c r="D152" s="28" t="str">
        <x:v>Linha 4 - Embalagem</x:v>
      </x:c>
      <x:c r="E152" s="28" t="str">
        <x:v>EQ-4-03</x:v>
      </x:c>
      <x:c r="F152" s="28" t="str">
        <x:v>Operacional</x:v>
      </x:c>
      <x:c r="G152" s="32" t="n">
        <x:v>10.74</x:v>
      </x:c>
      <x:c r="H152" s="28" t="str">
        <x:v>Falta de material</x:v>
      </x:c>
      <x:c r="I152" s="28" t="str">
        <x:v>Sim</x:v>
      </x:c>
    </x:row>
    <x:row r="153">
      <x:c r="A153" s="34" t="n">
        <x:v>45355</x:v>
      </x:c>
      <x:c r="B153" s="28" t="str">
        <x:v>Grupo Industrial S.A.</x:v>
      </x:c>
      <x:c r="C153" s="28" t="str">
        <x:v>Planta Curitiba</x:v>
      </x:c>
      <x:c r="D153" s="28" t="str">
        <x:v>Linha 5 - Usinagem</x:v>
      </x:c>
      <x:c r="E153" s="28" t="str">
        <x:v>EQ-5-01</x:v>
      </x:c>
      <x:c r="F153" s="28" t="str">
        <x:v>Corretiva</x:v>
      </x:c>
      <x:c r="G153" s="32" t="n">
        <x:v>7.13</x:v>
      </x:c>
      <x:c r="H153" s="28" t="str">
        <x:v>Microparadas</x:v>
      </x:c>
      <x:c r="I153" s="28" t="str">
        <x:v>Não</x:v>
      </x:c>
    </x:row>
    <x:row r="154">
      <x:c r="A154" s="34" t="n">
        <x:v>45355</x:v>
      </x:c>
      <x:c r="B154" s="28" t="str">
        <x:v>Grupo Industrial S.A.</x:v>
      </x:c>
      <x:c r="C154" s="28" t="str">
        <x:v>Planta Curitiba</x:v>
      </x:c>
      <x:c r="D154" s="28" t="str">
        <x:v>Linha 5 - Usinagem</x:v>
      </x:c>
      <x:c r="E154" s="28" t="str">
        <x:v>EQ-5-02</x:v>
      </x:c>
      <x:c r="F154" s="28" t="str">
        <x:v>Operacional</x:v>
      </x:c>
      <x:c r="G154" s="32" t="n">
        <x:v>3.94</x:v>
      </x:c>
      <x:c r="H154" s="28" t="str">
        <x:v>Troca de ferramenta</x:v>
      </x:c>
      <x:c r="I154" s="28" t="str">
        <x:v>Não</x:v>
      </x:c>
    </x:row>
    <x:row r="155">
      <x:c r="A155" s="34" t="n">
        <x:v>45355</x:v>
      </x:c>
      <x:c r="B155" s="28" t="str">
        <x:v>Grupo Industrial S.A.</x:v>
      </x:c>
      <x:c r="C155" s="28" t="str">
        <x:v>Planta Curitiba</x:v>
      </x:c>
      <x:c r="D155" s="28" t="str">
        <x:v>Linha 5 - Usinagem</x:v>
      </x:c>
      <x:c r="E155" s="28" t="str">
        <x:v>EQ-5-03</x:v>
      </x:c>
      <x:c r="F155" s="28" t="str">
        <x:v>Operacional</x:v>
      </x:c>
      <x:c r="G155" s="32" t="n">
        <x:v>8.89</x:v>
      </x:c>
      <x:c r="H155" s="28" t="str">
        <x:v>Setup</x:v>
      </x:c>
      <x:c r="I155" s="28" t="str">
        <x:v>Não</x:v>
      </x:c>
    </x:row>
    <x:row r="156">
      <x:c r="A156" s="34" t="n">
        <x:v>45355</x:v>
      </x:c>
      <x:c r="B156" s="28" t="str">
        <x:v>Grupo Industrial S.A.</x:v>
      </x:c>
      <x:c r="C156" s="28" t="str">
        <x:v>Planta Curitiba</x:v>
      </x:c>
      <x:c r="D156" s="28" t="str">
        <x:v>Linha 6 - Finalização</x:v>
      </x:c>
      <x:c r="E156" s="28" t="str">
        <x:v>EQ-6-01</x:v>
      </x:c>
      <x:c r="F156" s="28" t="str">
        <x:v>Corretiva</x:v>
      </x:c>
      <x:c r="G156" s="32" t="n">
        <x:v>7.06</x:v>
      </x:c>
      <x:c r="H156" s="28" t="str">
        <x:v>Quebras</x:v>
      </x:c>
      <x:c r="I156" s="28" t="str">
        <x:v>Sim</x:v>
      </x:c>
    </x:row>
    <x:row r="157">
      <x:c r="A157" s="34" t="n">
        <x:v>45355</x:v>
      </x:c>
      <x:c r="B157" s="28" t="str">
        <x:v>Grupo Industrial S.A.</x:v>
      </x:c>
      <x:c r="C157" s="28" t="str">
        <x:v>Planta Curitiba</x:v>
      </x:c>
      <x:c r="D157" s="28" t="str">
        <x:v>Linha 6 - Finalização</x:v>
      </x:c>
      <x:c r="E157" s="28" t="str">
        <x:v>EQ-6-02</x:v>
      </x:c>
      <x:c r="F157" s="28" t="str">
        <x:v>Operacional</x:v>
      </x:c>
      <x:c r="G157" s="32" t="n">
        <x:v>9.97</x:v>
      </x:c>
      <x:c r="H157" s="28" t="str">
        <x:v>Setup</x:v>
      </x:c>
      <x:c r="I157" s="28" t="str">
        <x:v>Não</x:v>
      </x:c>
    </x:row>
    <x:row r="158">
      <x:c r="A158" s="34" t="n">
        <x:v>45362</x:v>
      </x:c>
      <x:c r="B158" s="28" t="str">
        <x:v>Grupo Industrial S.A.</x:v>
      </x:c>
      <x:c r="C158" s="28" t="str">
        <x:v>Planta São Paulo</x:v>
      </x:c>
      <x:c r="D158" s="28" t="str">
        <x:v>Linha 1 - Corte</x:v>
      </x:c>
      <x:c r="E158" s="28" t="str">
        <x:v>EQ-1-01</x:v>
      </x:c>
      <x:c r="F158" s="28" t="str">
        <x:v>Corretiva</x:v>
      </x:c>
      <x:c r="G158" s="32" t="n">
        <x:v>3.57</x:v>
      </x:c>
      <x:c r="H158" s="28" t="str">
        <x:v>Elétrica</x:v>
      </x:c>
      <x:c r="I158" s="28" t="str">
        <x:v>Sim</x:v>
      </x:c>
    </x:row>
    <x:row r="159">
      <x:c r="A159" s="34" t="n">
        <x:v>45362</x:v>
      </x:c>
      <x:c r="B159" s="28" t="str">
        <x:v>Grupo Industrial S.A.</x:v>
      </x:c>
      <x:c r="C159" s="28" t="str">
        <x:v>Planta São Paulo</x:v>
      </x:c>
      <x:c r="D159" s="28" t="str">
        <x:v>Linha 1 - Corte</x:v>
      </x:c>
      <x:c r="E159" s="28" t="str">
        <x:v>EQ-1-02</x:v>
      </x:c>
      <x:c r="F159" s="28" t="str">
        <x:v>Corretiva</x:v>
      </x:c>
      <x:c r="G159" s="32" t="n">
        <x:v>8.92</x:v>
      </x:c>
      <x:c r="H159" s="28" t="str">
        <x:v>Microparadas</x:v>
      </x:c>
      <x:c r="I159" s="28" t="str">
        <x:v>Não</x:v>
      </x:c>
    </x:row>
    <x:row r="160">
      <x:c r="A160" s="34" t="n">
        <x:v>45362</x:v>
      </x:c>
      <x:c r="B160" s="28" t="str">
        <x:v>Grupo Industrial S.A.</x:v>
      </x:c>
      <x:c r="C160" s="28" t="str">
        <x:v>Planta São Paulo</x:v>
      </x:c>
      <x:c r="D160" s="28" t="str">
        <x:v>Linha 2 - Montagem</x:v>
      </x:c>
      <x:c r="E160" s="28" t="str">
        <x:v>EQ-2-01</x:v>
      </x:c>
      <x:c r="F160" s="28" t="str">
        <x:v>Corretiva</x:v>
      </x:c>
      <x:c r="G160" s="32" t="n">
        <x:v>5.98</x:v>
      </x:c>
      <x:c r="H160" s="28" t="str">
        <x:v>Elétrica</x:v>
      </x:c>
      <x:c r="I160" s="28" t="str">
        <x:v>Sim</x:v>
      </x:c>
    </x:row>
    <x:row r="161">
      <x:c r="A161" s="34" t="n">
        <x:v>45362</x:v>
      </x:c>
      <x:c r="B161" s="28" t="str">
        <x:v>Grupo Industrial S.A.</x:v>
      </x:c>
      <x:c r="C161" s="28" t="str">
        <x:v>Planta São Paulo</x:v>
      </x:c>
      <x:c r="D161" s="28" t="str">
        <x:v>Linha 2 - Montagem</x:v>
      </x:c>
      <x:c r="E161" s="28" t="str">
        <x:v>EQ-2-02</x:v>
      </x:c>
      <x:c r="F161" s="28" t="str">
        <x:v>Corretiva</x:v>
      </x:c>
      <x:c r="G161" s="32" t="n">
        <x:v>8.52</x:v>
      </x:c>
      <x:c r="H161" s="28" t="str">
        <x:v>Quebras</x:v>
      </x:c>
      <x:c r="I161" s="28" t="str">
        <x:v>Sim</x:v>
      </x:c>
    </x:row>
    <x:row r="162">
      <x:c r="A162" s="34" t="n">
        <x:v>45362</x:v>
      </x:c>
      <x:c r="B162" s="28" t="str">
        <x:v>Grupo Industrial S.A.</x:v>
      </x:c>
      <x:c r="C162" s="28" t="str">
        <x:v>Planta Campinas</x:v>
      </x:c>
      <x:c r="D162" s="28" t="str">
        <x:v>Linha 3 - Extrusão</x:v>
      </x:c>
      <x:c r="E162" s="28" t="str">
        <x:v>EQ-3-01</x:v>
      </x:c>
      <x:c r="F162" s="28" t="str">
        <x:v>Operacional</x:v>
      </x:c>
      <x:c r="G162" s="32" t="n">
        <x:v>8.19</x:v>
      </x:c>
      <x:c r="H162" s="28" t="str">
        <x:v>Setup</x:v>
      </x:c>
      <x:c r="I162" s="28" t="str">
        <x:v>Não</x:v>
      </x:c>
    </x:row>
    <x:row r="163">
      <x:c r="A163" s="34" t="n">
        <x:v>45362</x:v>
      </x:c>
      <x:c r="B163" s="28" t="str">
        <x:v>Grupo Industrial S.A.</x:v>
      </x:c>
      <x:c r="C163" s="28" t="str">
        <x:v>Planta Campinas</x:v>
      </x:c>
      <x:c r="D163" s="28" t="str">
        <x:v>Linha 3 - Extrusão</x:v>
      </x:c>
      <x:c r="E163" s="28" t="str">
        <x:v>EQ-3-02</x:v>
      </x:c>
      <x:c r="F163" s="28" t="str">
        <x:v>Corretiva</x:v>
      </x:c>
      <x:c r="G163" s="32" t="n">
        <x:v>8.8</x:v>
      </x:c>
      <x:c r="H163" s="28" t="str">
        <x:v>Ajustes</x:v>
      </x:c>
      <x:c r="I163" s="28" t="str">
        <x:v>Não</x:v>
      </x:c>
    </x:row>
    <x:row r="164">
      <x:c r="A164" s="34" t="n">
        <x:v>45362</x:v>
      </x:c>
      <x:c r="B164" s="28" t="str">
        <x:v>Grupo Industrial S.A.</x:v>
      </x:c>
      <x:c r="C164" s="28" t="str">
        <x:v>Planta Campinas</x:v>
      </x:c>
      <x:c r="D164" s="28" t="str">
        <x:v>Linha 3 - Extrusão</x:v>
      </x:c>
      <x:c r="E164" s="28" t="str">
        <x:v>EQ-3-03</x:v>
      </x:c>
      <x:c r="F164" s="28" t="str">
        <x:v>Operacional</x:v>
      </x:c>
      <x:c r="G164" s="32" t="n">
        <x:v>8.6</x:v>
      </x:c>
      <x:c r="H164" s="28" t="str">
        <x:v>Falta de material</x:v>
      </x:c>
      <x:c r="I164" s="28" t="str">
        <x:v>Sim</x:v>
      </x:c>
    </x:row>
    <x:row r="165">
      <x:c r="A165" s="34" t="n">
        <x:v>45362</x:v>
      </x:c>
      <x:c r="B165" s="28" t="str">
        <x:v>Grupo Industrial S.A.</x:v>
      </x:c>
      <x:c r="C165" s="28" t="str">
        <x:v>Planta Campinas</x:v>
      </x:c>
      <x:c r="D165" s="28" t="str">
        <x:v>Linha 4 - Embalagem</x:v>
      </x:c>
      <x:c r="E165" s="28" t="str">
        <x:v>EQ-4-01</x:v>
      </x:c>
      <x:c r="F165" s="28" t="str">
        <x:v>Corretiva</x:v>
      </x:c>
      <x:c r="G165" s="32" t="n">
        <x:v>9.43</x:v>
      </x:c>
      <x:c r="H165" s="28" t="str">
        <x:v>Ajustes</x:v>
      </x:c>
      <x:c r="I165" s="28" t="str">
        <x:v>Não</x:v>
      </x:c>
    </x:row>
    <x:row r="166">
      <x:c r="A166" s="34" t="n">
        <x:v>45362</x:v>
      </x:c>
      <x:c r="B166" s="28" t="str">
        <x:v>Grupo Industrial S.A.</x:v>
      </x:c>
      <x:c r="C166" s="28" t="str">
        <x:v>Planta Campinas</x:v>
      </x:c>
      <x:c r="D166" s="28" t="str">
        <x:v>Linha 4 - Embalagem</x:v>
      </x:c>
      <x:c r="E166" s="28" t="str">
        <x:v>EQ-4-02</x:v>
      </x:c>
      <x:c r="F166" s="28" t="str">
        <x:v>Corretiva</x:v>
      </x:c>
      <x:c r="G166" s="32" t="n">
        <x:v>6.2</x:v>
      </x:c>
      <x:c r="H166" s="28" t="str">
        <x:v>Quebras</x:v>
      </x:c>
      <x:c r="I166" s="28" t="str">
        <x:v>Sim</x:v>
      </x:c>
    </x:row>
    <x:row r="167">
      <x:c r="A167" s="34" t="n">
        <x:v>45362</x:v>
      </x:c>
      <x:c r="B167" s="28" t="str">
        <x:v>Grupo Industrial S.A.</x:v>
      </x:c>
      <x:c r="C167" s="28" t="str">
        <x:v>Planta Campinas</x:v>
      </x:c>
      <x:c r="D167" s="28" t="str">
        <x:v>Linha 4 - Embalagem</x:v>
      </x:c>
      <x:c r="E167" s="28" t="str">
        <x:v>EQ-4-03</x:v>
      </x:c>
      <x:c r="F167" s="28" t="str">
        <x:v>Operacional</x:v>
      </x:c>
      <x:c r="G167" s="32" t="n">
        <x:v>8.4</x:v>
      </x:c>
      <x:c r="H167" s="28" t="str">
        <x:v>Falta de material</x:v>
      </x:c>
      <x:c r="I167" s="28" t="str">
        <x:v>Sim</x:v>
      </x:c>
    </x:row>
    <x:row r="168">
      <x:c r="A168" s="34" t="n">
        <x:v>45362</x:v>
      </x:c>
      <x:c r="B168" s="28" t="str">
        <x:v>Grupo Industrial S.A.</x:v>
      </x:c>
      <x:c r="C168" s="28" t="str">
        <x:v>Planta Curitiba</x:v>
      </x:c>
      <x:c r="D168" s="28" t="str">
        <x:v>Linha 5 - Usinagem</x:v>
      </x:c>
      <x:c r="E168" s="28" t="str">
        <x:v>EQ-5-01</x:v>
      </x:c>
      <x:c r="F168" s="28" t="str">
        <x:v>Operacional</x:v>
      </x:c>
      <x:c r="G168" s="32" t="n">
        <x:v>10.3</x:v>
      </x:c>
      <x:c r="H168" s="28" t="str">
        <x:v>Setup</x:v>
      </x:c>
      <x:c r="I168" s="28" t="str">
        <x:v>Não</x:v>
      </x:c>
    </x:row>
    <x:row r="169">
      <x:c r="A169" s="34" t="n">
        <x:v>45362</x:v>
      </x:c>
      <x:c r="B169" s="28" t="str">
        <x:v>Grupo Industrial S.A.</x:v>
      </x:c>
      <x:c r="C169" s="28" t="str">
        <x:v>Planta Curitiba</x:v>
      </x:c>
      <x:c r="D169" s="28" t="str">
        <x:v>Linha 5 - Usinagem</x:v>
      </x:c>
      <x:c r="E169" s="28" t="str">
        <x:v>EQ-5-02</x:v>
      </x:c>
      <x:c r="F169" s="28" t="str">
        <x:v>Corretiva</x:v>
      </x:c>
      <x:c r="G169" s="32" t="n">
        <x:v>4.44</x:v>
      </x:c>
      <x:c r="H169" s="28" t="str">
        <x:v>Microparadas</x:v>
      </x:c>
      <x:c r="I169" s="28" t="str">
        <x:v>Não</x:v>
      </x:c>
    </x:row>
    <x:row r="170">
      <x:c r="A170" s="34" t="n">
        <x:v>45362</x:v>
      </x:c>
      <x:c r="B170" s="28" t="str">
        <x:v>Grupo Industrial S.A.</x:v>
      </x:c>
      <x:c r="C170" s="28" t="str">
        <x:v>Planta Curitiba</x:v>
      </x:c>
      <x:c r="D170" s="28" t="str">
        <x:v>Linha 5 - Usinagem</x:v>
      </x:c>
      <x:c r="E170" s="28" t="str">
        <x:v>EQ-5-03</x:v>
      </x:c>
      <x:c r="F170" s="28" t="str">
        <x:v>Corretiva</x:v>
      </x:c>
      <x:c r="G170" s="32" t="n">
        <x:v>6.33</x:v>
      </x:c>
      <x:c r="H170" s="28" t="str">
        <x:v>Microparadas</x:v>
      </x:c>
      <x:c r="I170" s="28" t="str">
        <x:v>Não</x:v>
      </x:c>
    </x:row>
    <x:row r="171">
      <x:c r="A171" s="34" t="n">
        <x:v>45362</x:v>
      </x:c>
      <x:c r="B171" s="28" t="str">
        <x:v>Grupo Industrial S.A.</x:v>
      </x:c>
      <x:c r="C171" s="28" t="str">
        <x:v>Planta Curitiba</x:v>
      </x:c>
      <x:c r="D171" s="28" t="str">
        <x:v>Linha 6 - Finalização</x:v>
      </x:c>
      <x:c r="E171" s="28" t="str">
        <x:v>EQ-6-01</x:v>
      </x:c>
      <x:c r="F171" s="28" t="str">
        <x:v>Operacional</x:v>
      </x:c>
      <x:c r="G171" s="32" t="n">
        <x:v>5.34</x:v>
      </x:c>
      <x:c r="H171" s="28" t="str">
        <x:v>Setup</x:v>
      </x:c>
      <x:c r="I171" s="28" t="str">
        <x:v>Não</x:v>
      </x:c>
    </x:row>
    <x:row r="172">
      <x:c r="A172" s="34" t="n">
        <x:v>45362</x:v>
      </x:c>
      <x:c r="B172" s="28" t="str">
        <x:v>Grupo Industrial S.A.</x:v>
      </x:c>
      <x:c r="C172" s="28" t="str">
        <x:v>Planta Curitiba</x:v>
      </x:c>
      <x:c r="D172" s="28" t="str">
        <x:v>Linha 6 - Finalização</x:v>
      </x:c>
      <x:c r="E172" s="28" t="str">
        <x:v>EQ-6-02</x:v>
      </x:c>
      <x:c r="F172" s="28" t="str">
        <x:v>Corretiva</x:v>
      </x:c>
      <x:c r="G172" s="32" t="n">
        <x:v>12.08</x:v>
      </x:c>
      <x:c r="H172" s="28" t="str">
        <x:v>Microparadas</x:v>
      </x:c>
      <x:c r="I172" s="28" t="str">
        <x:v>Não</x:v>
      </x:c>
    </x:row>
    <x:row r="173">
      <x:c r="A173" s="34" t="n">
        <x:v>45369</x:v>
      </x:c>
      <x:c r="B173" s="28" t="str">
        <x:v>Grupo Industrial S.A.</x:v>
      </x:c>
      <x:c r="C173" s="28" t="str">
        <x:v>Planta São Paulo</x:v>
      </x:c>
      <x:c r="D173" s="28" t="str">
        <x:v>Linha 1 - Corte</x:v>
      </x:c>
      <x:c r="E173" s="28" t="str">
        <x:v>EQ-1-01</x:v>
      </x:c>
      <x:c r="F173" s="28" t="str">
        <x:v>Operacional</x:v>
      </x:c>
      <x:c r="G173" s="32" t="n">
        <x:v>4.04</x:v>
      </x:c>
      <x:c r="H173" s="28" t="str">
        <x:v>Setup</x:v>
      </x:c>
      <x:c r="I173" s="28" t="str">
        <x:v>Não</x:v>
      </x:c>
    </x:row>
    <x:row r="174">
      <x:c r="A174" s="34" t="n">
        <x:v>45369</x:v>
      </x:c>
      <x:c r="B174" s="28" t="str">
        <x:v>Grupo Industrial S.A.</x:v>
      </x:c>
      <x:c r="C174" s="28" t="str">
        <x:v>Planta São Paulo</x:v>
      </x:c>
      <x:c r="D174" s="28" t="str">
        <x:v>Linha 1 - Corte</x:v>
      </x:c>
      <x:c r="E174" s="28" t="str">
        <x:v>EQ-1-02</x:v>
      </x:c>
      <x:c r="F174" s="28" t="str">
        <x:v>Corretiva</x:v>
      </x:c>
      <x:c r="G174" s="32" t="n">
        <x:v>9.59</x:v>
      </x:c>
      <x:c r="H174" s="28" t="str">
        <x:v>Quebras</x:v>
      </x:c>
      <x:c r="I174" s="28" t="str">
        <x:v>Sim</x:v>
      </x:c>
    </x:row>
    <x:row r="175">
      <x:c r="A175" s="34" t="n">
        <x:v>45369</x:v>
      </x:c>
      <x:c r="B175" s="28" t="str">
        <x:v>Grupo Industrial S.A.</x:v>
      </x:c>
      <x:c r="C175" s="28" t="str">
        <x:v>Planta São Paulo</x:v>
      </x:c>
      <x:c r="D175" s="28" t="str">
        <x:v>Linha 2 - Montagem</x:v>
      </x:c>
      <x:c r="E175" s="28" t="str">
        <x:v>EQ-2-01</x:v>
      </x:c>
      <x:c r="F175" s="28" t="str">
        <x:v>Corretiva</x:v>
      </x:c>
      <x:c r="G175" s="32" t="n">
        <x:v>7.15</x:v>
      </x:c>
      <x:c r="H175" s="28" t="str">
        <x:v>Microparadas</x:v>
      </x:c>
      <x:c r="I175" s="28" t="str">
        <x:v>Não</x:v>
      </x:c>
    </x:row>
    <x:row r="176">
      <x:c r="A176" s="34" t="n">
        <x:v>45369</x:v>
      </x:c>
      <x:c r="B176" s="28" t="str">
        <x:v>Grupo Industrial S.A.</x:v>
      </x:c>
      <x:c r="C176" s="28" t="str">
        <x:v>Planta São Paulo</x:v>
      </x:c>
      <x:c r="D176" s="28" t="str">
        <x:v>Linha 2 - Montagem</x:v>
      </x:c>
      <x:c r="E176" s="28" t="str">
        <x:v>EQ-2-02</x:v>
      </x:c>
      <x:c r="F176" s="28" t="str">
        <x:v>Corretiva</x:v>
      </x:c>
      <x:c r="G176" s="32" t="n">
        <x:v>10.46</x:v>
      </x:c>
      <x:c r="H176" s="28" t="str">
        <x:v>Quebras</x:v>
      </x:c>
      <x:c r="I176" s="28" t="str">
        <x:v>Sim</x:v>
      </x:c>
    </x:row>
    <x:row r="177">
      <x:c r="A177" s="34" t="n">
        <x:v>45369</x:v>
      </x:c>
      <x:c r="B177" s="28" t="str">
        <x:v>Grupo Industrial S.A.</x:v>
      </x:c>
      <x:c r="C177" s="28" t="str">
        <x:v>Planta Campinas</x:v>
      </x:c>
      <x:c r="D177" s="28" t="str">
        <x:v>Linha 3 - Extrusão</x:v>
      </x:c>
      <x:c r="E177" s="28" t="str">
        <x:v>EQ-3-01</x:v>
      </x:c>
      <x:c r="F177" s="28" t="str">
        <x:v>Operacional</x:v>
      </x:c>
      <x:c r="G177" s="32" t="n">
        <x:v>7.92</x:v>
      </x:c>
      <x:c r="H177" s="28" t="str">
        <x:v>Setup</x:v>
      </x:c>
      <x:c r="I177" s="28" t="str">
        <x:v>Não</x:v>
      </x:c>
    </x:row>
    <x:row r="178">
      <x:c r="A178" s="34" t="n">
        <x:v>45369</x:v>
      </x:c>
      <x:c r="B178" s="28" t="str">
        <x:v>Grupo Industrial S.A.</x:v>
      </x:c>
      <x:c r="C178" s="28" t="str">
        <x:v>Planta Campinas</x:v>
      </x:c>
      <x:c r="D178" s="28" t="str">
        <x:v>Linha 3 - Extrusão</x:v>
      </x:c>
      <x:c r="E178" s="28" t="str">
        <x:v>EQ-3-02</x:v>
      </x:c>
      <x:c r="F178" s="28" t="str">
        <x:v>Operacional</x:v>
      </x:c>
      <x:c r="G178" s="32" t="n">
        <x:v>8.17</x:v>
      </x:c>
      <x:c r="H178" s="28" t="str">
        <x:v>Falta de material</x:v>
      </x:c>
      <x:c r="I178" s="28" t="str">
        <x:v>Sim</x:v>
      </x:c>
    </x:row>
    <x:row r="179">
      <x:c r="A179" s="34" t="n">
        <x:v>45369</x:v>
      </x:c>
      <x:c r="B179" s="28" t="str">
        <x:v>Grupo Industrial S.A.</x:v>
      </x:c>
      <x:c r="C179" s="28" t="str">
        <x:v>Planta Campinas</x:v>
      </x:c>
      <x:c r="D179" s="28" t="str">
        <x:v>Linha 3 - Extrusão</x:v>
      </x:c>
      <x:c r="E179" s="28" t="str">
        <x:v>EQ-3-03</x:v>
      </x:c>
      <x:c r="F179" s="28" t="str">
        <x:v>Corretiva</x:v>
      </x:c>
      <x:c r="G179" s="32" t="n">
        <x:v>9.76</x:v>
      </x:c>
      <x:c r="H179" s="28" t="str">
        <x:v>Ajustes</x:v>
      </x:c>
      <x:c r="I179" s="28" t="str">
        <x:v>Não</x:v>
      </x:c>
    </x:row>
    <x:row r="180">
      <x:c r="A180" s="34" t="n">
        <x:v>45369</x:v>
      </x:c>
      <x:c r="B180" s="28" t="str">
        <x:v>Grupo Industrial S.A.</x:v>
      </x:c>
      <x:c r="C180" s="28" t="str">
        <x:v>Planta Campinas</x:v>
      </x:c>
      <x:c r="D180" s="28" t="str">
        <x:v>Linha 4 - Embalagem</x:v>
      </x:c>
      <x:c r="E180" s="28" t="str">
        <x:v>EQ-4-01</x:v>
      </x:c>
      <x:c r="F180" s="28" t="str">
        <x:v>Operacional</x:v>
      </x:c>
      <x:c r="G180" s="32" t="n">
        <x:v>8.39</x:v>
      </x:c>
      <x:c r="H180" s="28" t="str">
        <x:v>Setup</x:v>
      </x:c>
      <x:c r="I180" s="28" t="str">
        <x:v>Não</x:v>
      </x:c>
    </x:row>
    <x:row r="181">
      <x:c r="A181" s="34" t="n">
        <x:v>45369</x:v>
      </x:c>
      <x:c r="B181" s="28" t="str">
        <x:v>Grupo Industrial S.A.</x:v>
      </x:c>
      <x:c r="C181" s="28" t="str">
        <x:v>Planta Campinas</x:v>
      </x:c>
      <x:c r="D181" s="28" t="str">
        <x:v>Linha 4 - Embalagem</x:v>
      </x:c>
      <x:c r="E181" s="28" t="str">
        <x:v>EQ-4-02</x:v>
      </x:c>
      <x:c r="F181" s="28" t="str">
        <x:v>Corretiva</x:v>
      </x:c>
      <x:c r="G181" s="32" t="n">
        <x:v>6.6</x:v>
      </x:c>
      <x:c r="H181" s="28" t="str">
        <x:v>Ajustes</x:v>
      </x:c>
      <x:c r="I181" s="28" t="str">
        <x:v>Não</x:v>
      </x:c>
    </x:row>
    <x:row r="182">
      <x:c r="A182" s="34" t="n">
        <x:v>45369</x:v>
      </x:c>
      <x:c r="B182" s="28" t="str">
        <x:v>Grupo Industrial S.A.</x:v>
      </x:c>
      <x:c r="C182" s="28" t="str">
        <x:v>Planta Campinas</x:v>
      </x:c>
      <x:c r="D182" s="28" t="str">
        <x:v>Linha 4 - Embalagem</x:v>
      </x:c>
      <x:c r="E182" s="28" t="str">
        <x:v>EQ-4-03</x:v>
      </x:c>
      <x:c r="F182" s="28" t="str">
        <x:v>Corretiva</x:v>
      </x:c>
      <x:c r="G182" s="32" t="n">
        <x:v>9.18</x:v>
      </x:c>
      <x:c r="H182" s="28" t="str">
        <x:v>Quebras</x:v>
      </x:c>
      <x:c r="I182" s="28" t="str">
        <x:v>Sim</x:v>
      </x:c>
    </x:row>
    <x:row r="183">
      <x:c r="A183" s="34" t="n">
        <x:v>45369</x:v>
      </x:c>
      <x:c r="B183" s="28" t="str">
        <x:v>Grupo Industrial S.A.</x:v>
      </x:c>
      <x:c r="C183" s="28" t="str">
        <x:v>Planta Curitiba</x:v>
      </x:c>
      <x:c r="D183" s="28" t="str">
        <x:v>Linha 5 - Usinagem</x:v>
      </x:c>
      <x:c r="E183" s="28" t="str">
        <x:v>EQ-5-01</x:v>
      </x:c>
      <x:c r="F183" s="28" t="str">
        <x:v>Corretiva</x:v>
      </x:c>
      <x:c r="G183" s="32" t="n">
        <x:v>8.3</x:v>
      </x:c>
      <x:c r="H183" s="28" t="str">
        <x:v>Quebras</x:v>
      </x:c>
      <x:c r="I183" s="28" t="str">
        <x:v>Sim</x:v>
      </x:c>
    </x:row>
    <x:row r="184">
      <x:c r="A184" s="34" t="n">
        <x:v>45369</x:v>
      </x:c>
      <x:c r="B184" s="28" t="str">
        <x:v>Grupo Industrial S.A.</x:v>
      </x:c>
      <x:c r="C184" s="28" t="str">
        <x:v>Planta Curitiba</x:v>
      </x:c>
      <x:c r="D184" s="28" t="str">
        <x:v>Linha 5 - Usinagem</x:v>
      </x:c>
      <x:c r="E184" s="28" t="str">
        <x:v>EQ-5-02</x:v>
      </x:c>
      <x:c r="F184" s="28" t="str">
        <x:v>Operacional</x:v>
      </x:c>
      <x:c r="G184" s="32" t="n">
        <x:v>6.61</x:v>
      </x:c>
      <x:c r="H184" s="28" t="str">
        <x:v>Setup</x:v>
      </x:c>
      <x:c r="I184" s="28" t="str">
        <x:v>Não</x:v>
      </x:c>
    </x:row>
    <x:row r="185">
      <x:c r="A185" s="34" t="n">
        <x:v>45369</x:v>
      </x:c>
      <x:c r="B185" s="28" t="str">
        <x:v>Grupo Industrial S.A.</x:v>
      </x:c>
      <x:c r="C185" s="28" t="str">
        <x:v>Planta Curitiba</x:v>
      </x:c>
      <x:c r="D185" s="28" t="str">
        <x:v>Linha 5 - Usinagem</x:v>
      </x:c>
      <x:c r="E185" s="28" t="str">
        <x:v>EQ-5-03</x:v>
      </x:c>
      <x:c r="F185" s="28" t="str">
        <x:v>Corretiva</x:v>
      </x:c>
      <x:c r="G185" s="32" t="n">
        <x:v>6.33</x:v>
      </x:c>
      <x:c r="H185" s="28" t="str">
        <x:v>Microparadas</x:v>
      </x:c>
      <x:c r="I185" s="28" t="str">
        <x:v>Não</x:v>
      </x:c>
    </x:row>
    <x:row r="186">
      <x:c r="A186" s="34" t="n">
        <x:v>45369</x:v>
      </x:c>
      <x:c r="B186" s="28" t="str">
        <x:v>Grupo Industrial S.A.</x:v>
      </x:c>
      <x:c r="C186" s="28" t="str">
        <x:v>Planta Curitiba</x:v>
      </x:c>
      <x:c r="D186" s="28" t="str">
        <x:v>Linha 6 - Finalização</x:v>
      </x:c>
      <x:c r="E186" s="28" t="str">
        <x:v>EQ-6-01</x:v>
      </x:c>
      <x:c r="F186" s="28" t="str">
        <x:v>Corretiva</x:v>
      </x:c>
      <x:c r="G186" s="32" t="n">
        <x:v>5.17</x:v>
      </x:c>
      <x:c r="H186" s="28" t="str">
        <x:v>Microparadas</x:v>
      </x:c>
      <x:c r="I186" s="28" t="str">
        <x:v>Não</x:v>
      </x:c>
    </x:row>
    <x:row r="187">
      <x:c r="A187" s="34" t="n">
        <x:v>45369</x:v>
      </x:c>
      <x:c r="B187" s="28" t="str">
        <x:v>Grupo Industrial S.A.</x:v>
      </x:c>
      <x:c r="C187" s="28" t="str">
        <x:v>Planta Curitiba</x:v>
      </x:c>
      <x:c r="D187" s="28" t="str">
        <x:v>Linha 6 - Finalização</x:v>
      </x:c>
      <x:c r="E187" s="28" t="str">
        <x:v>EQ-6-02</x:v>
      </x:c>
      <x:c r="F187" s="28" t="str">
        <x:v>Operacional</x:v>
      </x:c>
      <x:c r="G187" s="32" t="n">
        <x:v>4.43</x:v>
      </x:c>
      <x:c r="H187" s="28" t="str">
        <x:v>Setup</x:v>
      </x:c>
      <x:c r="I187" s="28" t="str">
        <x:v>Não</x:v>
      </x:c>
    </x:row>
    <x:row r="188">
      <x:c r="A188" s="34" t="n">
        <x:v>45369</x:v>
      </x:c>
      <x:c r="B188" s="28" t="str">
        <x:v>Grupo Industrial S.A.</x:v>
      </x:c>
      <x:c r="C188" s="28" t="str">
        <x:v>Planta Curitiba</x:v>
      </x:c>
      <x:c r="D188" s="28" t="str">
        <x:v>Linha 6 - Finalização</x:v>
      </x:c>
      <x:c r="E188" s="28" t="str">
        <x:v>EQ-6-03</x:v>
      </x:c>
      <x:c r="F188" s="28" t="str">
        <x:v>Corretiva</x:v>
      </x:c>
      <x:c r="G188" s="32" t="n">
        <x:v>8.8</x:v>
      </x:c>
      <x:c r="H188" s="28" t="str">
        <x:v>Microparadas</x:v>
      </x:c>
      <x:c r="I188" s="28" t="str">
        <x:v>Não</x:v>
      </x:c>
    </x:row>
    <x:row r="189">
      <x:c r="A189" s="34" t="n">
        <x:v>45376</x:v>
      </x:c>
      <x:c r="B189" s="28" t="str">
        <x:v>Grupo Industrial S.A.</x:v>
      </x:c>
      <x:c r="C189" s="28" t="str">
        <x:v>Planta São Paulo</x:v>
      </x:c>
      <x:c r="D189" s="28" t="str">
        <x:v>Linha 1 - Corte</x:v>
      </x:c>
      <x:c r="E189" s="28" t="str">
        <x:v>EQ-1-01</x:v>
      </x:c>
      <x:c r="F189" s="28" t="str">
        <x:v>Operacional</x:v>
      </x:c>
      <x:c r="G189" s="32" t="n">
        <x:v>6.67</x:v>
      </x:c>
      <x:c r="H189" s="28" t="str">
        <x:v>Setup</x:v>
      </x:c>
      <x:c r="I189" s="28" t="str">
        <x:v>Não</x:v>
      </x:c>
    </x:row>
    <x:row r="190">
      <x:c r="A190" s="34" t="n">
        <x:v>45376</x:v>
      </x:c>
      <x:c r="B190" s="28" t="str">
        <x:v>Grupo Industrial S.A.</x:v>
      </x:c>
      <x:c r="C190" s="28" t="str">
        <x:v>Planta São Paulo</x:v>
      </x:c>
      <x:c r="D190" s="28" t="str">
        <x:v>Linha 1 - Corte</x:v>
      </x:c>
      <x:c r="E190" s="28" t="str">
        <x:v>EQ-1-02</x:v>
      </x:c>
      <x:c r="F190" s="28" t="str">
        <x:v>Corretiva</x:v>
      </x:c>
      <x:c r="G190" s="32" t="n">
        <x:v>9.32</x:v>
      </x:c>
      <x:c r="H190" s="28" t="str">
        <x:v>Elétrica</x:v>
      </x:c>
      <x:c r="I190" s="28" t="str">
        <x:v>Sim</x:v>
      </x:c>
    </x:row>
    <x:row r="191">
      <x:c r="A191" s="34" t="n">
        <x:v>45376</x:v>
      </x:c>
      <x:c r="B191" s="28" t="str">
        <x:v>Grupo Industrial S.A.</x:v>
      </x:c>
      <x:c r="C191" s="28" t="str">
        <x:v>Planta São Paulo</x:v>
      </x:c>
      <x:c r="D191" s="28" t="str">
        <x:v>Linha 2 - Montagem</x:v>
      </x:c>
      <x:c r="E191" s="28" t="str">
        <x:v>EQ-2-01</x:v>
      </x:c>
      <x:c r="F191" s="28" t="str">
        <x:v>Corretiva</x:v>
      </x:c>
      <x:c r="G191" s="32" t="n">
        <x:v>4.32</x:v>
      </x:c>
      <x:c r="H191" s="28" t="str">
        <x:v>Microparadas</x:v>
      </x:c>
      <x:c r="I191" s="28" t="str">
        <x:v>Não</x:v>
      </x:c>
    </x:row>
    <x:row r="192">
      <x:c r="A192" s="34" t="n">
        <x:v>45376</x:v>
      </x:c>
      <x:c r="B192" s="28" t="str">
        <x:v>Grupo Industrial S.A.</x:v>
      </x:c>
      <x:c r="C192" s="28" t="str">
        <x:v>Planta São Paulo</x:v>
      </x:c>
      <x:c r="D192" s="28" t="str">
        <x:v>Linha 2 - Montagem</x:v>
      </x:c>
      <x:c r="E192" s="28" t="str">
        <x:v>EQ-2-02</x:v>
      </x:c>
      <x:c r="F192" s="28" t="str">
        <x:v>Operacional</x:v>
      </x:c>
      <x:c r="G192" s="32" t="n">
        <x:v>9.56</x:v>
      </x:c>
      <x:c r="H192" s="28" t="str">
        <x:v>Setup</x:v>
      </x:c>
      <x:c r="I192" s="28" t="str">
        <x:v>Não</x:v>
      </x:c>
    </x:row>
    <x:row r="193">
      <x:c r="A193" s="34" t="n">
        <x:v>45376</x:v>
      </x:c>
      <x:c r="B193" s="28" t="str">
        <x:v>Grupo Industrial S.A.</x:v>
      </x:c>
      <x:c r="C193" s="28" t="str">
        <x:v>Planta Campinas</x:v>
      </x:c>
      <x:c r="D193" s="28" t="str">
        <x:v>Linha 3 - Extrusão</x:v>
      </x:c>
      <x:c r="E193" s="28" t="str">
        <x:v>EQ-3-01</x:v>
      </x:c>
      <x:c r="F193" s="28" t="str">
        <x:v>Operacional</x:v>
      </x:c>
      <x:c r="G193" s="32" t="n">
        <x:v>12.34</x:v>
      </x:c>
      <x:c r="H193" s="28" t="str">
        <x:v>Falta de material</x:v>
      </x:c>
      <x:c r="I193" s="28" t="str">
        <x:v>Sim</x:v>
      </x:c>
    </x:row>
    <x:row r="194">
      <x:c r="A194" s="34" t="n">
        <x:v>45376</x:v>
      </x:c>
      <x:c r="B194" s="28" t="str">
        <x:v>Grupo Industrial S.A.</x:v>
      </x:c>
      <x:c r="C194" s="28" t="str">
        <x:v>Planta Campinas</x:v>
      </x:c>
      <x:c r="D194" s="28" t="str">
        <x:v>Linha 3 - Extrusão</x:v>
      </x:c>
      <x:c r="E194" s="28" t="str">
        <x:v>EQ-3-02</x:v>
      </x:c>
      <x:c r="F194" s="28" t="str">
        <x:v>Corretiva</x:v>
      </x:c>
      <x:c r="G194" s="32" t="n">
        <x:v>5.72</x:v>
      </x:c>
      <x:c r="H194" s="28" t="str">
        <x:v>Ajustes</x:v>
      </x:c>
      <x:c r="I194" s="28" t="str">
        <x:v>Não</x:v>
      </x:c>
    </x:row>
    <x:row r="195">
      <x:c r="A195" s="34" t="n">
        <x:v>45376</x:v>
      </x:c>
      <x:c r="B195" s="28" t="str">
        <x:v>Grupo Industrial S.A.</x:v>
      </x:c>
      <x:c r="C195" s="28" t="str">
        <x:v>Planta Campinas</x:v>
      </x:c>
      <x:c r="D195" s="28" t="str">
        <x:v>Linha 3 - Extrusão</x:v>
      </x:c>
      <x:c r="E195" s="28" t="str">
        <x:v>EQ-3-03</x:v>
      </x:c>
      <x:c r="F195" s="28" t="str">
        <x:v>Corretiva</x:v>
      </x:c>
      <x:c r="G195" s="32" t="n">
        <x:v>5.73</x:v>
      </x:c>
      <x:c r="H195" s="28" t="str">
        <x:v>Quebras</x:v>
      </x:c>
      <x:c r="I195" s="28" t="str">
        <x:v>Sim</x:v>
      </x:c>
    </x:row>
    <x:row r="196">
      <x:c r="A196" s="34" t="n">
        <x:v>45376</x:v>
      </x:c>
      <x:c r="B196" s="28" t="str">
        <x:v>Grupo Industrial S.A.</x:v>
      </x:c>
      <x:c r="C196" s="28" t="str">
        <x:v>Planta Campinas</x:v>
      </x:c>
      <x:c r="D196" s="28" t="str">
        <x:v>Linha 4 - Embalagem</x:v>
      </x:c>
      <x:c r="E196" s="28" t="str">
        <x:v>EQ-4-01</x:v>
      </x:c>
      <x:c r="F196" s="28" t="str">
        <x:v>Corretiva</x:v>
      </x:c>
      <x:c r="G196" s="32" t="n">
        <x:v>12.79</x:v>
      </x:c>
      <x:c r="H196" s="28" t="str">
        <x:v>Quebras</x:v>
      </x:c>
      <x:c r="I196" s="28" t="str">
        <x:v>Sim</x:v>
      </x:c>
    </x:row>
    <x:row r="197">
      <x:c r="A197" s="34" t="n">
        <x:v>45376</x:v>
      </x:c>
      <x:c r="B197" s="28" t="str">
        <x:v>Grupo Industrial S.A.</x:v>
      </x:c>
      <x:c r="C197" s="28" t="str">
        <x:v>Planta Campinas</x:v>
      </x:c>
      <x:c r="D197" s="28" t="str">
        <x:v>Linha 4 - Embalagem</x:v>
      </x:c>
      <x:c r="E197" s="28" t="str">
        <x:v>EQ-4-02</x:v>
      </x:c>
      <x:c r="F197" s="28" t="str">
        <x:v>Corretiva</x:v>
      </x:c>
      <x:c r="G197" s="32" t="n">
        <x:v>4.64</x:v>
      </x:c>
      <x:c r="H197" s="28" t="str">
        <x:v>Quebras</x:v>
      </x:c>
      <x:c r="I197" s="28" t="str">
        <x:v>Sim</x:v>
      </x:c>
    </x:row>
    <x:row r="198">
      <x:c r="A198" s="34" t="n">
        <x:v>45376</x:v>
      </x:c>
      <x:c r="B198" s="28" t="str">
        <x:v>Grupo Industrial S.A.</x:v>
      </x:c>
      <x:c r="C198" s="28" t="str">
        <x:v>Planta Campinas</x:v>
      </x:c>
      <x:c r="D198" s="28" t="str">
        <x:v>Linha 4 - Embalagem</x:v>
      </x:c>
      <x:c r="E198" s="28" t="str">
        <x:v>EQ-4-03</x:v>
      </x:c>
      <x:c r="F198" s="28" t="str">
        <x:v>Operacional</x:v>
      </x:c>
      <x:c r="G198" s="32" t="n">
        <x:v>7.84</x:v>
      </x:c>
      <x:c r="H198" s="28" t="str">
        <x:v>Setup</x:v>
      </x:c>
      <x:c r="I198" s="28" t="str">
        <x:v>Não</x:v>
      </x:c>
    </x:row>
    <x:row r="199">
      <x:c r="A199" s="34" t="n">
        <x:v>45376</x:v>
      </x:c>
      <x:c r="B199" s="28" t="str">
        <x:v>Grupo Industrial S.A.</x:v>
      </x:c>
      <x:c r="C199" s="28" t="str">
        <x:v>Planta Curitiba</x:v>
      </x:c>
      <x:c r="D199" s="28" t="str">
        <x:v>Linha 5 - Usinagem</x:v>
      </x:c>
      <x:c r="E199" s="28" t="str">
        <x:v>EQ-5-01</x:v>
      </x:c>
      <x:c r="F199" s="28" t="str">
        <x:v>Corretiva</x:v>
      </x:c>
      <x:c r="G199" s="32" t="n">
        <x:v>9.23</x:v>
      </x:c>
      <x:c r="H199" s="28" t="str">
        <x:v>Quebras</x:v>
      </x:c>
      <x:c r="I199" s="28" t="str">
        <x:v>Sim</x:v>
      </x:c>
    </x:row>
    <x:row r="200">
      <x:c r="A200" s="34" t="n">
        <x:v>45376</x:v>
      </x:c>
      <x:c r="B200" s="28" t="str">
        <x:v>Grupo Industrial S.A.</x:v>
      </x:c>
      <x:c r="C200" s="28" t="str">
        <x:v>Planta Curitiba</x:v>
      </x:c>
      <x:c r="D200" s="28" t="str">
        <x:v>Linha 5 - Usinagem</x:v>
      </x:c>
      <x:c r="E200" s="28" t="str">
        <x:v>EQ-5-02</x:v>
      </x:c>
      <x:c r="F200" s="28" t="str">
        <x:v>Corretiva</x:v>
      </x:c>
      <x:c r="G200" s="32" t="n">
        <x:v>3.52</x:v>
      </x:c>
      <x:c r="H200" s="28" t="str">
        <x:v>Quebras</x:v>
      </x:c>
      <x:c r="I200" s="28" t="str">
        <x:v>Sim</x:v>
      </x:c>
    </x:row>
    <x:row r="201">
      <x:c r="A201" s="34" t="n">
        <x:v>45376</x:v>
      </x:c>
      <x:c r="B201" s="28" t="str">
        <x:v>Grupo Industrial S.A.</x:v>
      </x:c>
      <x:c r="C201" s="28" t="str">
        <x:v>Planta Curitiba</x:v>
      </x:c>
      <x:c r="D201" s="28" t="str">
        <x:v>Linha 5 - Usinagem</x:v>
      </x:c>
      <x:c r="E201" s="28" t="str">
        <x:v>EQ-5-03</x:v>
      </x:c>
      <x:c r="F201" s="28" t="str">
        <x:v>Operacional</x:v>
      </x:c>
      <x:c r="G201" s="32" t="n">
        <x:v>8.33</x:v>
      </x:c>
      <x:c r="H201" s="28" t="str">
        <x:v>Troca de ferramenta</x:v>
      </x:c>
      <x:c r="I201" s="28" t="str">
        <x:v>Não</x:v>
      </x:c>
    </x:row>
    <x:row r="202">
      <x:c r="A202" s="34" t="n">
        <x:v>45376</x:v>
      </x:c>
      <x:c r="B202" s="28" t="str">
        <x:v>Grupo Industrial S.A.</x:v>
      </x:c>
      <x:c r="C202" s="28" t="str">
        <x:v>Planta Curitiba</x:v>
      </x:c>
      <x:c r="D202" s="28" t="str">
        <x:v>Linha 6 - Finalização</x:v>
      </x:c>
      <x:c r="E202" s="28" t="str">
        <x:v>EQ-6-01</x:v>
      </x:c>
      <x:c r="F202" s="28" t="str">
        <x:v>Corretiva</x:v>
      </x:c>
      <x:c r="G202" s="32" t="n">
        <x:v>9.53</x:v>
      </x:c>
      <x:c r="H202" s="28" t="str">
        <x:v>Quebras</x:v>
      </x:c>
      <x:c r="I202" s="28" t="str">
        <x:v>Sim</x:v>
      </x:c>
    </x:row>
    <x:row r="203">
      <x:c r="A203" s="34" t="n">
        <x:v>45376</x:v>
      </x:c>
      <x:c r="B203" s="28" t="str">
        <x:v>Grupo Industrial S.A.</x:v>
      </x:c>
      <x:c r="C203" s="28" t="str">
        <x:v>Planta Curitiba</x:v>
      </x:c>
      <x:c r="D203" s="28" t="str">
        <x:v>Linha 6 - Finalização</x:v>
      </x:c>
      <x:c r="E203" s="28" t="str">
        <x:v>EQ-6-02</x:v>
      </x:c>
      <x:c r="F203" s="28" t="str">
        <x:v>Corretiva</x:v>
      </x:c>
      <x:c r="G203" s="32" t="n">
        <x:v>4.8</x:v>
      </x:c>
      <x:c r="H203" s="28" t="str">
        <x:v>Quebras</x:v>
      </x:c>
      <x:c r="I203" s="28" t="str">
        <x:v>Sim</x:v>
      </x:c>
    </x:row>
    <x:row r="204">
      <x:c r="A204" s="34" t="n">
        <x:v>45376</x:v>
      </x:c>
      <x:c r="B204" s="28" t="str">
        <x:v>Grupo Industrial S.A.</x:v>
      </x:c>
      <x:c r="C204" s="28" t="str">
        <x:v>Planta Curitiba</x:v>
      </x:c>
      <x:c r="D204" s="28" t="str">
        <x:v>Linha 6 - Finalização</x:v>
      </x:c>
      <x:c r="E204" s="28" t="str">
        <x:v>EQ-6-03</x:v>
      </x:c>
      <x:c r="F204" s="28" t="str">
        <x:v>Operacional</x:v>
      </x:c>
      <x:c r="G204" s="32" t="n">
        <x:v>7.07</x:v>
      </x:c>
      <x:c r="H204" s="28" t="str">
        <x:v>Setup</x:v>
      </x:c>
      <x:c r="I204" s="28" t="str">
        <x:v>Não</x:v>
      </x:c>
    </x:row>
    <x:row r="205">
      <x:c r="A205" s="34" t="n">
        <x:v>45383</x:v>
      </x:c>
      <x:c r="B205" s="28" t="str">
        <x:v>Grupo Industrial S.A.</x:v>
      </x:c>
      <x:c r="C205" s="28" t="str">
        <x:v>Planta São Paulo</x:v>
      </x:c>
      <x:c r="D205" s="28" t="str">
        <x:v>Linha 1 - Corte</x:v>
      </x:c>
      <x:c r="E205" s="28" t="str">
        <x:v>EQ-1-01</x:v>
      </x:c>
      <x:c r="F205" s="28" t="str">
        <x:v>Corretiva</x:v>
      </x:c>
      <x:c r="G205" s="32" t="n">
        <x:v>5.52</x:v>
      </x:c>
      <x:c r="H205" s="28" t="str">
        <x:v>Quebras</x:v>
      </x:c>
      <x:c r="I205" s="28" t="str">
        <x:v>Sim</x:v>
      </x:c>
    </x:row>
    <x:row r="206">
      <x:c r="A206" s="34" t="n">
        <x:v>45383</x:v>
      </x:c>
      <x:c r="B206" s="28" t="str">
        <x:v>Grupo Industrial S.A.</x:v>
      </x:c>
      <x:c r="C206" s="28" t="str">
        <x:v>Planta São Paulo</x:v>
      </x:c>
      <x:c r="D206" s="28" t="str">
        <x:v>Linha 1 - Corte</x:v>
      </x:c>
      <x:c r="E206" s="28" t="str">
        <x:v>EQ-1-02</x:v>
      </x:c>
      <x:c r="F206" s="28" t="str">
        <x:v>Corretiva</x:v>
      </x:c>
      <x:c r="G206" s="32" t="n">
        <x:v>7.07</x:v>
      </x:c>
      <x:c r="H206" s="28" t="str">
        <x:v>Microparadas</x:v>
      </x:c>
      <x:c r="I206" s="28" t="str">
        <x:v>Não</x:v>
      </x:c>
    </x:row>
    <x:row r="207">
      <x:c r="A207" s="34" t="n">
        <x:v>45383</x:v>
      </x:c>
      <x:c r="B207" s="28" t="str">
        <x:v>Grupo Industrial S.A.</x:v>
      </x:c>
      <x:c r="C207" s="28" t="str">
        <x:v>Planta São Paulo</x:v>
      </x:c>
      <x:c r="D207" s="28" t="str">
        <x:v>Linha 2 - Montagem</x:v>
      </x:c>
      <x:c r="E207" s="28" t="str">
        <x:v>EQ-2-01</x:v>
      </x:c>
      <x:c r="F207" s="28" t="str">
        <x:v>Operacional</x:v>
      </x:c>
      <x:c r="G207" s="32" t="n">
        <x:v>4.15</x:v>
      </x:c>
      <x:c r="H207" s="28" t="str">
        <x:v>Setup</x:v>
      </x:c>
      <x:c r="I207" s="28" t="str">
        <x:v>Não</x:v>
      </x:c>
    </x:row>
    <x:row r="208">
      <x:c r="A208" s="34" t="n">
        <x:v>45383</x:v>
      </x:c>
      <x:c r="B208" s="28" t="str">
        <x:v>Grupo Industrial S.A.</x:v>
      </x:c>
      <x:c r="C208" s="28" t="str">
        <x:v>Planta São Paulo</x:v>
      </x:c>
      <x:c r="D208" s="28" t="str">
        <x:v>Linha 2 - Montagem</x:v>
      </x:c>
      <x:c r="E208" s="28" t="str">
        <x:v>EQ-2-02</x:v>
      </x:c>
      <x:c r="F208" s="28" t="str">
        <x:v>Corretiva</x:v>
      </x:c>
      <x:c r="G208" s="32" t="n">
        <x:v>9.85</x:v>
      </x:c>
      <x:c r="H208" s="28" t="str">
        <x:v>Microparadas</x:v>
      </x:c>
      <x:c r="I208" s="28" t="str">
        <x:v>Não</x:v>
      </x:c>
    </x:row>
    <x:row r="209">
      <x:c r="A209" s="34" t="n">
        <x:v>45383</x:v>
      </x:c>
      <x:c r="B209" s="28" t="str">
        <x:v>Grupo Industrial S.A.</x:v>
      </x:c>
      <x:c r="C209" s="28" t="str">
        <x:v>Planta Campinas</x:v>
      </x:c>
      <x:c r="D209" s="28" t="str">
        <x:v>Linha 3 - Extrusão</x:v>
      </x:c>
      <x:c r="E209" s="28" t="str">
        <x:v>EQ-3-01</x:v>
      </x:c>
      <x:c r="F209" s="28" t="str">
        <x:v>Operacional</x:v>
      </x:c>
      <x:c r="G209" s="32" t="n">
        <x:v>9.06</x:v>
      </x:c>
      <x:c r="H209" s="28" t="str">
        <x:v>Falta de material</x:v>
      </x:c>
      <x:c r="I209" s="28" t="str">
        <x:v>Sim</x:v>
      </x:c>
    </x:row>
    <x:row r="210">
      <x:c r="A210" s="34" t="n">
        <x:v>45383</x:v>
      </x:c>
      <x:c r="B210" s="28" t="str">
        <x:v>Grupo Industrial S.A.</x:v>
      </x:c>
      <x:c r="C210" s="28" t="str">
        <x:v>Planta Campinas</x:v>
      </x:c>
      <x:c r="D210" s="28" t="str">
        <x:v>Linha 3 - Extrusão</x:v>
      </x:c>
      <x:c r="E210" s="28" t="str">
        <x:v>EQ-3-02</x:v>
      </x:c>
      <x:c r="F210" s="28" t="str">
        <x:v>Corretiva</x:v>
      </x:c>
      <x:c r="G210" s="32" t="n">
        <x:v>6.39</x:v>
      </x:c>
      <x:c r="H210" s="28" t="str">
        <x:v>Quebras</x:v>
      </x:c>
      <x:c r="I210" s="28" t="str">
        <x:v>Sim</x:v>
      </x:c>
    </x:row>
    <x:row r="211">
      <x:c r="A211" s="34" t="n">
        <x:v>45383</x:v>
      </x:c>
      <x:c r="B211" s="28" t="str">
        <x:v>Grupo Industrial S.A.</x:v>
      </x:c>
      <x:c r="C211" s="28" t="str">
        <x:v>Planta Campinas</x:v>
      </x:c>
      <x:c r="D211" s="28" t="str">
        <x:v>Linha 3 - Extrusão</x:v>
      </x:c>
      <x:c r="E211" s="28" t="str">
        <x:v>EQ-3-03</x:v>
      </x:c>
      <x:c r="F211" s="28" t="str">
        <x:v>Operacional</x:v>
      </x:c>
      <x:c r="G211" s="32" t="n">
        <x:v>8.87</x:v>
      </x:c>
      <x:c r="H211" s="28" t="str">
        <x:v>Falta de material</x:v>
      </x:c>
      <x:c r="I211" s="28" t="str">
        <x:v>Sim</x:v>
      </x:c>
    </x:row>
    <x:row r="212">
      <x:c r="A212" s="34" t="n">
        <x:v>45383</x:v>
      </x:c>
      <x:c r="B212" s="28" t="str">
        <x:v>Grupo Industrial S.A.</x:v>
      </x:c>
      <x:c r="C212" s="28" t="str">
        <x:v>Planta Campinas</x:v>
      </x:c>
      <x:c r="D212" s="28" t="str">
        <x:v>Linha 4 - Embalagem</x:v>
      </x:c>
      <x:c r="E212" s="28" t="str">
        <x:v>EQ-4-01</x:v>
      </x:c>
      <x:c r="F212" s="28" t="str">
        <x:v>Operacional</x:v>
      </x:c>
      <x:c r="G212" s="32" t="n">
        <x:v>11.95</x:v>
      </x:c>
      <x:c r="H212" s="28" t="str">
        <x:v>Falta de material</x:v>
      </x:c>
      <x:c r="I212" s="28" t="str">
        <x:v>Sim</x:v>
      </x:c>
    </x:row>
    <x:row r="213">
      <x:c r="A213" s="34" t="n">
        <x:v>45383</x:v>
      </x:c>
      <x:c r="B213" s="28" t="str">
        <x:v>Grupo Industrial S.A.</x:v>
      </x:c>
      <x:c r="C213" s="28" t="str">
        <x:v>Planta Campinas</x:v>
      </x:c>
      <x:c r="D213" s="28" t="str">
        <x:v>Linha 4 - Embalagem</x:v>
      </x:c>
      <x:c r="E213" s="28" t="str">
        <x:v>EQ-4-02</x:v>
      </x:c>
      <x:c r="F213" s="28" t="str">
        <x:v>Operacional</x:v>
      </x:c>
      <x:c r="G213" s="32" t="n">
        <x:v>4.58</x:v>
      </x:c>
      <x:c r="H213" s="28" t="str">
        <x:v>Falta de material</x:v>
      </x:c>
      <x:c r="I213" s="28" t="str">
        <x:v>Sim</x:v>
      </x:c>
    </x:row>
    <x:row r="214">
      <x:c r="A214" s="34" t="n">
        <x:v>45383</x:v>
      </x:c>
      <x:c r="B214" s="28" t="str">
        <x:v>Grupo Industrial S.A.</x:v>
      </x:c>
      <x:c r="C214" s="28" t="str">
        <x:v>Planta Campinas</x:v>
      </x:c>
      <x:c r="D214" s="28" t="str">
        <x:v>Linha 4 - Embalagem</x:v>
      </x:c>
      <x:c r="E214" s="28" t="str">
        <x:v>EQ-4-03</x:v>
      </x:c>
      <x:c r="F214" s="28" t="str">
        <x:v>Operacional</x:v>
      </x:c>
      <x:c r="G214" s="32" t="n">
        <x:v>6.46</x:v>
      </x:c>
      <x:c r="H214" s="28" t="str">
        <x:v>Falta de material</x:v>
      </x:c>
      <x:c r="I214" s="28" t="str">
        <x:v>Sim</x:v>
      </x:c>
    </x:row>
    <x:row r="215">
      <x:c r="A215" s="34" t="n">
        <x:v>45383</x:v>
      </x:c>
      <x:c r="B215" s="28" t="str">
        <x:v>Grupo Industrial S.A.</x:v>
      </x:c>
      <x:c r="C215" s="28" t="str">
        <x:v>Planta Curitiba</x:v>
      </x:c>
      <x:c r="D215" s="28" t="str">
        <x:v>Linha 5 - Usinagem</x:v>
      </x:c>
      <x:c r="E215" s="28" t="str">
        <x:v>EQ-5-01</x:v>
      </x:c>
      <x:c r="F215" s="28" t="str">
        <x:v>Operacional</x:v>
      </x:c>
      <x:c r="G215" s="32" t="n">
        <x:v>6.51</x:v>
      </x:c>
      <x:c r="H215" s="28" t="str">
        <x:v>Setup</x:v>
      </x:c>
      <x:c r="I215" s="28" t="str">
        <x:v>Não</x:v>
      </x:c>
    </x:row>
    <x:row r="216">
      <x:c r="A216" s="34" t="n">
        <x:v>45383</x:v>
      </x:c>
      <x:c r="B216" s="28" t="str">
        <x:v>Grupo Industrial S.A.</x:v>
      </x:c>
      <x:c r="C216" s="28" t="str">
        <x:v>Planta Curitiba</x:v>
      </x:c>
      <x:c r="D216" s="28" t="str">
        <x:v>Linha 5 - Usinagem</x:v>
      </x:c>
      <x:c r="E216" s="28" t="str">
        <x:v>EQ-5-02</x:v>
      </x:c>
      <x:c r="F216" s="28" t="str">
        <x:v>Operacional</x:v>
      </x:c>
      <x:c r="G216" s="32" t="n">
        <x:v>5.03</x:v>
      </x:c>
      <x:c r="H216" s="28" t="str">
        <x:v>Setup</x:v>
      </x:c>
      <x:c r="I216" s="28" t="str">
        <x:v>Não</x:v>
      </x:c>
    </x:row>
    <x:row r="217">
      <x:c r="A217" s="34" t="n">
        <x:v>45383</x:v>
      </x:c>
      <x:c r="B217" s="28" t="str">
        <x:v>Grupo Industrial S.A.</x:v>
      </x:c>
      <x:c r="C217" s="28" t="str">
        <x:v>Planta Curitiba</x:v>
      </x:c>
      <x:c r="D217" s="28" t="str">
        <x:v>Linha 5 - Usinagem</x:v>
      </x:c>
      <x:c r="E217" s="28" t="str">
        <x:v>EQ-5-03</x:v>
      </x:c>
      <x:c r="F217" s="28" t="str">
        <x:v>Corretiva</x:v>
      </x:c>
      <x:c r="G217" s="32" t="n">
        <x:v>6.59</x:v>
      </x:c>
      <x:c r="H217" s="28" t="str">
        <x:v>Microparadas</x:v>
      </x:c>
      <x:c r="I217" s="28" t="str">
        <x:v>Não</x:v>
      </x:c>
    </x:row>
    <x:row r="218">
      <x:c r="A218" s="34" t="n">
        <x:v>45383</x:v>
      </x:c>
      <x:c r="B218" s="28" t="str">
        <x:v>Grupo Industrial S.A.</x:v>
      </x:c>
      <x:c r="C218" s="28" t="str">
        <x:v>Planta Curitiba</x:v>
      </x:c>
      <x:c r="D218" s="28" t="str">
        <x:v>Linha 6 - Finalização</x:v>
      </x:c>
      <x:c r="E218" s="28" t="str">
        <x:v>EQ-6-01</x:v>
      </x:c>
      <x:c r="F218" s="28" t="str">
        <x:v>Operacional</x:v>
      </x:c>
      <x:c r="G218" s="32" t="n">
        <x:v>10.38</x:v>
      </x:c>
      <x:c r="H218" s="28" t="str">
        <x:v>Troca de ferramenta</x:v>
      </x:c>
      <x:c r="I218" s="28" t="str">
        <x:v>Não</x:v>
      </x:c>
    </x:row>
    <x:row r="219">
      <x:c r="A219" s="34" t="n">
        <x:v>45383</x:v>
      </x:c>
      <x:c r="B219" s="28" t="str">
        <x:v>Grupo Industrial S.A.</x:v>
      </x:c>
      <x:c r="C219" s="28" t="str">
        <x:v>Planta Curitiba</x:v>
      </x:c>
      <x:c r="D219" s="28" t="str">
        <x:v>Linha 6 - Finalização</x:v>
      </x:c>
      <x:c r="E219" s="28" t="str">
        <x:v>EQ-6-02</x:v>
      </x:c>
      <x:c r="F219" s="28" t="str">
        <x:v>Corretiva</x:v>
      </x:c>
      <x:c r="G219" s="32" t="n">
        <x:v>3.3</x:v>
      </x:c>
      <x:c r="H219" s="28" t="str">
        <x:v>Microparadas</x:v>
      </x:c>
      <x:c r="I219" s="28" t="str">
        <x:v>Não</x:v>
      </x:c>
    </x:row>
    <x:row r="220">
      <x:c r="A220" s="34" t="n">
        <x:v>45383</x:v>
      </x:c>
      <x:c r="B220" s="28" t="str">
        <x:v>Grupo Industrial S.A.</x:v>
      </x:c>
      <x:c r="C220" s="28" t="str">
        <x:v>Planta Curitiba</x:v>
      </x:c>
      <x:c r="D220" s="28" t="str">
        <x:v>Linha 6 - Finalização</x:v>
      </x:c>
      <x:c r="E220" s="28" t="str">
        <x:v>EQ-6-03</x:v>
      </x:c>
      <x:c r="F220" s="28" t="str">
        <x:v>Operacional</x:v>
      </x:c>
      <x:c r="G220" s="32" t="n">
        <x:v>6.56</x:v>
      </x:c>
      <x:c r="H220" s="28" t="str">
        <x:v>Setup</x:v>
      </x:c>
      <x:c r="I220" s="28" t="str">
        <x:v>Não</x:v>
      </x:c>
    </x:row>
    <x:row r="221">
      <x:c r="A221" s="34" t="n">
        <x:v>45390</x:v>
      </x:c>
      <x:c r="B221" s="28" t="str">
        <x:v>Grupo Industrial S.A.</x:v>
      </x:c>
      <x:c r="C221" s="28" t="str">
        <x:v>Planta São Paulo</x:v>
      </x:c>
      <x:c r="D221" s="28" t="str">
        <x:v>Linha 1 - Corte</x:v>
      </x:c>
      <x:c r="E221" s="28" t="str">
        <x:v>EQ-1-01</x:v>
      </x:c>
      <x:c r="F221" s="28" t="str">
        <x:v>Corretiva</x:v>
      </x:c>
      <x:c r="G221" s="32" t="n">
        <x:v>6.26</x:v>
      </x:c>
      <x:c r="H221" s="28" t="str">
        <x:v>Quebras</x:v>
      </x:c>
      <x:c r="I221" s="28" t="str">
        <x:v>Sim</x:v>
      </x:c>
    </x:row>
    <x:row r="222">
      <x:c r="A222" s="34" t="n">
        <x:v>45390</x:v>
      </x:c>
      <x:c r="B222" s="28" t="str">
        <x:v>Grupo Industrial S.A.</x:v>
      </x:c>
      <x:c r="C222" s="28" t="str">
        <x:v>Planta São Paulo</x:v>
      </x:c>
      <x:c r="D222" s="28" t="str">
        <x:v>Linha 1 - Corte</x:v>
      </x:c>
      <x:c r="E222" s="28" t="str">
        <x:v>EQ-1-02</x:v>
      </x:c>
      <x:c r="F222" s="28" t="str">
        <x:v>Operacional</x:v>
      </x:c>
      <x:c r="G222" s="32" t="n">
        <x:v>8.21</x:v>
      </x:c>
      <x:c r="H222" s="28" t="str">
        <x:v>Setup</x:v>
      </x:c>
      <x:c r="I222" s="28" t="str">
        <x:v>Não</x:v>
      </x:c>
    </x:row>
    <x:row r="223">
      <x:c r="A223" s="34" t="n">
        <x:v>45390</x:v>
      </x:c>
      <x:c r="B223" s="28" t="str">
        <x:v>Grupo Industrial S.A.</x:v>
      </x:c>
      <x:c r="C223" s="28" t="str">
        <x:v>Planta São Paulo</x:v>
      </x:c>
      <x:c r="D223" s="28" t="str">
        <x:v>Linha 2 - Montagem</x:v>
      </x:c>
      <x:c r="E223" s="28" t="str">
        <x:v>EQ-2-01</x:v>
      </x:c>
      <x:c r="F223" s="28" t="str">
        <x:v>Corretiva</x:v>
      </x:c>
      <x:c r="G223" s="32" t="n">
        <x:v>4.72</x:v>
      </x:c>
      <x:c r="H223" s="28" t="str">
        <x:v>Quebras</x:v>
      </x:c>
      <x:c r="I223" s="28" t="str">
        <x:v>Sim</x:v>
      </x:c>
    </x:row>
    <x:row r="224">
      <x:c r="A224" s="34" t="n">
        <x:v>45390</x:v>
      </x:c>
      <x:c r="B224" s="28" t="str">
        <x:v>Grupo Industrial S.A.</x:v>
      </x:c>
      <x:c r="C224" s="28" t="str">
        <x:v>Planta São Paulo</x:v>
      </x:c>
      <x:c r="D224" s="28" t="str">
        <x:v>Linha 2 - Montagem</x:v>
      </x:c>
      <x:c r="E224" s="28" t="str">
        <x:v>EQ-2-02</x:v>
      </x:c>
      <x:c r="F224" s="28" t="str">
        <x:v>Corretiva</x:v>
      </x:c>
      <x:c r="G224" s="32" t="n">
        <x:v>10.99</x:v>
      </x:c>
      <x:c r="H224" s="28" t="str">
        <x:v>Quebras</x:v>
      </x:c>
      <x:c r="I224" s="28" t="str">
        <x:v>Sim</x:v>
      </x:c>
    </x:row>
    <x:row r="225">
      <x:c r="A225" s="34" t="n">
        <x:v>45390</x:v>
      </x:c>
      <x:c r="B225" s="28" t="str">
        <x:v>Grupo Industrial S.A.</x:v>
      </x:c>
      <x:c r="C225" s="28" t="str">
        <x:v>Planta Campinas</x:v>
      </x:c>
      <x:c r="D225" s="28" t="str">
        <x:v>Linha 3 - Extrusão</x:v>
      </x:c>
      <x:c r="E225" s="28" t="str">
        <x:v>EQ-3-01</x:v>
      </x:c>
      <x:c r="F225" s="28" t="str">
        <x:v>Operacional</x:v>
      </x:c>
      <x:c r="G225" s="32" t="n">
        <x:v>8.75</x:v>
      </x:c>
      <x:c r="H225" s="28" t="str">
        <x:v>Setup</x:v>
      </x:c>
      <x:c r="I225" s="28" t="str">
        <x:v>Não</x:v>
      </x:c>
    </x:row>
    <x:row r="226">
      <x:c r="A226" s="34" t="n">
        <x:v>45390</x:v>
      </x:c>
      <x:c r="B226" s="28" t="str">
        <x:v>Grupo Industrial S.A.</x:v>
      </x:c>
      <x:c r="C226" s="28" t="str">
        <x:v>Planta Campinas</x:v>
      </x:c>
      <x:c r="D226" s="28" t="str">
        <x:v>Linha 3 - Extrusão</x:v>
      </x:c>
      <x:c r="E226" s="28" t="str">
        <x:v>EQ-3-02</x:v>
      </x:c>
      <x:c r="F226" s="28" t="str">
        <x:v>Operacional</x:v>
      </x:c>
      <x:c r="G226" s="32" t="n">
        <x:v>4.47</x:v>
      </x:c>
      <x:c r="H226" s="28" t="str">
        <x:v>Setup</x:v>
      </x:c>
      <x:c r="I226" s="28" t="str">
        <x:v>Não</x:v>
      </x:c>
    </x:row>
    <x:row r="227">
      <x:c r="A227" s="34" t="n">
        <x:v>45390</x:v>
      </x:c>
      <x:c r="B227" s="28" t="str">
        <x:v>Grupo Industrial S.A.</x:v>
      </x:c>
      <x:c r="C227" s="28" t="str">
        <x:v>Planta Campinas</x:v>
      </x:c>
      <x:c r="D227" s="28" t="str">
        <x:v>Linha 3 - Extrusão</x:v>
      </x:c>
      <x:c r="E227" s="28" t="str">
        <x:v>EQ-3-03</x:v>
      </x:c>
      <x:c r="F227" s="28" t="str">
        <x:v>Corretiva</x:v>
      </x:c>
      <x:c r="G227" s="32" t="n">
        <x:v>7.43</x:v>
      </x:c>
      <x:c r="H227" s="28" t="str">
        <x:v>Quebras</x:v>
      </x:c>
      <x:c r="I227" s="28" t="str">
        <x:v>Sim</x:v>
      </x:c>
    </x:row>
    <x:row r="228">
      <x:c r="A228" s="34" t="n">
        <x:v>45390</x:v>
      </x:c>
      <x:c r="B228" s="28" t="str">
        <x:v>Grupo Industrial S.A.</x:v>
      </x:c>
      <x:c r="C228" s="28" t="str">
        <x:v>Planta Campinas</x:v>
      </x:c>
      <x:c r="D228" s="28" t="str">
        <x:v>Linha 4 - Embalagem</x:v>
      </x:c>
      <x:c r="E228" s="28" t="str">
        <x:v>EQ-4-01</x:v>
      </x:c>
      <x:c r="F228" s="28" t="str">
        <x:v>Operacional</x:v>
      </x:c>
      <x:c r="G228" s="32" t="n">
        <x:v>11.66</x:v>
      </x:c>
      <x:c r="H228" s="28" t="str">
        <x:v>Falta de material</x:v>
      </x:c>
      <x:c r="I228" s="28" t="str">
        <x:v>Sim</x:v>
      </x:c>
    </x:row>
    <x:row r="229">
      <x:c r="A229" s="34" t="n">
        <x:v>45390</x:v>
      </x:c>
      <x:c r="B229" s="28" t="str">
        <x:v>Grupo Industrial S.A.</x:v>
      </x:c>
      <x:c r="C229" s="28" t="str">
        <x:v>Planta Campinas</x:v>
      </x:c>
      <x:c r="D229" s="28" t="str">
        <x:v>Linha 4 - Embalagem</x:v>
      </x:c>
      <x:c r="E229" s="28" t="str">
        <x:v>EQ-4-02</x:v>
      </x:c>
      <x:c r="F229" s="28" t="str">
        <x:v>Operacional</x:v>
      </x:c>
      <x:c r="G229" s="32" t="n">
        <x:v>5</x:v>
      </x:c>
      <x:c r="H229" s="28" t="str">
        <x:v>Setup</x:v>
      </x:c>
      <x:c r="I229" s="28" t="str">
        <x:v>Não</x:v>
      </x:c>
    </x:row>
    <x:row r="230">
      <x:c r="A230" s="34" t="n">
        <x:v>45390</x:v>
      </x:c>
      <x:c r="B230" s="28" t="str">
        <x:v>Grupo Industrial S.A.</x:v>
      </x:c>
      <x:c r="C230" s="28" t="str">
        <x:v>Planta Campinas</x:v>
      </x:c>
      <x:c r="D230" s="28" t="str">
        <x:v>Linha 4 - Embalagem</x:v>
      </x:c>
      <x:c r="E230" s="28" t="str">
        <x:v>EQ-4-03</x:v>
      </x:c>
      <x:c r="F230" s="28" t="str">
        <x:v>Operacional</x:v>
      </x:c>
      <x:c r="G230" s="32" t="n">
        <x:v>5.77</x:v>
      </x:c>
      <x:c r="H230" s="28" t="str">
        <x:v>Falta de material</x:v>
      </x:c>
      <x:c r="I230" s="28" t="str">
        <x:v>Sim</x:v>
      </x:c>
    </x:row>
    <x:row r="231">
      <x:c r="A231" s="34" t="n">
        <x:v>45390</x:v>
      </x:c>
      <x:c r="B231" s="28" t="str">
        <x:v>Grupo Industrial S.A.</x:v>
      </x:c>
      <x:c r="C231" s="28" t="str">
        <x:v>Planta Curitiba</x:v>
      </x:c>
      <x:c r="D231" s="28" t="str">
        <x:v>Linha 5 - Usinagem</x:v>
      </x:c>
      <x:c r="E231" s="28" t="str">
        <x:v>EQ-5-01</x:v>
      </x:c>
      <x:c r="F231" s="28" t="str">
        <x:v>Operacional</x:v>
      </x:c>
      <x:c r="G231" s="32" t="n">
        <x:v>6.63</x:v>
      </x:c>
      <x:c r="H231" s="28" t="str">
        <x:v>Setup</x:v>
      </x:c>
      <x:c r="I231" s="28" t="str">
        <x:v>Não</x:v>
      </x:c>
    </x:row>
    <x:row r="232">
      <x:c r="A232" s="34" t="n">
        <x:v>45390</x:v>
      </x:c>
      <x:c r="B232" s="28" t="str">
        <x:v>Grupo Industrial S.A.</x:v>
      </x:c>
      <x:c r="C232" s="28" t="str">
        <x:v>Planta Curitiba</x:v>
      </x:c>
      <x:c r="D232" s="28" t="str">
        <x:v>Linha 5 - Usinagem</x:v>
      </x:c>
      <x:c r="E232" s="28" t="str">
        <x:v>EQ-5-02</x:v>
      </x:c>
      <x:c r="F232" s="28" t="str">
        <x:v>Operacional</x:v>
      </x:c>
      <x:c r="G232" s="32" t="n">
        <x:v>6.15</x:v>
      </x:c>
      <x:c r="H232" s="28" t="str">
        <x:v>Setup</x:v>
      </x:c>
      <x:c r="I232" s="28" t="str">
        <x:v>Não</x:v>
      </x:c>
    </x:row>
    <x:row r="233">
      <x:c r="A233" s="34" t="n">
        <x:v>45390</x:v>
      </x:c>
      <x:c r="B233" s="28" t="str">
        <x:v>Grupo Industrial S.A.</x:v>
      </x:c>
      <x:c r="C233" s="28" t="str">
        <x:v>Planta Curitiba</x:v>
      </x:c>
      <x:c r="D233" s="28" t="str">
        <x:v>Linha 5 - Usinagem</x:v>
      </x:c>
      <x:c r="E233" s="28" t="str">
        <x:v>EQ-5-03</x:v>
      </x:c>
      <x:c r="F233" s="28" t="str">
        <x:v>Operacional</x:v>
      </x:c>
      <x:c r="G233" s="32" t="n">
        <x:v>5.86</x:v>
      </x:c>
      <x:c r="H233" s="28" t="str">
        <x:v>Troca de ferramenta</x:v>
      </x:c>
      <x:c r="I233" s="28" t="str">
        <x:v>Não</x:v>
      </x:c>
    </x:row>
    <x:row r="234">
      <x:c r="A234" s="34" t="n">
        <x:v>45390</x:v>
      </x:c>
      <x:c r="B234" s="28" t="str">
        <x:v>Grupo Industrial S.A.</x:v>
      </x:c>
      <x:c r="C234" s="28" t="str">
        <x:v>Planta Curitiba</x:v>
      </x:c>
      <x:c r="D234" s="28" t="str">
        <x:v>Linha 6 - Finalização</x:v>
      </x:c>
      <x:c r="E234" s="28" t="str">
        <x:v>EQ-6-01</x:v>
      </x:c>
      <x:c r="F234" s="28" t="str">
        <x:v>Operacional</x:v>
      </x:c>
      <x:c r="G234" s="32" t="n">
        <x:v>4.45</x:v>
      </x:c>
      <x:c r="H234" s="28" t="str">
        <x:v>Setup</x:v>
      </x:c>
      <x:c r="I234" s="28" t="str">
        <x:v>Não</x:v>
      </x:c>
    </x:row>
    <x:row r="235">
      <x:c r="A235" s="34" t="n">
        <x:v>45390</x:v>
      </x:c>
      <x:c r="B235" s="28" t="str">
        <x:v>Grupo Industrial S.A.</x:v>
      </x:c>
      <x:c r="C235" s="28" t="str">
        <x:v>Planta Curitiba</x:v>
      </x:c>
      <x:c r="D235" s="28" t="str">
        <x:v>Linha 6 - Finalização</x:v>
      </x:c>
      <x:c r="E235" s="28" t="str">
        <x:v>EQ-6-02</x:v>
      </x:c>
      <x:c r="F235" s="28" t="str">
        <x:v>Operacional</x:v>
      </x:c>
      <x:c r="G235" s="32" t="n">
        <x:v>11.2</x:v>
      </x:c>
      <x:c r="H235" s="28" t="str">
        <x:v>Troca de ferramenta</x:v>
      </x:c>
      <x:c r="I235" s="28" t="str">
        <x:v>Não</x:v>
      </x:c>
    </x:row>
    <x:row r="236">
      <x:c r="A236" s="34" t="n">
        <x:v>45397</x:v>
      </x:c>
      <x:c r="B236" s="28" t="str">
        <x:v>Grupo Industrial S.A.</x:v>
      </x:c>
      <x:c r="C236" s="28" t="str">
        <x:v>Planta São Paulo</x:v>
      </x:c>
      <x:c r="D236" s="28" t="str">
        <x:v>Linha 1 - Corte</x:v>
      </x:c>
      <x:c r="E236" s="28" t="str">
        <x:v>EQ-1-01</x:v>
      </x:c>
      <x:c r="F236" s="28" t="str">
        <x:v>Operacional</x:v>
      </x:c>
      <x:c r="G236" s="32" t="n">
        <x:v>5.13</x:v>
      </x:c>
      <x:c r="H236" s="28" t="str">
        <x:v>Setup</x:v>
      </x:c>
      <x:c r="I236" s="28" t="str">
        <x:v>Não</x:v>
      </x:c>
    </x:row>
    <x:row r="237">
      <x:c r="A237" s="34" t="n">
        <x:v>45397</x:v>
      </x:c>
      <x:c r="B237" s="28" t="str">
        <x:v>Grupo Industrial S.A.</x:v>
      </x:c>
      <x:c r="C237" s="28" t="str">
        <x:v>Planta São Paulo</x:v>
      </x:c>
      <x:c r="D237" s="28" t="str">
        <x:v>Linha 1 - Corte</x:v>
      </x:c>
      <x:c r="E237" s="28" t="str">
        <x:v>EQ-1-02</x:v>
      </x:c>
      <x:c r="F237" s="28" t="str">
        <x:v>Corretiva</x:v>
      </x:c>
      <x:c r="G237" s="32" t="n">
        <x:v>11.93</x:v>
      </x:c>
      <x:c r="H237" s="28" t="str">
        <x:v>Quebras</x:v>
      </x:c>
      <x:c r="I237" s="28" t="str">
        <x:v>Sim</x:v>
      </x:c>
    </x:row>
    <x:row r="238">
      <x:c r="A238" s="34" t="n">
        <x:v>45397</x:v>
      </x:c>
      <x:c r="B238" s="28" t="str">
        <x:v>Grupo Industrial S.A.</x:v>
      </x:c>
      <x:c r="C238" s="28" t="str">
        <x:v>Planta São Paulo</x:v>
      </x:c>
      <x:c r="D238" s="28" t="str">
        <x:v>Linha 2 - Montagem</x:v>
      </x:c>
      <x:c r="E238" s="28" t="str">
        <x:v>EQ-2-01</x:v>
      </x:c>
      <x:c r="F238" s="28" t="str">
        <x:v>Corretiva</x:v>
      </x:c>
      <x:c r="G238" s="32" t="n">
        <x:v>4.17</x:v>
      </x:c>
      <x:c r="H238" s="28" t="str">
        <x:v>Quebras</x:v>
      </x:c>
      <x:c r="I238" s="28" t="str">
        <x:v>Sim</x:v>
      </x:c>
    </x:row>
    <x:row r="239">
      <x:c r="A239" s="34" t="n">
        <x:v>45397</x:v>
      </x:c>
      <x:c r="B239" s="28" t="str">
        <x:v>Grupo Industrial S.A.</x:v>
      </x:c>
      <x:c r="C239" s="28" t="str">
        <x:v>Planta São Paulo</x:v>
      </x:c>
      <x:c r="D239" s="28" t="str">
        <x:v>Linha 2 - Montagem</x:v>
      </x:c>
      <x:c r="E239" s="28" t="str">
        <x:v>EQ-2-02</x:v>
      </x:c>
      <x:c r="F239" s="28" t="str">
        <x:v>Operacional</x:v>
      </x:c>
      <x:c r="G239" s="32" t="n">
        <x:v>10.35</x:v>
      </x:c>
      <x:c r="H239" s="28" t="str">
        <x:v>Setup</x:v>
      </x:c>
      <x:c r="I239" s="28" t="str">
        <x:v>Não</x:v>
      </x:c>
    </x:row>
    <x:row r="240">
      <x:c r="A240" s="34" t="n">
        <x:v>45397</x:v>
      </x:c>
      <x:c r="B240" s="28" t="str">
        <x:v>Grupo Industrial S.A.</x:v>
      </x:c>
      <x:c r="C240" s="28" t="str">
        <x:v>Planta Campinas</x:v>
      </x:c>
      <x:c r="D240" s="28" t="str">
        <x:v>Linha 3 - Extrusão</x:v>
      </x:c>
      <x:c r="E240" s="28" t="str">
        <x:v>EQ-3-01</x:v>
      </x:c>
      <x:c r="F240" s="28" t="str">
        <x:v>Operacional</x:v>
      </x:c>
      <x:c r="G240" s="32" t="n">
        <x:v>10.65</x:v>
      </x:c>
      <x:c r="H240" s="28" t="str">
        <x:v>Falta de material</x:v>
      </x:c>
      <x:c r="I240" s="28" t="str">
        <x:v>Sim</x:v>
      </x:c>
    </x:row>
    <x:row r="241">
      <x:c r="A241" s="34" t="n">
        <x:v>45397</x:v>
      </x:c>
      <x:c r="B241" s="28" t="str">
        <x:v>Grupo Industrial S.A.</x:v>
      </x:c>
      <x:c r="C241" s="28" t="str">
        <x:v>Planta Campinas</x:v>
      </x:c>
      <x:c r="D241" s="28" t="str">
        <x:v>Linha 3 - Extrusão</x:v>
      </x:c>
      <x:c r="E241" s="28" t="str">
        <x:v>EQ-3-02</x:v>
      </x:c>
      <x:c r="F241" s="28" t="str">
        <x:v>Operacional</x:v>
      </x:c>
      <x:c r="G241" s="32" t="n">
        <x:v>4.44</x:v>
      </x:c>
      <x:c r="H241" s="28" t="str">
        <x:v>Falta de material</x:v>
      </x:c>
      <x:c r="I241" s="28" t="str">
        <x:v>Sim</x:v>
      </x:c>
    </x:row>
    <x:row r="242">
      <x:c r="A242" s="34" t="n">
        <x:v>45397</x:v>
      </x:c>
      <x:c r="B242" s="28" t="str">
        <x:v>Grupo Industrial S.A.</x:v>
      </x:c>
      <x:c r="C242" s="28" t="str">
        <x:v>Planta Campinas</x:v>
      </x:c>
      <x:c r="D242" s="28" t="str">
        <x:v>Linha 3 - Extrusão</x:v>
      </x:c>
      <x:c r="E242" s="28" t="str">
        <x:v>EQ-3-03</x:v>
      </x:c>
      <x:c r="F242" s="28" t="str">
        <x:v>Operacional</x:v>
      </x:c>
      <x:c r="G242" s="32" t="n">
        <x:v>9.32</x:v>
      </x:c>
      <x:c r="H242" s="28" t="str">
        <x:v>Setup</x:v>
      </x:c>
      <x:c r="I242" s="28" t="str">
        <x:v>Não</x:v>
      </x:c>
    </x:row>
    <x:row r="243">
      <x:c r="A243" s="34" t="n">
        <x:v>45397</x:v>
      </x:c>
      <x:c r="B243" s="28" t="str">
        <x:v>Grupo Industrial S.A.</x:v>
      </x:c>
      <x:c r="C243" s="28" t="str">
        <x:v>Planta Campinas</x:v>
      </x:c>
      <x:c r="D243" s="28" t="str">
        <x:v>Linha 4 - Embalagem</x:v>
      </x:c>
      <x:c r="E243" s="28" t="str">
        <x:v>EQ-4-01</x:v>
      </x:c>
      <x:c r="F243" s="28" t="str">
        <x:v>Operacional</x:v>
      </x:c>
      <x:c r="G243" s="32" t="n">
        <x:v>7.77</x:v>
      </x:c>
      <x:c r="H243" s="28" t="str">
        <x:v>Falta de material</x:v>
      </x:c>
      <x:c r="I243" s="28" t="str">
        <x:v>Sim</x:v>
      </x:c>
    </x:row>
    <x:row r="244">
      <x:c r="A244" s="34" t="n">
        <x:v>45397</x:v>
      </x:c>
      <x:c r="B244" s="28" t="str">
        <x:v>Grupo Industrial S.A.</x:v>
      </x:c>
      <x:c r="C244" s="28" t="str">
        <x:v>Planta Campinas</x:v>
      </x:c>
      <x:c r="D244" s="28" t="str">
        <x:v>Linha 4 - Embalagem</x:v>
      </x:c>
      <x:c r="E244" s="28" t="str">
        <x:v>EQ-4-02</x:v>
      </x:c>
      <x:c r="F244" s="28" t="str">
        <x:v>Operacional</x:v>
      </x:c>
      <x:c r="G244" s="32" t="n">
        <x:v>6.71</x:v>
      </x:c>
      <x:c r="H244" s="28" t="str">
        <x:v>Falta de material</x:v>
      </x:c>
      <x:c r="I244" s="28" t="str">
        <x:v>Sim</x:v>
      </x:c>
    </x:row>
    <x:row r="245">
      <x:c r="A245" s="34" t="n">
        <x:v>45397</x:v>
      </x:c>
      <x:c r="B245" s="28" t="str">
        <x:v>Grupo Industrial S.A.</x:v>
      </x:c>
      <x:c r="C245" s="28" t="str">
        <x:v>Planta Campinas</x:v>
      </x:c>
      <x:c r="D245" s="28" t="str">
        <x:v>Linha 4 - Embalagem</x:v>
      </x:c>
      <x:c r="E245" s="28" t="str">
        <x:v>EQ-4-03</x:v>
      </x:c>
      <x:c r="F245" s="28" t="str">
        <x:v>Corretiva</x:v>
      </x:c>
      <x:c r="G245" s="32" t="n">
        <x:v>7.13</x:v>
      </x:c>
      <x:c r="H245" s="28" t="str">
        <x:v>Quebras</x:v>
      </x:c>
      <x:c r="I245" s="28" t="str">
        <x:v>Sim</x:v>
      </x:c>
    </x:row>
    <x:row r="246">
      <x:c r="A246" s="34" t="n">
        <x:v>45397</x:v>
      </x:c>
      <x:c r="B246" s="28" t="str">
        <x:v>Grupo Industrial S.A.</x:v>
      </x:c>
      <x:c r="C246" s="28" t="str">
        <x:v>Planta Curitiba</x:v>
      </x:c>
      <x:c r="D246" s="28" t="str">
        <x:v>Linha 5 - Usinagem</x:v>
      </x:c>
      <x:c r="E246" s="28" t="str">
        <x:v>EQ-5-01</x:v>
      </x:c>
      <x:c r="F246" s="28" t="str">
        <x:v>Operacional</x:v>
      </x:c>
      <x:c r="G246" s="32" t="n">
        <x:v>5.12</x:v>
      </x:c>
      <x:c r="H246" s="28" t="str">
        <x:v>Troca de ferramenta</x:v>
      </x:c>
      <x:c r="I246" s="28" t="str">
        <x:v>Não</x:v>
      </x:c>
    </x:row>
    <x:row r="247">
      <x:c r="A247" s="34" t="n">
        <x:v>45397</x:v>
      </x:c>
      <x:c r="B247" s="28" t="str">
        <x:v>Grupo Industrial S.A.</x:v>
      </x:c>
      <x:c r="C247" s="28" t="str">
        <x:v>Planta Curitiba</x:v>
      </x:c>
      <x:c r="D247" s="28" t="str">
        <x:v>Linha 5 - Usinagem</x:v>
      </x:c>
      <x:c r="E247" s="28" t="str">
        <x:v>EQ-5-02</x:v>
      </x:c>
      <x:c r="F247" s="28" t="str">
        <x:v>Corretiva</x:v>
      </x:c>
      <x:c r="G247" s="32" t="n">
        <x:v>12.25</x:v>
      </x:c>
      <x:c r="H247" s="28" t="str">
        <x:v>Microparadas</x:v>
      </x:c>
      <x:c r="I247" s="28" t="str">
        <x:v>Não</x:v>
      </x:c>
    </x:row>
    <x:row r="248">
      <x:c r="A248" s="34" t="n">
        <x:v>45397</x:v>
      </x:c>
      <x:c r="B248" s="28" t="str">
        <x:v>Grupo Industrial S.A.</x:v>
      </x:c>
      <x:c r="C248" s="28" t="str">
        <x:v>Planta Curitiba</x:v>
      </x:c>
      <x:c r="D248" s="28" t="str">
        <x:v>Linha 6 - Finalização</x:v>
      </x:c>
      <x:c r="E248" s="28" t="str">
        <x:v>EQ-6-01</x:v>
      </x:c>
      <x:c r="F248" s="28" t="str">
        <x:v>Corretiva</x:v>
      </x:c>
      <x:c r="G248" s="32" t="n">
        <x:v>10.94</x:v>
      </x:c>
      <x:c r="H248" s="28" t="str">
        <x:v>Quebras</x:v>
      </x:c>
      <x:c r="I248" s="28" t="str">
        <x:v>Sim</x:v>
      </x:c>
    </x:row>
    <x:row r="249">
      <x:c r="A249" s="34" t="n">
        <x:v>45397</x:v>
      </x:c>
      <x:c r="B249" s="28" t="str">
        <x:v>Grupo Industrial S.A.</x:v>
      </x:c>
      <x:c r="C249" s="28" t="str">
        <x:v>Planta Curitiba</x:v>
      </x:c>
      <x:c r="D249" s="28" t="str">
        <x:v>Linha 6 - Finalização</x:v>
      </x:c>
      <x:c r="E249" s="28" t="str">
        <x:v>EQ-6-02</x:v>
      </x:c>
      <x:c r="F249" s="28" t="str">
        <x:v>Corretiva</x:v>
      </x:c>
      <x:c r="G249" s="32" t="n">
        <x:v>4.49</x:v>
      </x:c>
      <x:c r="H249" s="28" t="str">
        <x:v>Quebras</x:v>
      </x:c>
      <x:c r="I249" s="28" t="str">
        <x:v>Sim</x:v>
      </x:c>
    </x:row>
    <x:row r="250">
      <x:c r="A250" s="34" t="n">
        <x:v>45397</x:v>
      </x:c>
      <x:c r="B250" s="28" t="str">
        <x:v>Grupo Industrial S.A.</x:v>
      </x:c>
      <x:c r="C250" s="28" t="str">
        <x:v>Planta Curitiba</x:v>
      </x:c>
      <x:c r="D250" s="28" t="str">
        <x:v>Linha 6 - Finalização</x:v>
      </x:c>
      <x:c r="E250" s="28" t="str">
        <x:v>EQ-6-03</x:v>
      </x:c>
      <x:c r="F250" s="28" t="str">
        <x:v>Corretiva</x:v>
      </x:c>
      <x:c r="G250" s="32" t="n">
        <x:v>5.64</x:v>
      </x:c>
      <x:c r="H250" s="28" t="str">
        <x:v>Microparadas</x:v>
      </x:c>
      <x:c r="I250" s="28" t="str">
        <x:v>Não</x:v>
      </x:c>
    </x:row>
    <x:row r="251">
      <x:c r="A251" s="34" t="n">
        <x:v>45404</x:v>
      </x:c>
      <x:c r="B251" s="28" t="str">
        <x:v>Grupo Industrial S.A.</x:v>
      </x:c>
      <x:c r="C251" s="28" t="str">
        <x:v>Planta São Paulo</x:v>
      </x:c>
      <x:c r="D251" s="28" t="str">
        <x:v>Linha 1 - Corte</x:v>
      </x:c>
      <x:c r="E251" s="28" t="str">
        <x:v>EQ-1-01</x:v>
      </x:c>
      <x:c r="F251" s="28" t="str">
        <x:v>Corretiva</x:v>
      </x:c>
      <x:c r="G251" s="32" t="n">
        <x:v>4.75</x:v>
      </x:c>
      <x:c r="H251" s="28" t="str">
        <x:v>Microparadas</x:v>
      </x:c>
      <x:c r="I251" s="28" t="str">
        <x:v>Não</x:v>
      </x:c>
    </x:row>
    <x:row r="252">
      <x:c r="A252" s="34" t="n">
        <x:v>45404</x:v>
      </x:c>
      <x:c r="B252" s="28" t="str">
        <x:v>Grupo Industrial S.A.</x:v>
      </x:c>
      <x:c r="C252" s="28" t="str">
        <x:v>Planta São Paulo</x:v>
      </x:c>
      <x:c r="D252" s="28" t="str">
        <x:v>Linha 1 - Corte</x:v>
      </x:c>
      <x:c r="E252" s="28" t="str">
        <x:v>EQ-1-02</x:v>
      </x:c>
      <x:c r="F252" s="28" t="str">
        <x:v>Operacional</x:v>
      </x:c>
      <x:c r="G252" s="32" t="n">
        <x:v>7.64</x:v>
      </x:c>
      <x:c r="H252" s="28" t="str">
        <x:v>Setup</x:v>
      </x:c>
      <x:c r="I252" s="28" t="str">
        <x:v>Não</x:v>
      </x:c>
    </x:row>
    <x:row r="253">
      <x:c r="A253" s="34" t="n">
        <x:v>45404</x:v>
      </x:c>
      <x:c r="B253" s="28" t="str">
        <x:v>Grupo Industrial S.A.</x:v>
      </x:c>
      <x:c r="C253" s="28" t="str">
        <x:v>Planta São Paulo</x:v>
      </x:c>
      <x:c r="D253" s="28" t="str">
        <x:v>Linha 2 - Montagem</x:v>
      </x:c>
      <x:c r="E253" s="28" t="str">
        <x:v>EQ-2-01</x:v>
      </x:c>
      <x:c r="F253" s="28" t="str">
        <x:v>Operacional</x:v>
      </x:c>
      <x:c r="G253" s="32" t="n">
        <x:v>6.15</x:v>
      </x:c>
      <x:c r="H253" s="28" t="str">
        <x:v>Setup</x:v>
      </x:c>
      <x:c r="I253" s="28" t="str">
        <x:v>Não</x:v>
      </x:c>
    </x:row>
    <x:row r="254">
      <x:c r="A254" s="34" t="n">
        <x:v>45404</x:v>
      </x:c>
      <x:c r="B254" s="28" t="str">
        <x:v>Grupo Industrial S.A.</x:v>
      </x:c>
      <x:c r="C254" s="28" t="str">
        <x:v>Planta São Paulo</x:v>
      </x:c>
      <x:c r="D254" s="28" t="str">
        <x:v>Linha 2 - Montagem</x:v>
      </x:c>
      <x:c r="E254" s="28" t="str">
        <x:v>EQ-2-02</x:v>
      </x:c>
      <x:c r="F254" s="28" t="str">
        <x:v>Corretiva</x:v>
      </x:c>
      <x:c r="G254" s="32" t="n">
        <x:v>11.13</x:v>
      </x:c>
      <x:c r="H254" s="28" t="str">
        <x:v>Quebras</x:v>
      </x:c>
      <x:c r="I254" s="28" t="str">
        <x:v>Sim</x:v>
      </x:c>
    </x:row>
    <x:row r="255">
      <x:c r="A255" s="34" t="n">
        <x:v>45404</x:v>
      </x:c>
      <x:c r="B255" s="28" t="str">
        <x:v>Grupo Industrial S.A.</x:v>
      </x:c>
      <x:c r="C255" s="28" t="str">
        <x:v>Planta Campinas</x:v>
      </x:c>
      <x:c r="D255" s="28" t="str">
        <x:v>Linha 3 - Extrusão</x:v>
      </x:c>
      <x:c r="E255" s="28" t="str">
        <x:v>EQ-3-01</x:v>
      </x:c>
      <x:c r="F255" s="28" t="str">
        <x:v>Corretiva</x:v>
      </x:c>
      <x:c r="G255" s="32" t="n">
        <x:v>9.71</x:v>
      </x:c>
      <x:c r="H255" s="28" t="str">
        <x:v>Ajustes</x:v>
      </x:c>
      <x:c r="I255" s="28" t="str">
        <x:v>Não</x:v>
      </x:c>
    </x:row>
    <x:row r="256">
      <x:c r="A256" s="34" t="n">
        <x:v>45404</x:v>
      </x:c>
      <x:c r="B256" s="28" t="str">
        <x:v>Grupo Industrial S.A.</x:v>
      </x:c>
      <x:c r="C256" s="28" t="str">
        <x:v>Planta Campinas</x:v>
      </x:c>
      <x:c r="D256" s="28" t="str">
        <x:v>Linha 3 - Extrusão</x:v>
      </x:c>
      <x:c r="E256" s="28" t="str">
        <x:v>EQ-3-02</x:v>
      </x:c>
      <x:c r="F256" s="28" t="str">
        <x:v>Corretiva</x:v>
      </x:c>
      <x:c r="G256" s="32" t="n">
        <x:v>6.92</x:v>
      </x:c>
      <x:c r="H256" s="28" t="str">
        <x:v>Ajustes</x:v>
      </x:c>
      <x:c r="I256" s="28" t="str">
        <x:v>Não</x:v>
      </x:c>
    </x:row>
    <x:row r="257">
      <x:c r="A257" s="34" t="n">
        <x:v>45404</x:v>
      </x:c>
      <x:c r="B257" s="28" t="str">
        <x:v>Grupo Industrial S.A.</x:v>
      </x:c>
      <x:c r="C257" s="28" t="str">
        <x:v>Planta Campinas</x:v>
      </x:c>
      <x:c r="D257" s="28" t="str">
        <x:v>Linha 3 - Extrusão</x:v>
      </x:c>
      <x:c r="E257" s="28" t="str">
        <x:v>EQ-3-03</x:v>
      </x:c>
      <x:c r="F257" s="28" t="str">
        <x:v>Corretiva</x:v>
      </x:c>
      <x:c r="G257" s="32" t="n">
        <x:v>9.74</x:v>
      </x:c>
      <x:c r="H257" s="28" t="str">
        <x:v>Quebras</x:v>
      </x:c>
      <x:c r="I257" s="28" t="str">
        <x:v>Sim</x:v>
      </x:c>
    </x:row>
    <x:row r="258">
      <x:c r="A258" s="34" t="n">
        <x:v>45404</x:v>
      </x:c>
      <x:c r="B258" s="28" t="str">
        <x:v>Grupo Industrial S.A.</x:v>
      </x:c>
      <x:c r="C258" s="28" t="str">
        <x:v>Planta Campinas</x:v>
      </x:c>
      <x:c r="D258" s="28" t="str">
        <x:v>Linha 4 - Embalagem</x:v>
      </x:c>
      <x:c r="E258" s="28" t="str">
        <x:v>EQ-4-01</x:v>
      </x:c>
      <x:c r="F258" s="28" t="str">
        <x:v>Operacional</x:v>
      </x:c>
      <x:c r="G258" s="32" t="n">
        <x:v>10.23</x:v>
      </x:c>
      <x:c r="H258" s="28" t="str">
        <x:v>Falta de material</x:v>
      </x:c>
      <x:c r="I258" s="28" t="str">
        <x:v>Sim</x:v>
      </x:c>
    </x:row>
    <x:row r="259">
      <x:c r="A259" s="34" t="n">
        <x:v>45404</x:v>
      </x:c>
      <x:c r="B259" s="28" t="str">
        <x:v>Grupo Industrial S.A.</x:v>
      </x:c>
      <x:c r="C259" s="28" t="str">
        <x:v>Planta Campinas</x:v>
      </x:c>
      <x:c r="D259" s="28" t="str">
        <x:v>Linha 4 - Embalagem</x:v>
      </x:c>
      <x:c r="E259" s="28" t="str">
        <x:v>EQ-4-02</x:v>
      </x:c>
      <x:c r="F259" s="28" t="str">
        <x:v>Operacional</x:v>
      </x:c>
      <x:c r="G259" s="32" t="n">
        <x:v>4.44</x:v>
      </x:c>
      <x:c r="H259" s="28" t="str">
        <x:v>Setup</x:v>
      </x:c>
      <x:c r="I259" s="28" t="str">
        <x:v>Não</x:v>
      </x:c>
    </x:row>
    <x:row r="260">
      <x:c r="A260" s="34" t="n">
        <x:v>45404</x:v>
      </x:c>
      <x:c r="B260" s="28" t="str">
        <x:v>Grupo Industrial S.A.</x:v>
      </x:c>
      <x:c r="C260" s="28" t="str">
        <x:v>Planta Campinas</x:v>
      </x:c>
      <x:c r="D260" s="28" t="str">
        <x:v>Linha 4 - Embalagem</x:v>
      </x:c>
      <x:c r="E260" s="28" t="str">
        <x:v>EQ-4-03</x:v>
      </x:c>
      <x:c r="F260" s="28" t="str">
        <x:v>Operacional</x:v>
      </x:c>
      <x:c r="G260" s="32" t="n">
        <x:v>8.67</x:v>
      </x:c>
      <x:c r="H260" s="28" t="str">
        <x:v>Falta de material</x:v>
      </x:c>
      <x:c r="I260" s="28" t="str">
        <x:v>Sim</x:v>
      </x:c>
    </x:row>
    <x:row r="261">
      <x:c r="A261" s="34" t="n">
        <x:v>45404</x:v>
      </x:c>
      <x:c r="B261" s="28" t="str">
        <x:v>Grupo Industrial S.A.</x:v>
      </x:c>
      <x:c r="C261" s="28" t="str">
        <x:v>Planta Curitiba</x:v>
      </x:c>
      <x:c r="D261" s="28" t="str">
        <x:v>Linha 5 - Usinagem</x:v>
      </x:c>
      <x:c r="E261" s="28" t="str">
        <x:v>EQ-5-01</x:v>
      </x:c>
      <x:c r="F261" s="28" t="str">
        <x:v>Corretiva</x:v>
      </x:c>
      <x:c r="G261" s="32" t="n">
        <x:v>6.62</x:v>
      </x:c>
      <x:c r="H261" s="28" t="str">
        <x:v>Quebras</x:v>
      </x:c>
      <x:c r="I261" s="28" t="str">
        <x:v>Sim</x:v>
      </x:c>
    </x:row>
    <x:row r="262">
      <x:c r="A262" s="34" t="n">
        <x:v>45404</x:v>
      </x:c>
      <x:c r="B262" s="28" t="str">
        <x:v>Grupo Industrial S.A.</x:v>
      </x:c>
      <x:c r="C262" s="28" t="str">
        <x:v>Planta Curitiba</x:v>
      </x:c>
      <x:c r="D262" s="28" t="str">
        <x:v>Linha 5 - Usinagem</x:v>
      </x:c>
      <x:c r="E262" s="28" t="str">
        <x:v>EQ-5-02</x:v>
      </x:c>
      <x:c r="F262" s="28" t="str">
        <x:v>Operacional</x:v>
      </x:c>
      <x:c r="G262" s="32" t="n">
        <x:v>6.17</x:v>
      </x:c>
      <x:c r="H262" s="28" t="str">
        <x:v>Troca de ferramenta</x:v>
      </x:c>
      <x:c r="I262" s="28" t="str">
        <x:v>Não</x:v>
      </x:c>
    </x:row>
    <x:row r="263">
      <x:c r="A263" s="34" t="n">
        <x:v>45404</x:v>
      </x:c>
      <x:c r="B263" s="28" t="str">
        <x:v>Grupo Industrial S.A.</x:v>
      </x:c>
      <x:c r="C263" s="28" t="str">
        <x:v>Planta Curitiba</x:v>
      </x:c>
      <x:c r="D263" s="28" t="str">
        <x:v>Linha 5 - Usinagem</x:v>
      </x:c>
      <x:c r="E263" s="28" t="str">
        <x:v>EQ-5-03</x:v>
      </x:c>
      <x:c r="F263" s="28" t="str">
        <x:v>Corretiva</x:v>
      </x:c>
      <x:c r="G263" s="32" t="n">
        <x:v>6.4</x:v>
      </x:c>
      <x:c r="H263" s="28" t="str">
        <x:v>Quebras</x:v>
      </x:c>
      <x:c r="I263" s="28" t="str">
        <x:v>Sim</x:v>
      </x:c>
    </x:row>
    <x:row r="264">
      <x:c r="A264" s="34" t="n">
        <x:v>45404</x:v>
      </x:c>
      <x:c r="B264" s="28" t="str">
        <x:v>Grupo Industrial S.A.</x:v>
      </x:c>
      <x:c r="C264" s="28" t="str">
        <x:v>Planta Curitiba</x:v>
      </x:c>
      <x:c r="D264" s="28" t="str">
        <x:v>Linha 6 - Finalização</x:v>
      </x:c>
      <x:c r="E264" s="28" t="str">
        <x:v>EQ-6-01</x:v>
      </x:c>
      <x:c r="F264" s="28" t="str">
        <x:v>Corretiva</x:v>
      </x:c>
      <x:c r="G264" s="32" t="n">
        <x:v>7.22</x:v>
      </x:c>
      <x:c r="H264" s="28" t="str">
        <x:v>Quebras</x:v>
      </x:c>
      <x:c r="I264" s="28" t="str">
        <x:v>Sim</x:v>
      </x:c>
    </x:row>
    <x:row r="265">
      <x:c r="A265" s="34" t="n">
        <x:v>45404</x:v>
      </x:c>
      <x:c r="B265" s="28" t="str">
        <x:v>Grupo Industrial S.A.</x:v>
      </x:c>
      <x:c r="C265" s="28" t="str">
        <x:v>Planta Curitiba</x:v>
      </x:c>
      <x:c r="D265" s="28" t="str">
        <x:v>Linha 6 - Finalização</x:v>
      </x:c>
      <x:c r="E265" s="28" t="str">
        <x:v>EQ-6-02</x:v>
      </x:c>
      <x:c r="F265" s="28" t="str">
        <x:v>Operacional</x:v>
      </x:c>
      <x:c r="G265" s="32" t="n">
        <x:v>4.42</x:v>
      </x:c>
      <x:c r="H265" s="28" t="str">
        <x:v>Troca de ferramenta</x:v>
      </x:c>
      <x:c r="I265" s="28" t="str">
        <x:v>Não</x:v>
      </x:c>
    </x:row>
    <x:row r="266">
      <x:c r="A266" s="34" t="n">
        <x:v>45404</x:v>
      </x:c>
      <x:c r="B266" s="28" t="str">
        <x:v>Grupo Industrial S.A.</x:v>
      </x:c>
      <x:c r="C266" s="28" t="str">
        <x:v>Planta Curitiba</x:v>
      </x:c>
      <x:c r="D266" s="28" t="str">
        <x:v>Linha 6 - Finalização</x:v>
      </x:c>
      <x:c r="E266" s="28" t="str">
        <x:v>EQ-6-03</x:v>
      </x:c>
      <x:c r="F266" s="28" t="str">
        <x:v>Operacional</x:v>
      </x:c>
      <x:c r="G266" s="32" t="n">
        <x:v>6.62</x:v>
      </x:c>
      <x:c r="H266" s="28" t="str">
        <x:v>Setup</x:v>
      </x:c>
      <x:c r="I266" s="28" t="str">
        <x:v>Não</x:v>
      </x:c>
    </x:row>
    <x:row r="267">
      <x:c r="A267" s="34" t="n">
        <x:v>45411</x:v>
      </x:c>
      <x:c r="B267" s="28" t="str">
        <x:v>Grupo Industrial S.A.</x:v>
      </x:c>
      <x:c r="C267" s="28" t="str">
        <x:v>Planta São Paulo</x:v>
      </x:c>
      <x:c r="D267" s="28" t="str">
        <x:v>Linha 1 - Corte</x:v>
      </x:c>
      <x:c r="E267" s="28" t="str">
        <x:v>EQ-1-01</x:v>
      </x:c>
      <x:c r="F267" s="28" t="str">
        <x:v>Operacional</x:v>
      </x:c>
      <x:c r="G267" s="32" t="n">
        <x:v>3.94</x:v>
      </x:c>
      <x:c r="H267" s="28" t="str">
        <x:v>Setup</x:v>
      </x:c>
      <x:c r="I267" s="28" t="str">
        <x:v>Não</x:v>
      </x:c>
    </x:row>
    <x:row r="268">
      <x:c r="A268" s="34" t="n">
        <x:v>45411</x:v>
      </x:c>
      <x:c r="B268" s="28" t="str">
        <x:v>Grupo Industrial S.A.</x:v>
      </x:c>
      <x:c r="C268" s="28" t="str">
        <x:v>Planta São Paulo</x:v>
      </x:c>
      <x:c r="D268" s="28" t="str">
        <x:v>Linha 1 - Corte</x:v>
      </x:c>
      <x:c r="E268" s="28" t="str">
        <x:v>EQ-1-02</x:v>
      </x:c>
      <x:c r="F268" s="28" t="str">
        <x:v>Corretiva</x:v>
      </x:c>
      <x:c r="G268" s="32" t="n">
        <x:v>9.28</x:v>
      </x:c>
      <x:c r="H268" s="28" t="str">
        <x:v>Quebras</x:v>
      </x:c>
      <x:c r="I268" s="28" t="str">
        <x:v>Sim</x:v>
      </x:c>
    </x:row>
    <x:row r="269">
      <x:c r="A269" s="34" t="n">
        <x:v>45411</x:v>
      </x:c>
      <x:c r="B269" s="28" t="str">
        <x:v>Grupo Industrial S.A.</x:v>
      </x:c>
      <x:c r="C269" s="28" t="str">
        <x:v>Planta São Paulo</x:v>
      </x:c>
      <x:c r="D269" s="28" t="str">
        <x:v>Linha 2 - Montagem</x:v>
      </x:c>
      <x:c r="E269" s="28" t="str">
        <x:v>EQ-2-01</x:v>
      </x:c>
      <x:c r="F269" s="28" t="str">
        <x:v>Corretiva</x:v>
      </x:c>
      <x:c r="G269" s="32" t="n">
        <x:v>8.15</x:v>
      </x:c>
      <x:c r="H269" s="28" t="str">
        <x:v>Microparadas</x:v>
      </x:c>
      <x:c r="I269" s="28" t="str">
        <x:v>Não</x:v>
      </x:c>
    </x:row>
    <x:row r="270">
      <x:c r="A270" s="34" t="n">
        <x:v>45411</x:v>
      </x:c>
      <x:c r="B270" s="28" t="str">
        <x:v>Grupo Industrial S.A.</x:v>
      </x:c>
      <x:c r="C270" s="28" t="str">
        <x:v>Planta São Paulo</x:v>
      </x:c>
      <x:c r="D270" s="28" t="str">
        <x:v>Linha 2 - Montagem</x:v>
      </x:c>
      <x:c r="E270" s="28" t="str">
        <x:v>EQ-2-02</x:v>
      </x:c>
      <x:c r="F270" s="28" t="str">
        <x:v>Corretiva</x:v>
      </x:c>
      <x:c r="G270" s="32" t="n">
        <x:v>8.96</x:v>
      </x:c>
      <x:c r="H270" s="28" t="str">
        <x:v>Microparadas</x:v>
      </x:c>
      <x:c r="I270" s="28" t="str">
        <x:v>Não</x:v>
      </x:c>
    </x:row>
    <x:row r="271">
      <x:c r="A271" s="34" t="n">
        <x:v>45411</x:v>
      </x:c>
      <x:c r="B271" s="28" t="str">
        <x:v>Grupo Industrial S.A.</x:v>
      </x:c>
      <x:c r="C271" s="28" t="str">
        <x:v>Planta Campinas</x:v>
      </x:c>
      <x:c r="D271" s="28" t="str">
        <x:v>Linha 3 - Extrusão</x:v>
      </x:c>
      <x:c r="E271" s="28" t="str">
        <x:v>EQ-3-01</x:v>
      </x:c>
      <x:c r="F271" s="28" t="str">
        <x:v>Operacional</x:v>
      </x:c>
      <x:c r="G271" s="32" t="n">
        <x:v>9.96</x:v>
      </x:c>
      <x:c r="H271" s="28" t="str">
        <x:v>Falta de material</x:v>
      </x:c>
      <x:c r="I271" s="28" t="str">
        <x:v>Sim</x:v>
      </x:c>
    </x:row>
    <x:row r="272">
      <x:c r="A272" s="34" t="n">
        <x:v>45411</x:v>
      </x:c>
      <x:c r="B272" s="28" t="str">
        <x:v>Grupo Industrial S.A.</x:v>
      </x:c>
      <x:c r="C272" s="28" t="str">
        <x:v>Planta Campinas</x:v>
      </x:c>
      <x:c r="D272" s="28" t="str">
        <x:v>Linha 3 - Extrusão</x:v>
      </x:c>
      <x:c r="E272" s="28" t="str">
        <x:v>EQ-3-02</x:v>
      </x:c>
      <x:c r="F272" s="28" t="str">
        <x:v>Operacional</x:v>
      </x:c>
      <x:c r="G272" s="32" t="n">
        <x:v>6.59</x:v>
      </x:c>
      <x:c r="H272" s="28" t="str">
        <x:v>Falta de material</x:v>
      </x:c>
      <x:c r="I272" s="28" t="str">
        <x:v>Sim</x:v>
      </x:c>
    </x:row>
    <x:row r="273">
      <x:c r="A273" s="34" t="n">
        <x:v>45411</x:v>
      </x:c>
      <x:c r="B273" s="28" t="str">
        <x:v>Grupo Industrial S.A.</x:v>
      </x:c>
      <x:c r="C273" s="28" t="str">
        <x:v>Planta Campinas</x:v>
      </x:c>
      <x:c r="D273" s="28" t="str">
        <x:v>Linha 3 - Extrusão</x:v>
      </x:c>
      <x:c r="E273" s="28" t="str">
        <x:v>EQ-3-03</x:v>
      </x:c>
      <x:c r="F273" s="28" t="str">
        <x:v>Operacional</x:v>
      </x:c>
      <x:c r="G273" s="32" t="n">
        <x:v>7.04</x:v>
      </x:c>
      <x:c r="H273" s="28" t="str">
        <x:v>Setup</x:v>
      </x:c>
      <x:c r="I273" s="28" t="str">
        <x:v>Não</x:v>
      </x:c>
    </x:row>
    <x:row r="274">
      <x:c r="A274" s="34" t="n">
        <x:v>45411</x:v>
      </x:c>
      <x:c r="B274" s="28" t="str">
        <x:v>Grupo Industrial S.A.</x:v>
      </x:c>
      <x:c r="C274" s="28" t="str">
        <x:v>Planta Campinas</x:v>
      </x:c>
      <x:c r="D274" s="28" t="str">
        <x:v>Linha 4 - Embalagem</x:v>
      </x:c>
      <x:c r="E274" s="28" t="str">
        <x:v>EQ-4-01</x:v>
      </x:c>
      <x:c r="F274" s="28" t="str">
        <x:v>Operacional</x:v>
      </x:c>
      <x:c r="G274" s="32" t="n">
        <x:v>11.2</x:v>
      </x:c>
      <x:c r="H274" s="28" t="str">
        <x:v>Setup</x:v>
      </x:c>
      <x:c r="I274" s="28" t="str">
        <x:v>Não</x:v>
      </x:c>
    </x:row>
    <x:row r="275">
      <x:c r="A275" s="34" t="n">
        <x:v>45411</x:v>
      </x:c>
      <x:c r="B275" s="28" t="str">
        <x:v>Grupo Industrial S.A.</x:v>
      </x:c>
      <x:c r="C275" s="28" t="str">
        <x:v>Planta Campinas</x:v>
      </x:c>
      <x:c r="D275" s="28" t="str">
        <x:v>Linha 4 - Embalagem</x:v>
      </x:c>
      <x:c r="E275" s="28" t="str">
        <x:v>EQ-4-02</x:v>
      </x:c>
      <x:c r="F275" s="28" t="str">
        <x:v>Operacional</x:v>
      </x:c>
      <x:c r="G275" s="32" t="n">
        <x:v>7.07</x:v>
      </x:c>
      <x:c r="H275" s="28" t="str">
        <x:v>Setup</x:v>
      </x:c>
      <x:c r="I275" s="28" t="str">
        <x:v>Não</x:v>
      </x:c>
    </x:row>
    <x:row r="276">
      <x:c r="A276" s="34" t="n">
        <x:v>45411</x:v>
      </x:c>
      <x:c r="B276" s="28" t="str">
        <x:v>Grupo Industrial S.A.</x:v>
      </x:c>
      <x:c r="C276" s="28" t="str">
        <x:v>Planta Campinas</x:v>
      </x:c>
      <x:c r="D276" s="28" t="str">
        <x:v>Linha 4 - Embalagem</x:v>
      </x:c>
      <x:c r="E276" s="28" t="str">
        <x:v>EQ-4-03</x:v>
      </x:c>
      <x:c r="F276" s="28" t="str">
        <x:v>Corretiva</x:v>
      </x:c>
      <x:c r="G276" s="32" t="n">
        <x:v>7.69</x:v>
      </x:c>
      <x:c r="H276" s="28" t="str">
        <x:v>Ajustes</x:v>
      </x:c>
      <x:c r="I276" s="28" t="str">
        <x:v>Não</x:v>
      </x:c>
    </x:row>
    <x:row r="277">
      <x:c r="A277" s="34" t="n">
        <x:v>45411</x:v>
      </x:c>
      <x:c r="B277" s="28" t="str">
        <x:v>Grupo Industrial S.A.</x:v>
      </x:c>
      <x:c r="C277" s="28" t="str">
        <x:v>Planta Curitiba</x:v>
      </x:c>
      <x:c r="D277" s="28" t="str">
        <x:v>Linha 5 - Usinagem</x:v>
      </x:c>
      <x:c r="E277" s="28" t="str">
        <x:v>EQ-5-01</x:v>
      </x:c>
      <x:c r="F277" s="28" t="str">
        <x:v>Corretiva</x:v>
      </x:c>
      <x:c r="G277" s="32" t="n">
        <x:v>8.46</x:v>
      </x:c>
      <x:c r="H277" s="28" t="str">
        <x:v>Microparadas</x:v>
      </x:c>
      <x:c r="I277" s="28" t="str">
        <x:v>Não</x:v>
      </x:c>
    </x:row>
    <x:row r="278">
      <x:c r="A278" s="34" t="n">
        <x:v>45411</x:v>
      </x:c>
      <x:c r="B278" s="28" t="str">
        <x:v>Grupo Industrial S.A.</x:v>
      </x:c>
      <x:c r="C278" s="28" t="str">
        <x:v>Planta Curitiba</x:v>
      </x:c>
      <x:c r="D278" s="28" t="str">
        <x:v>Linha 5 - Usinagem</x:v>
      </x:c>
      <x:c r="E278" s="28" t="str">
        <x:v>EQ-5-02</x:v>
      </x:c>
      <x:c r="F278" s="28" t="str">
        <x:v>Operacional</x:v>
      </x:c>
      <x:c r="G278" s="32" t="n">
        <x:v>3.82</x:v>
      </x:c>
      <x:c r="H278" s="28" t="str">
        <x:v>Setup</x:v>
      </x:c>
      <x:c r="I278" s="28" t="str">
        <x:v>Não</x:v>
      </x:c>
    </x:row>
    <x:row r="279">
      <x:c r="A279" s="34" t="n">
        <x:v>45411</x:v>
      </x:c>
      <x:c r="B279" s="28" t="str">
        <x:v>Grupo Industrial S.A.</x:v>
      </x:c>
      <x:c r="C279" s="28" t="str">
        <x:v>Planta Curitiba</x:v>
      </x:c>
      <x:c r="D279" s="28" t="str">
        <x:v>Linha 5 - Usinagem</x:v>
      </x:c>
      <x:c r="E279" s="28" t="str">
        <x:v>EQ-5-03</x:v>
      </x:c>
      <x:c r="F279" s="28" t="str">
        <x:v>Corretiva</x:v>
      </x:c>
      <x:c r="G279" s="32" t="n">
        <x:v>8.56</x:v>
      </x:c>
      <x:c r="H279" s="28" t="str">
        <x:v>Quebras</x:v>
      </x:c>
      <x:c r="I279" s="28" t="str">
        <x:v>Sim</x:v>
      </x:c>
    </x:row>
    <x:row r="280">
      <x:c r="A280" s="34" t="n">
        <x:v>45411</x:v>
      </x:c>
      <x:c r="B280" s="28" t="str">
        <x:v>Grupo Industrial S.A.</x:v>
      </x:c>
      <x:c r="C280" s="28" t="str">
        <x:v>Planta Curitiba</x:v>
      </x:c>
      <x:c r="D280" s="28" t="str">
        <x:v>Linha 6 - Finalização</x:v>
      </x:c>
      <x:c r="E280" s="28" t="str">
        <x:v>EQ-6-01</x:v>
      </x:c>
      <x:c r="F280" s="28" t="str">
        <x:v>Corretiva</x:v>
      </x:c>
      <x:c r="G280" s="32" t="n">
        <x:v>8.08</x:v>
      </x:c>
      <x:c r="H280" s="28" t="str">
        <x:v>Microparadas</x:v>
      </x:c>
      <x:c r="I280" s="28" t="str">
        <x:v>Não</x:v>
      </x:c>
    </x:row>
    <x:row r="281">
      <x:c r="A281" s="34" t="n">
        <x:v>45411</x:v>
      </x:c>
      <x:c r="B281" s="28" t="str">
        <x:v>Grupo Industrial S.A.</x:v>
      </x:c>
      <x:c r="C281" s="28" t="str">
        <x:v>Planta Curitiba</x:v>
      </x:c>
      <x:c r="D281" s="28" t="str">
        <x:v>Linha 6 - Finalização</x:v>
      </x:c>
      <x:c r="E281" s="28" t="str">
        <x:v>EQ-6-02</x:v>
      </x:c>
      <x:c r="F281" s="28" t="str">
        <x:v>Operacional</x:v>
      </x:c>
      <x:c r="G281" s="32" t="n">
        <x:v>3.49</x:v>
      </x:c>
      <x:c r="H281" s="28" t="str">
        <x:v>Setup</x:v>
      </x:c>
      <x:c r="I281" s="28" t="str">
        <x:v>Não</x:v>
      </x:c>
    </x:row>
    <x:row r="282">
      <x:c r="A282" s="34" t="n">
        <x:v>45411</x:v>
      </x:c>
      <x:c r="B282" s="28" t="str">
        <x:v>Grupo Industrial S.A.</x:v>
      </x:c>
      <x:c r="C282" s="28" t="str">
        <x:v>Planta Curitiba</x:v>
      </x:c>
      <x:c r="D282" s="28" t="str">
        <x:v>Linha 6 - Finalização</x:v>
      </x:c>
      <x:c r="E282" s="28" t="str">
        <x:v>EQ-6-03</x:v>
      </x:c>
      <x:c r="F282" s="28" t="str">
        <x:v>Operacional</x:v>
      </x:c>
      <x:c r="G282" s="32" t="n">
        <x:v>7.15</x:v>
      </x:c>
      <x:c r="H282" s="28" t="str">
        <x:v>Setup</x:v>
      </x:c>
      <x:c r="I282" s="28" t="str">
        <x:v>Não</x:v>
      </x:c>
    </x:row>
    <x:row r="283">
      <x:c r="A283" s="34" t="n">
        <x:v>45418</x:v>
      </x:c>
      <x:c r="B283" s="28" t="str">
        <x:v>Grupo Industrial S.A.</x:v>
      </x:c>
      <x:c r="C283" s="28" t="str">
        <x:v>Planta São Paulo</x:v>
      </x:c>
      <x:c r="D283" s="28" t="str">
        <x:v>Linha 1 - Corte</x:v>
      </x:c>
      <x:c r="E283" s="28" t="str">
        <x:v>EQ-1-01</x:v>
      </x:c>
      <x:c r="F283" s="28" t="str">
        <x:v>Corretiva</x:v>
      </x:c>
      <x:c r="G283" s="32" t="n">
        <x:v>7.48</x:v>
      </x:c>
      <x:c r="H283" s="28" t="str">
        <x:v>Quebras</x:v>
      </x:c>
      <x:c r="I283" s="28" t="str">
        <x:v>Sim</x:v>
      </x:c>
    </x:row>
    <x:row r="284">
      <x:c r="A284" s="34" t="n">
        <x:v>45418</x:v>
      </x:c>
      <x:c r="B284" s="28" t="str">
        <x:v>Grupo Industrial S.A.</x:v>
      </x:c>
      <x:c r="C284" s="28" t="str">
        <x:v>Planta São Paulo</x:v>
      </x:c>
      <x:c r="D284" s="28" t="str">
        <x:v>Linha 1 - Corte</x:v>
      </x:c>
      <x:c r="E284" s="28" t="str">
        <x:v>EQ-1-02</x:v>
      </x:c>
      <x:c r="F284" s="28" t="str">
        <x:v>Corretiva</x:v>
      </x:c>
      <x:c r="G284" s="32" t="n">
        <x:v>8.35</x:v>
      </x:c>
      <x:c r="H284" s="28" t="str">
        <x:v>Microparadas</x:v>
      </x:c>
      <x:c r="I284" s="28" t="str">
        <x:v>Não</x:v>
      </x:c>
    </x:row>
    <x:row r="285">
      <x:c r="A285" s="34" t="n">
        <x:v>45418</x:v>
      </x:c>
      <x:c r="B285" s="28" t="str">
        <x:v>Grupo Industrial S.A.</x:v>
      </x:c>
      <x:c r="C285" s="28" t="str">
        <x:v>Planta São Paulo</x:v>
      </x:c>
      <x:c r="D285" s="28" t="str">
        <x:v>Linha 2 - Montagem</x:v>
      </x:c>
      <x:c r="E285" s="28" t="str">
        <x:v>EQ-2-01</x:v>
      </x:c>
      <x:c r="F285" s="28" t="str">
        <x:v>Operacional</x:v>
      </x:c>
      <x:c r="G285" s="32" t="n">
        <x:v>4.18</x:v>
      </x:c>
      <x:c r="H285" s="28" t="str">
        <x:v>Setup</x:v>
      </x:c>
      <x:c r="I285" s="28" t="str">
        <x:v>Não</x:v>
      </x:c>
    </x:row>
    <x:row r="286">
      <x:c r="A286" s="34" t="n">
        <x:v>45418</x:v>
      </x:c>
      <x:c r="B286" s="28" t="str">
        <x:v>Grupo Industrial S.A.</x:v>
      </x:c>
      <x:c r="C286" s="28" t="str">
        <x:v>Planta São Paulo</x:v>
      </x:c>
      <x:c r="D286" s="28" t="str">
        <x:v>Linha 2 - Montagem</x:v>
      </x:c>
      <x:c r="E286" s="28" t="str">
        <x:v>EQ-2-02</x:v>
      </x:c>
      <x:c r="F286" s="28" t="str">
        <x:v>Operacional</x:v>
      </x:c>
      <x:c r="G286" s="32" t="n">
        <x:v>8.6</x:v>
      </x:c>
      <x:c r="H286" s="28" t="str">
        <x:v>Setup</x:v>
      </x:c>
      <x:c r="I286" s="28" t="str">
        <x:v>Não</x:v>
      </x:c>
    </x:row>
    <x:row r="287">
      <x:c r="A287" s="34" t="n">
        <x:v>45418</x:v>
      </x:c>
      <x:c r="B287" s="28" t="str">
        <x:v>Grupo Industrial S.A.</x:v>
      </x:c>
      <x:c r="C287" s="28" t="str">
        <x:v>Planta Campinas</x:v>
      </x:c>
      <x:c r="D287" s="28" t="str">
        <x:v>Linha 3 - Extrusão</x:v>
      </x:c>
      <x:c r="E287" s="28" t="str">
        <x:v>EQ-3-01</x:v>
      </x:c>
      <x:c r="F287" s="28" t="str">
        <x:v>Corretiva</x:v>
      </x:c>
      <x:c r="G287" s="32" t="n">
        <x:v>8.69</x:v>
      </x:c>
      <x:c r="H287" s="28" t="str">
        <x:v>Quebras</x:v>
      </x:c>
      <x:c r="I287" s="28" t="str">
        <x:v>Sim</x:v>
      </x:c>
    </x:row>
    <x:row r="288">
      <x:c r="A288" s="34" t="n">
        <x:v>45418</x:v>
      </x:c>
      <x:c r="B288" s="28" t="str">
        <x:v>Grupo Industrial S.A.</x:v>
      </x:c>
      <x:c r="C288" s="28" t="str">
        <x:v>Planta Campinas</x:v>
      </x:c>
      <x:c r="D288" s="28" t="str">
        <x:v>Linha 3 - Extrusão</x:v>
      </x:c>
      <x:c r="E288" s="28" t="str">
        <x:v>EQ-3-02</x:v>
      </x:c>
      <x:c r="F288" s="28" t="str">
        <x:v>Corretiva</x:v>
      </x:c>
      <x:c r="G288" s="32" t="n">
        <x:v>4.86</x:v>
      </x:c>
      <x:c r="H288" s="28" t="str">
        <x:v>Ajustes</x:v>
      </x:c>
      <x:c r="I288" s="28" t="str">
        <x:v>Não</x:v>
      </x:c>
    </x:row>
    <x:row r="289">
      <x:c r="A289" s="34" t="n">
        <x:v>45418</x:v>
      </x:c>
      <x:c r="B289" s="28" t="str">
        <x:v>Grupo Industrial S.A.</x:v>
      </x:c>
      <x:c r="C289" s="28" t="str">
        <x:v>Planta Campinas</x:v>
      </x:c>
      <x:c r="D289" s="28" t="str">
        <x:v>Linha 3 - Extrusão</x:v>
      </x:c>
      <x:c r="E289" s="28" t="str">
        <x:v>EQ-3-03</x:v>
      </x:c>
      <x:c r="F289" s="28" t="str">
        <x:v>Corretiva</x:v>
      </x:c>
      <x:c r="G289" s="32" t="n">
        <x:v>9.07</x:v>
      </x:c>
      <x:c r="H289" s="28" t="str">
        <x:v>Ajustes</x:v>
      </x:c>
      <x:c r="I289" s="28" t="str">
        <x:v>Não</x:v>
      </x:c>
    </x:row>
    <x:row r="290">
      <x:c r="A290" s="34" t="n">
        <x:v>45418</x:v>
      </x:c>
      <x:c r="B290" s="28" t="str">
        <x:v>Grupo Industrial S.A.</x:v>
      </x:c>
      <x:c r="C290" s="28" t="str">
        <x:v>Planta Campinas</x:v>
      </x:c>
      <x:c r="D290" s="28" t="str">
        <x:v>Linha 4 - Embalagem</x:v>
      </x:c>
      <x:c r="E290" s="28" t="str">
        <x:v>EQ-4-01</x:v>
      </x:c>
      <x:c r="F290" s="28" t="str">
        <x:v>Operacional</x:v>
      </x:c>
      <x:c r="G290" s="32" t="n">
        <x:v>9.57</x:v>
      </x:c>
      <x:c r="H290" s="28" t="str">
        <x:v>Falta de material</x:v>
      </x:c>
      <x:c r="I290" s="28" t="str">
        <x:v>Sim</x:v>
      </x:c>
    </x:row>
    <x:row r="291">
      <x:c r="A291" s="34" t="n">
        <x:v>45418</x:v>
      </x:c>
      <x:c r="B291" s="28" t="str">
        <x:v>Grupo Industrial S.A.</x:v>
      </x:c>
      <x:c r="C291" s="28" t="str">
        <x:v>Planta Campinas</x:v>
      </x:c>
      <x:c r="D291" s="28" t="str">
        <x:v>Linha 4 - Embalagem</x:v>
      </x:c>
      <x:c r="E291" s="28" t="str">
        <x:v>EQ-4-02</x:v>
      </x:c>
      <x:c r="F291" s="28" t="str">
        <x:v>Operacional</x:v>
      </x:c>
      <x:c r="G291" s="32" t="n">
        <x:v>4.94</x:v>
      </x:c>
      <x:c r="H291" s="28" t="str">
        <x:v>Setup</x:v>
      </x:c>
      <x:c r="I291" s="28" t="str">
        <x:v>Não</x:v>
      </x:c>
    </x:row>
    <x:row r="292">
      <x:c r="A292" s="34" t="n">
        <x:v>45418</x:v>
      </x:c>
      <x:c r="B292" s="28" t="str">
        <x:v>Grupo Industrial S.A.</x:v>
      </x:c>
      <x:c r="C292" s="28" t="str">
        <x:v>Planta Campinas</x:v>
      </x:c>
      <x:c r="D292" s="28" t="str">
        <x:v>Linha 4 - Embalagem</x:v>
      </x:c>
      <x:c r="E292" s="28" t="str">
        <x:v>EQ-4-03</x:v>
      </x:c>
      <x:c r="F292" s="28" t="str">
        <x:v>Corretiva</x:v>
      </x:c>
      <x:c r="G292" s="32" t="n">
        <x:v>5.87</x:v>
      </x:c>
      <x:c r="H292" s="28" t="str">
        <x:v>Ajustes</x:v>
      </x:c>
      <x:c r="I292" s="28" t="str">
        <x:v>Não</x:v>
      </x:c>
    </x:row>
    <x:row r="293">
      <x:c r="A293" s="34" t="n">
        <x:v>45418</x:v>
      </x:c>
      <x:c r="B293" s="28" t="str">
        <x:v>Grupo Industrial S.A.</x:v>
      </x:c>
      <x:c r="C293" s="28" t="str">
        <x:v>Planta Curitiba</x:v>
      </x:c>
      <x:c r="D293" s="28" t="str">
        <x:v>Linha 5 - Usinagem</x:v>
      </x:c>
      <x:c r="E293" s="28" t="str">
        <x:v>EQ-5-01</x:v>
      </x:c>
      <x:c r="F293" s="28" t="str">
        <x:v>Corretiva</x:v>
      </x:c>
      <x:c r="G293" s="32" t="n">
        <x:v>7.03</x:v>
      </x:c>
      <x:c r="H293" s="28" t="str">
        <x:v>Quebras</x:v>
      </x:c>
      <x:c r="I293" s="28" t="str">
        <x:v>Sim</x:v>
      </x:c>
    </x:row>
    <x:row r="294">
      <x:c r="A294" s="34" t="n">
        <x:v>45418</x:v>
      </x:c>
      <x:c r="B294" s="28" t="str">
        <x:v>Grupo Industrial S.A.</x:v>
      </x:c>
      <x:c r="C294" s="28" t="str">
        <x:v>Planta Curitiba</x:v>
      </x:c>
      <x:c r="D294" s="28" t="str">
        <x:v>Linha 5 - Usinagem</x:v>
      </x:c>
      <x:c r="E294" s="28" t="str">
        <x:v>EQ-5-02</x:v>
      </x:c>
      <x:c r="F294" s="28" t="str">
        <x:v>Operacional</x:v>
      </x:c>
      <x:c r="G294" s="32" t="n">
        <x:v>7.03</x:v>
      </x:c>
      <x:c r="H294" s="28" t="str">
        <x:v>Troca de ferramenta</x:v>
      </x:c>
      <x:c r="I294" s="28" t="str">
        <x:v>Não</x:v>
      </x:c>
    </x:row>
    <x:row r="295">
      <x:c r="A295" s="34" t="n">
        <x:v>45418</x:v>
      </x:c>
      <x:c r="B295" s="28" t="str">
        <x:v>Grupo Industrial S.A.</x:v>
      </x:c>
      <x:c r="C295" s="28" t="str">
        <x:v>Planta Curitiba</x:v>
      </x:c>
      <x:c r="D295" s="28" t="str">
        <x:v>Linha 5 - Usinagem</x:v>
      </x:c>
      <x:c r="E295" s="28" t="str">
        <x:v>EQ-5-03</x:v>
      </x:c>
      <x:c r="F295" s="28" t="str">
        <x:v>Corretiva</x:v>
      </x:c>
      <x:c r="G295" s="32" t="n">
        <x:v>6.5</x:v>
      </x:c>
      <x:c r="H295" s="28" t="str">
        <x:v>Microparadas</x:v>
      </x:c>
      <x:c r="I295" s="28" t="str">
        <x:v>Não</x:v>
      </x:c>
    </x:row>
    <x:row r="296">
      <x:c r="A296" s="34" t="n">
        <x:v>45418</x:v>
      </x:c>
      <x:c r="B296" s="28" t="str">
        <x:v>Grupo Industrial S.A.</x:v>
      </x:c>
      <x:c r="C296" s="28" t="str">
        <x:v>Planta Curitiba</x:v>
      </x:c>
      <x:c r="D296" s="28" t="str">
        <x:v>Linha 6 - Finalização</x:v>
      </x:c>
      <x:c r="E296" s="28" t="str">
        <x:v>EQ-6-01</x:v>
      </x:c>
      <x:c r="F296" s="28" t="str">
        <x:v>Operacional</x:v>
      </x:c>
      <x:c r="G296" s="32" t="n">
        <x:v>5.76</x:v>
      </x:c>
      <x:c r="H296" s="28" t="str">
        <x:v>Setup</x:v>
      </x:c>
      <x:c r="I296" s="28" t="str">
        <x:v>Não</x:v>
      </x:c>
    </x:row>
    <x:row r="297">
      <x:c r="A297" s="34" t="n">
        <x:v>45418</x:v>
      </x:c>
      <x:c r="B297" s="28" t="str">
        <x:v>Grupo Industrial S.A.</x:v>
      </x:c>
      <x:c r="C297" s="28" t="str">
        <x:v>Planta Curitiba</x:v>
      </x:c>
      <x:c r="D297" s="28" t="str">
        <x:v>Linha 6 - Finalização</x:v>
      </x:c>
      <x:c r="E297" s="28" t="str">
        <x:v>EQ-6-02</x:v>
      </x:c>
      <x:c r="F297" s="28" t="str">
        <x:v>Operacional</x:v>
      </x:c>
      <x:c r="G297" s="32" t="n">
        <x:v>11.05</x:v>
      </x:c>
      <x:c r="H297" s="28" t="str">
        <x:v>Setup</x:v>
      </x:c>
      <x:c r="I297" s="28" t="str">
        <x:v>Não</x:v>
      </x:c>
    </x:row>
    <x:row r="298">
      <x:c r="A298" s="34" t="n">
        <x:v>45425</x:v>
      </x:c>
      <x:c r="B298" s="28" t="str">
        <x:v>Grupo Industrial S.A.</x:v>
      </x:c>
      <x:c r="C298" s="28" t="str">
        <x:v>Planta São Paulo</x:v>
      </x:c>
      <x:c r="D298" s="28" t="str">
        <x:v>Linha 1 - Corte</x:v>
      </x:c>
      <x:c r="E298" s="28" t="str">
        <x:v>EQ-1-01</x:v>
      </x:c>
      <x:c r="F298" s="28" t="str">
        <x:v>Corretiva</x:v>
      </x:c>
      <x:c r="G298" s="32" t="n">
        <x:v>5.26</x:v>
      </x:c>
      <x:c r="H298" s="28" t="str">
        <x:v>Elétrica</x:v>
      </x:c>
      <x:c r="I298" s="28" t="str">
        <x:v>Sim</x:v>
      </x:c>
    </x:row>
    <x:row r="299">
      <x:c r="A299" s="34" t="n">
        <x:v>45425</x:v>
      </x:c>
      <x:c r="B299" s="28" t="str">
        <x:v>Grupo Industrial S.A.</x:v>
      </x:c>
      <x:c r="C299" s="28" t="str">
        <x:v>Planta São Paulo</x:v>
      </x:c>
      <x:c r="D299" s="28" t="str">
        <x:v>Linha 1 - Corte</x:v>
      </x:c>
      <x:c r="E299" s="28" t="str">
        <x:v>EQ-1-02</x:v>
      </x:c>
      <x:c r="F299" s="28" t="str">
        <x:v>Corretiva</x:v>
      </x:c>
      <x:c r="G299" s="32" t="n">
        <x:v>9.56</x:v>
      </x:c>
      <x:c r="H299" s="28" t="str">
        <x:v>Quebras</x:v>
      </x:c>
      <x:c r="I299" s="28" t="str">
        <x:v>Sim</x:v>
      </x:c>
    </x:row>
    <x:row r="300">
      <x:c r="A300" s="34" t="n">
        <x:v>45425</x:v>
      </x:c>
      <x:c r="B300" s="28" t="str">
        <x:v>Grupo Industrial S.A.</x:v>
      </x:c>
      <x:c r="C300" s="28" t="str">
        <x:v>Planta São Paulo</x:v>
      </x:c>
      <x:c r="D300" s="28" t="str">
        <x:v>Linha 2 - Montagem</x:v>
      </x:c>
      <x:c r="E300" s="28" t="str">
        <x:v>EQ-2-01</x:v>
      </x:c>
      <x:c r="F300" s="28" t="str">
        <x:v>Corretiva</x:v>
      </x:c>
      <x:c r="G300" s="32" t="n">
        <x:v>3.96</x:v>
      </x:c>
      <x:c r="H300" s="28" t="str">
        <x:v>Quebras</x:v>
      </x:c>
      <x:c r="I300" s="28" t="str">
        <x:v>Sim</x:v>
      </x:c>
    </x:row>
    <x:row r="301">
      <x:c r="A301" s="34" t="n">
        <x:v>45425</x:v>
      </x:c>
      <x:c r="B301" s="28" t="str">
        <x:v>Grupo Industrial S.A.</x:v>
      </x:c>
      <x:c r="C301" s="28" t="str">
        <x:v>Planta São Paulo</x:v>
      </x:c>
      <x:c r="D301" s="28" t="str">
        <x:v>Linha 2 - Montagem</x:v>
      </x:c>
      <x:c r="E301" s="28" t="str">
        <x:v>EQ-2-02</x:v>
      </x:c>
      <x:c r="F301" s="28" t="str">
        <x:v>Corretiva</x:v>
      </x:c>
      <x:c r="G301" s="32" t="n">
        <x:v>9.9</x:v>
      </x:c>
      <x:c r="H301" s="28" t="str">
        <x:v>Microparadas</x:v>
      </x:c>
      <x:c r="I301" s="28" t="str">
        <x:v>Não</x:v>
      </x:c>
    </x:row>
    <x:row r="302">
      <x:c r="A302" s="34" t="n">
        <x:v>45425</x:v>
      </x:c>
      <x:c r="B302" s="28" t="str">
        <x:v>Grupo Industrial S.A.</x:v>
      </x:c>
      <x:c r="C302" s="28" t="str">
        <x:v>Planta Campinas</x:v>
      </x:c>
      <x:c r="D302" s="28" t="str">
        <x:v>Linha 3 - Extrusão</x:v>
      </x:c>
      <x:c r="E302" s="28" t="str">
        <x:v>EQ-3-01</x:v>
      </x:c>
      <x:c r="F302" s="28" t="str">
        <x:v>Corretiva</x:v>
      </x:c>
      <x:c r="G302" s="32" t="n">
        <x:v>10.63</x:v>
      </x:c>
      <x:c r="H302" s="28" t="str">
        <x:v>Quebras</x:v>
      </x:c>
      <x:c r="I302" s="28" t="str">
        <x:v>Sim</x:v>
      </x:c>
    </x:row>
    <x:row r="303">
      <x:c r="A303" s="34" t="n">
        <x:v>45425</x:v>
      </x:c>
      <x:c r="B303" s="28" t="str">
        <x:v>Grupo Industrial S.A.</x:v>
      </x:c>
      <x:c r="C303" s="28" t="str">
        <x:v>Planta Campinas</x:v>
      </x:c>
      <x:c r="D303" s="28" t="str">
        <x:v>Linha 3 - Extrusão</x:v>
      </x:c>
      <x:c r="E303" s="28" t="str">
        <x:v>EQ-3-02</x:v>
      </x:c>
      <x:c r="F303" s="28" t="str">
        <x:v>Operacional</x:v>
      </x:c>
      <x:c r="G303" s="32" t="n">
        <x:v>4.86</x:v>
      </x:c>
      <x:c r="H303" s="28" t="str">
        <x:v>Falta de material</x:v>
      </x:c>
      <x:c r="I303" s="28" t="str">
        <x:v>Sim</x:v>
      </x:c>
    </x:row>
    <x:row r="304">
      <x:c r="A304" s="34" t="n">
        <x:v>45425</x:v>
      </x:c>
      <x:c r="B304" s="28" t="str">
        <x:v>Grupo Industrial S.A.</x:v>
      </x:c>
      <x:c r="C304" s="28" t="str">
        <x:v>Planta Campinas</x:v>
      </x:c>
      <x:c r="D304" s="28" t="str">
        <x:v>Linha 3 - Extrusão</x:v>
      </x:c>
      <x:c r="E304" s="28" t="str">
        <x:v>EQ-3-03</x:v>
      </x:c>
      <x:c r="F304" s="28" t="str">
        <x:v>Corretiva</x:v>
      </x:c>
      <x:c r="G304" s="32" t="n">
        <x:v>6.48</x:v>
      </x:c>
      <x:c r="H304" s="28" t="str">
        <x:v>Quebras</x:v>
      </x:c>
      <x:c r="I304" s="28" t="str">
        <x:v>Sim</x:v>
      </x:c>
    </x:row>
    <x:row r="305">
      <x:c r="A305" s="34" t="n">
        <x:v>45425</x:v>
      </x:c>
      <x:c r="B305" s="28" t="str">
        <x:v>Grupo Industrial S.A.</x:v>
      </x:c>
      <x:c r="C305" s="28" t="str">
        <x:v>Planta Campinas</x:v>
      </x:c>
      <x:c r="D305" s="28" t="str">
        <x:v>Linha 4 - Embalagem</x:v>
      </x:c>
      <x:c r="E305" s="28" t="str">
        <x:v>EQ-4-01</x:v>
      </x:c>
      <x:c r="F305" s="28" t="str">
        <x:v>Corretiva</x:v>
      </x:c>
      <x:c r="G305" s="32" t="n">
        <x:v>9.26</x:v>
      </x:c>
      <x:c r="H305" s="28" t="str">
        <x:v>Ajustes</x:v>
      </x:c>
      <x:c r="I305" s="28" t="str">
        <x:v>Não</x:v>
      </x:c>
    </x:row>
    <x:row r="306">
      <x:c r="A306" s="34" t="n">
        <x:v>45425</x:v>
      </x:c>
      <x:c r="B306" s="28" t="str">
        <x:v>Grupo Industrial S.A.</x:v>
      </x:c>
      <x:c r="C306" s="28" t="str">
        <x:v>Planta Campinas</x:v>
      </x:c>
      <x:c r="D306" s="28" t="str">
        <x:v>Linha 4 - Embalagem</x:v>
      </x:c>
      <x:c r="E306" s="28" t="str">
        <x:v>EQ-4-02</x:v>
      </x:c>
      <x:c r="F306" s="28" t="str">
        <x:v>Operacional</x:v>
      </x:c>
      <x:c r="G306" s="32" t="n">
        <x:v>4.25</x:v>
      </x:c>
      <x:c r="H306" s="28" t="str">
        <x:v>Falta de material</x:v>
      </x:c>
      <x:c r="I306" s="28" t="str">
        <x:v>Sim</x:v>
      </x:c>
    </x:row>
    <x:row r="307">
      <x:c r="A307" s="34" t="n">
        <x:v>45425</x:v>
      </x:c>
      <x:c r="B307" s="28" t="str">
        <x:v>Grupo Industrial S.A.</x:v>
      </x:c>
      <x:c r="C307" s="28" t="str">
        <x:v>Planta Campinas</x:v>
      </x:c>
      <x:c r="D307" s="28" t="str">
        <x:v>Linha 4 - Embalagem</x:v>
      </x:c>
      <x:c r="E307" s="28" t="str">
        <x:v>EQ-4-03</x:v>
      </x:c>
      <x:c r="F307" s="28" t="str">
        <x:v>Corretiva</x:v>
      </x:c>
      <x:c r="G307" s="32" t="n">
        <x:v>7.05</x:v>
      </x:c>
      <x:c r="H307" s="28" t="str">
        <x:v>Ajustes</x:v>
      </x:c>
      <x:c r="I307" s="28" t="str">
        <x:v>Não</x:v>
      </x:c>
    </x:row>
    <x:row r="308">
      <x:c r="A308" s="34" t="n">
        <x:v>45425</x:v>
      </x:c>
      <x:c r="B308" s="28" t="str">
        <x:v>Grupo Industrial S.A.</x:v>
      </x:c>
      <x:c r="C308" s="28" t="str">
        <x:v>Planta Curitiba</x:v>
      </x:c>
      <x:c r="D308" s="28" t="str">
        <x:v>Linha 5 - Usinagem</x:v>
      </x:c>
      <x:c r="E308" s="28" t="str">
        <x:v>EQ-5-01</x:v>
      </x:c>
      <x:c r="F308" s="28" t="str">
        <x:v>Corretiva</x:v>
      </x:c>
      <x:c r="G308" s="32" t="n">
        <x:v>9.07</x:v>
      </x:c>
      <x:c r="H308" s="28" t="str">
        <x:v>Microparadas</x:v>
      </x:c>
      <x:c r="I308" s="28" t="str">
        <x:v>Não</x:v>
      </x:c>
    </x:row>
    <x:row r="309">
      <x:c r="A309" s="34" t="n">
        <x:v>45425</x:v>
      </x:c>
      <x:c r="B309" s="28" t="str">
        <x:v>Grupo Industrial S.A.</x:v>
      </x:c>
      <x:c r="C309" s="28" t="str">
        <x:v>Planta Curitiba</x:v>
      </x:c>
      <x:c r="D309" s="28" t="str">
        <x:v>Linha 5 - Usinagem</x:v>
      </x:c>
      <x:c r="E309" s="28" t="str">
        <x:v>EQ-5-02</x:v>
      </x:c>
      <x:c r="F309" s="28" t="str">
        <x:v>Corretiva</x:v>
      </x:c>
      <x:c r="G309" s="32" t="n">
        <x:v>4.03</x:v>
      </x:c>
      <x:c r="H309" s="28" t="str">
        <x:v>Microparadas</x:v>
      </x:c>
      <x:c r="I309" s="28" t="str">
        <x:v>Não</x:v>
      </x:c>
    </x:row>
    <x:row r="310">
      <x:c r="A310" s="34" t="n">
        <x:v>45425</x:v>
      </x:c>
      <x:c r="B310" s="28" t="str">
        <x:v>Grupo Industrial S.A.</x:v>
      </x:c>
      <x:c r="C310" s="28" t="str">
        <x:v>Planta Curitiba</x:v>
      </x:c>
      <x:c r="D310" s="28" t="str">
        <x:v>Linha 5 - Usinagem</x:v>
      </x:c>
      <x:c r="E310" s="28" t="str">
        <x:v>EQ-5-03</x:v>
      </x:c>
      <x:c r="F310" s="28" t="str">
        <x:v>Operacional</x:v>
      </x:c>
      <x:c r="G310" s="32" t="n">
        <x:v>5.86</x:v>
      </x:c>
      <x:c r="H310" s="28" t="str">
        <x:v>Setup</x:v>
      </x:c>
      <x:c r="I310" s="28" t="str">
        <x:v>Não</x:v>
      </x:c>
    </x:row>
    <x:row r="311">
      <x:c r="A311" s="34" t="n">
        <x:v>45425</x:v>
      </x:c>
      <x:c r="B311" s="28" t="str">
        <x:v>Grupo Industrial S.A.</x:v>
      </x:c>
      <x:c r="C311" s="28" t="str">
        <x:v>Planta Curitiba</x:v>
      </x:c>
      <x:c r="D311" s="28" t="str">
        <x:v>Linha 6 - Finalização</x:v>
      </x:c>
      <x:c r="E311" s="28" t="str">
        <x:v>EQ-6-01</x:v>
      </x:c>
      <x:c r="F311" s="28" t="str">
        <x:v>Operacional</x:v>
      </x:c>
      <x:c r="G311" s="32" t="n">
        <x:v>6.58</x:v>
      </x:c>
      <x:c r="H311" s="28" t="str">
        <x:v>Setup</x:v>
      </x:c>
      <x:c r="I311" s="28" t="str">
        <x:v>Não</x:v>
      </x:c>
    </x:row>
    <x:row r="312">
      <x:c r="A312" s="34" t="n">
        <x:v>45425</x:v>
      </x:c>
      <x:c r="B312" s="28" t="str">
        <x:v>Grupo Industrial S.A.</x:v>
      </x:c>
      <x:c r="C312" s="28" t="str">
        <x:v>Planta Curitiba</x:v>
      </x:c>
      <x:c r="D312" s="28" t="str">
        <x:v>Linha 6 - Finalização</x:v>
      </x:c>
      <x:c r="E312" s="28" t="str">
        <x:v>EQ-6-02</x:v>
      </x:c>
      <x:c r="F312" s="28" t="str">
        <x:v>Operacional</x:v>
      </x:c>
      <x:c r="G312" s="32" t="n">
        <x:v>9.89</x:v>
      </x:c>
      <x:c r="H312" s="28" t="str">
        <x:v>Setup</x:v>
      </x:c>
      <x:c r="I312" s="28" t="str">
        <x:v>Não</x:v>
      </x:c>
    </x:row>
    <x:row r="313">
      <x:c r="A313" s="34" t="n">
        <x:v>45432</x:v>
      </x:c>
      <x:c r="B313" s="28" t="str">
        <x:v>Grupo Industrial S.A.</x:v>
      </x:c>
      <x:c r="C313" s="28" t="str">
        <x:v>Planta São Paulo</x:v>
      </x:c>
      <x:c r="D313" s="28" t="str">
        <x:v>Linha 1 - Corte</x:v>
      </x:c>
      <x:c r="E313" s="28" t="str">
        <x:v>EQ-1-01</x:v>
      </x:c>
      <x:c r="F313" s="28" t="str">
        <x:v>Corretiva</x:v>
      </x:c>
      <x:c r="G313" s="32" t="n">
        <x:v>6.08</x:v>
      </x:c>
      <x:c r="H313" s="28" t="str">
        <x:v>Microparadas</x:v>
      </x:c>
      <x:c r="I313" s="28" t="str">
        <x:v>Não</x:v>
      </x:c>
    </x:row>
    <x:row r="314">
      <x:c r="A314" s="34" t="n">
        <x:v>45432</x:v>
      </x:c>
      <x:c r="B314" s="28" t="str">
        <x:v>Grupo Industrial S.A.</x:v>
      </x:c>
      <x:c r="C314" s="28" t="str">
        <x:v>Planta São Paulo</x:v>
      </x:c>
      <x:c r="D314" s="28" t="str">
        <x:v>Linha 1 - Corte</x:v>
      </x:c>
      <x:c r="E314" s="28" t="str">
        <x:v>EQ-1-02</x:v>
      </x:c>
      <x:c r="F314" s="28" t="str">
        <x:v>Corretiva</x:v>
      </x:c>
      <x:c r="G314" s="32" t="n">
        <x:v>6.5</x:v>
      </x:c>
      <x:c r="H314" s="28" t="str">
        <x:v>Microparadas</x:v>
      </x:c>
      <x:c r="I314" s="28" t="str">
        <x:v>Não</x:v>
      </x:c>
    </x:row>
    <x:row r="315">
      <x:c r="A315" s="34" t="n">
        <x:v>45432</x:v>
      </x:c>
      <x:c r="B315" s="28" t="str">
        <x:v>Grupo Industrial S.A.</x:v>
      </x:c>
      <x:c r="C315" s="28" t="str">
        <x:v>Planta São Paulo</x:v>
      </x:c>
      <x:c r="D315" s="28" t="str">
        <x:v>Linha 2 - Montagem</x:v>
      </x:c>
      <x:c r="E315" s="28" t="str">
        <x:v>EQ-2-01</x:v>
      </x:c>
      <x:c r="F315" s="28" t="str">
        <x:v>Corretiva</x:v>
      </x:c>
      <x:c r="G315" s="32" t="n">
        <x:v>6</x:v>
      </x:c>
      <x:c r="H315" s="28" t="str">
        <x:v>Quebras</x:v>
      </x:c>
      <x:c r="I315" s="28" t="str">
        <x:v>Sim</x:v>
      </x:c>
    </x:row>
    <x:row r="316">
      <x:c r="A316" s="34" t="n">
        <x:v>45432</x:v>
      </x:c>
      <x:c r="B316" s="28" t="str">
        <x:v>Grupo Industrial S.A.</x:v>
      </x:c>
      <x:c r="C316" s="28" t="str">
        <x:v>Planta São Paulo</x:v>
      </x:c>
      <x:c r="D316" s="28" t="str">
        <x:v>Linha 2 - Montagem</x:v>
      </x:c>
      <x:c r="E316" s="28" t="str">
        <x:v>EQ-2-02</x:v>
      </x:c>
      <x:c r="F316" s="28" t="str">
        <x:v>Operacional</x:v>
      </x:c>
      <x:c r="G316" s="32" t="n">
        <x:v>8.14</x:v>
      </x:c>
      <x:c r="H316" s="28" t="str">
        <x:v>Setup</x:v>
      </x:c>
      <x:c r="I316" s="28" t="str">
        <x:v>Não</x:v>
      </x:c>
    </x:row>
    <x:row r="317">
      <x:c r="A317" s="34" t="n">
        <x:v>45432</x:v>
      </x:c>
      <x:c r="B317" s="28" t="str">
        <x:v>Grupo Industrial S.A.</x:v>
      </x:c>
      <x:c r="C317" s="28" t="str">
        <x:v>Planta Campinas</x:v>
      </x:c>
      <x:c r="D317" s="28" t="str">
        <x:v>Linha 3 - Extrusão</x:v>
      </x:c>
      <x:c r="E317" s="28" t="str">
        <x:v>EQ-3-01</x:v>
      </x:c>
      <x:c r="F317" s="28" t="str">
        <x:v>Operacional</x:v>
      </x:c>
      <x:c r="G317" s="32" t="n">
        <x:v>8.33</x:v>
      </x:c>
      <x:c r="H317" s="28" t="str">
        <x:v>Falta de material</x:v>
      </x:c>
      <x:c r="I317" s="28" t="str">
        <x:v>Sim</x:v>
      </x:c>
    </x:row>
    <x:row r="318">
      <x:c r="A318" s="34" t="n">
        <x:v>45432</x:v>
      </x:c>
      <x:c r="B318" s="28" t="str">
        <x:v>Grupo Industrial S.A.</x:v>
      </x:c>
      <x:c r="C318" s="28" t="str">
        <x:v>Planta Campinas</x:v>
      </x:c>
      <x:c r="D318" s="28" t="str">
        <x:v>Linha 3 - Extrusão</x:v>
      </x:c>
      <x:c r="E318" s="28" t="str">
        <x:v>EQ-3-02</x:v>
      </x:c>
      <x:c r="F318" s="28" t="str">
        <x:v>Corretiva</x:v>
      </x:c>
      <x:c r="G318" s="32" t="n">
        <x:v>7.6</x:v>
      </x:c>
      <x:c r="H318" s="28" t="str">
        <x:v>Quebras</x:v>
      </x:c>
      <x:c r="I318" s="28" t="str">
        <x:v>Sim</x:v>
      </x:c>
    </x:row>
    <x:row r="319">
      <x:c r="A319" s="34" t="n">
        <x:v>45432</x:v>
      </x:c>
      <x:c r="B319" s="28" t="str">
        <x:v>Grupo Industrial S.A.</x:v>
      </x:c>
      <x:c r="C319" s="28" t="str">
        <x:v>Planta Campinas</x:v>
      </x:c>
      <x:c r="D319" s="28" t="str">
        <x:v>Linha 3 - Extrusão</x:v>
      </x:c>
      <x:c r="E319" s="28" t="str">
        <x:v>EQ-3-03</x:v>
      </x:c>
      <x:c r="F319" s="28" t="str">
        <x:v>Operacional</x:v>
      </x:c>
      <x:c r="G319" s="32" t="n">
        <x:v>7.89</x:v>
      </x:c>
      <x:c r="H319" s="28" t="str">
        <x:v>Falta de material</x:v>
      </x:c>
      <x:c r="I319" s="28" t="str">
        <x:v>Sim</x:v>
      </x:c>
    </x:row>
    <x:row r="320">
      <x:c r="A320" s="34" t="n">
        <x:v>45432</x:v>
      </x:c>
      <x:c r="B320" s="28" t="str">
        <x:v>Grupo Industrial S.A.</x:v>
      </x:c>
      <x:c r="C320" s="28" t="str">
        <x:v>Planta Campinas</x:v>
      </x:c>
      <x:c r="D320" s="28" t="str">
        <x:v>Linha 4 - Embalagem</x:v>
      </x:c>
      <x:c r="E320" s="28" t="str">
        <x:v>EQ-4-01</x:v>
      </x:c>
      <x:c r="F320" s="28" t="str">
        <x:v>Corretiva</x:v>
      </x:c>
      <x:c r="G320" s="32" t="n">
        <x:v>7.44</x:v>
      </x:c>
      <x:c r="H320" s="28" t="str">
        <x:v>Ajustes</x:v>
      </x:c>
      <x:c r="I320" s="28" t="str">
        <x:v>Não</x:v>
      </x:c>
    </x:row>
    <x:row r="321">
      <x:c r="A321" s="34" t="n">
        <x:v>45432</x:v>
      </x:c>
      <x:c r="B321" s="28" t="str">
        <x:v>Grupo Industrial S.A.</x:v>
      </x:c>
      <x:c r="C321" s="28" t="str">
        <x:v>Planta Campinas</x:v>
      </x:c>
      <x:c r="D321" s="28" t="str">
        <x:v>Linha 4 - Embalagem</x:v>
      </x:c>
      <x:c r="E321" s="28" t="str">
        <x:v>EQ-4-02</x:v>
      </x:c>
      <x:c r="F321" s="28" t="str">
        <x:v>Operacional</x:v>
      </x:c>
      <x:c r="G321" s="32" t="n">
        <x:v>5.8</x:v>
      </x:c>
      <x:c r="H321" s="28" t="str">
        <x:v>Falta de material</x:v>
      </x:c>
      <x:c r="I321" s="28" t="str">
        <x:v>Sim</x:v>
      </x:c>
    </x:row>
    <x:row r="322">
      <x:c r="A322" s="34" t="n">
        <x:v>45432</x:v>
      </x:c>
      <x:c r="B322" s="28" t="str">
        <x:v>Grupo Industrial S.A.</x:v>
      </x:c>
      <x:c r="C322" s="28" t="str">
        <x:v>Planta Campinas</x:v>
      </x:c>
      <x:c r="D322" s="28" t="str">
        <x:v>Linha 4 - Embalagem</x:v>
      </x:c>
      <x:c r="E322" s="28" t="str">
        <x:v>EQ-4-03</x:v>
      </x:c>
      <x:c r="F322" s="28" t="str">
        <x:v>Operacional</x:v>
      </x:c>
      <x:c r="G322" s="32" t="n">
        <x:v>7.43</x:v>
      </x:c>
      <x:c r="H322" s="28" t="str">
        <x:v>Falta de material</x:v>
      </x:c>
      <x:c r="I322" s="28" t="str">
        <x:v>Sim</x:v>
      </x:c>
    </x:row>
    <x:row r="323">
      <x:c r="A323" s="34" t="n">
        <x:v>45432</x:v>
      </x:c>
      <x:c r="B323" s="28" t="str">
        <x:v>Grupo Industrial S.A.</x:v>
      </x:c>
      <x:c r="C323" s="28" t="str">
        <x:v>Planta Curitiba</x:v>
      </x:c>
      <x:c r="D323" s="28" t="str">
        <x:v>Linha 5 - Usinagem</x:v>
      </x:c>
      <x:c r="E323" s="28" t="str">
        <x:v>EQ-5-01</x:v>
      </x:c>
      <x:c r="F323" s="28" t="str">
        <x:v>Corretiva</x:v>
      </x:c>
      <x:c r="G323" s="32" t="n">
        <x:v>7.38</x:v>
      </x:c>
      <x:c r="H323" s="28" t="str">
        <x:v>Microparadas</x:v>
      </x:c>
      <x:c r="I323" s="28" t="str">
        <x:v>Não</x:v>
      </x:c>
    </x:row>
    <x:row r="324">
      <x:c r="A324" s="34" t="n">
        <x:v>45432</x:v>
      </x:c>
      <x:c r="B324" s="28" t="str">
        <x:v>Grupo Industrial S.A.</x:v>
      </x:c>
      <x:c r="C324" s="28" t="str">
        <x:v>Planta Curitiba</x:v>
      </x:c>
      <x:c r="D324" s="28" t="str">
        <x:v>Linha 5 - Usinagem</x:v>
      </x:c>
      <x:c r="E324" s="28" t="str">
        <x:v>EQ-5-02</x:v>
      </x:c>
      <x:c r="F324" s="28" t="str">
        <x:v>Operacional</x:v>
      </x:c>
      <x:c r="G324" s="32" t="n">
        <x:v>10.35</x:v>
      </x:c>
      <x:c r="H324" s="28" t="str">
        <x:v>Setup</x:v>
      </x:c>
      <x:c r="I324" s="28" t="str">
        <x:v>Não</x:v>
      </x:c>
    </x:row>
    <x:row r="325">
      <x:c r="A325" s="34" t="n">
        <x:v>45432</x:v>
      </x:c>
      <x:c r="B325" s="28" t="str">
        <x:v>Grupo Industrial S.A.</x:v>
      </x:c>
      <x:c r="C325" s="28" t="str">
        <x:v>Planta Curitiba</x:v>
      </x:c>
      <x:c r="D325" s="28" t="str">
        <x:v>Linha 6 - Finalização</x:v>
      </x:c>
      <x:c r="E325" s="28" t="str">
        <x:v>EQ-6-01</x:v>
      </x:c>
      <x:c r="F325" s="28" t="str">
        <x:v>Corretiva</x:v>
      </x:c>
      <x:c r="G325" s="32" t="n">
        <x:v>8.15</x:v>
      </x:c>
      <x:c r="H325" s="28" t="str">
        <x:v>Microparadas</x:v>
      </x:c>
      <x:c r="I325" s="28" t="str">
        <x:v>Não</x:v>
      </x:c>
    </x:row>
    <x:row r="326">
      <x:c r="A326" s="34" t="n">
        <x:v>45432</x:v>
      </x:c>
      <x:c r="B326" s="28" t="str">
        <x:v>Grupo Industrial S.A.</x:v>
      </x:c>
      <x:c r="C326" s="28" t="str">
        <x:v>Planta Curitiba</x:v>
      </x:c>
      <x:c r="D326" s="28" t="str">
        <x:v>Linha 6 - Finalização</x:v>
      </x:c>
      <x:c r="E326" s="28" t="str">
        <x:v>EQ-6-02</x:v>
      </x:c>
      <x:c r="F326" s="28" t="str">
        <x:v>Corretiva</x:v>
      </x:c>
      <x:c r="G326" s="32" t="n">
        <x:v>7.58</x:v>
      </x:c>
      <x:c r="H326" s="28" t="str">
        <x:v>Quebras</x:v>
      </x:c>
      <x:c r="I326" s="28" t="str">
        <x:v>Sim</x:v>
      </x:c>
    </x:row>
    <x:row r="327">
      <x:c r="A327" s="34" t="n">
        <x:v>45439</x:v>
      </x:c>
      <x:c r="B327" s="28" t="str">
        <x:v>Grupo Industrial S.A.</x:v>
      </x:c>
      <x:c r="C327" s="28" t="str">
        <x:v>Planta São Paulo</x:v>
      </x:c>
      <x:c r="D327" s="28" t="str">
        <x:v>Linha 1 - Corte</x:v>
      </x:c>
      <x:c r="E327" s="28" t="str">
        <x:v>EQ-1-01</x:v>
      </x:c>
      <x:c r="F327" s="28" t="str">
        <x:v>Corretiva</x:v>
      </x:c>
      <x:c r="G327" s="32" t="n">
        <x:v>5.77</x:v>
      </x:c>
      <x:c r="H327" s="28" t="str">
        <x:v>Elétrica</x:v>
      </x:c>
      <x:c r="I327" s="28" t="str">
        <x:v>Sim</x:v>
      </x:c>
    </x:row>
    <x:row r="328">
      <x:c r="A328" s="34" t="n">
        <x:v>45439</x:v>
      </x:c>
      <x:c r="B328" s="28" t="str">
        <x:v>Grupo Industrial S.A.</x:v>
      </x:c>
      <x:c r="C328" s="28" t="str">
        <x:v>Planta São Paulo</x:v>
      </x:c>
      <x:c r="D328" s="28" t="str">
        <x:v>Linha 1 - Corte</x:v>
      </x:c>
      <x:c r="E328" s="28" t="str">
        <x:v>EQ-1-02</x:v>
      </x:c>
      <x:c r="F328" s="28" t="str">
        <x:v>Operacional</x:v>
      </x:c>
      <x:c r="G328" s="32" t="n">
        <x:v>12.16</x:v>
      </x:c>
      <x:c r="H328" s="28" t="str">
        <x:v>Setup</x:v>
      </x:c>
      <x:c r="I328" s="28" t="str">
        <x:v>Não</x:v>
      </x:c>
    </x:row>
    <x:row r="329">
      <x:c r="A329" s="34" t="n">
        <x:v>45439</x:v>
      </x:c>
      <x:c r="B329" s="28" t="str">
        <x:v>Grupo Industrial S.A.</x:v>
      </x:c>
      <x:c r="C329" s="28" t="str">
        <x:v>Planta São Paulo</x:v>
      </x:c>
      <x:c r="D329" s="28" t="str">
        <x:v>Linha 2 - Montagem</x:v>
      </x:c>
      <x:c r="E329" s="28" t="str">
        <x:v>EQ-2-01</x:v>
      </x:c>
      <x:c r="F329" s="28" t="str">
        <x:v>Corretiva</x:v>
      </x:c>
      <x:c r="G329" s="32" t="n">
        <x:v>5.52</x:v>
      </x:c>
      <x:c r="H329" s="28" t="str">
        <x:v>Elétrica</x:v>
      </x:c>
      <x:c r="I329" s="28" t="str">
        <x:v>Sim</x:v>
      </x:c>
    </x:row>
    <x:row r="330">
      <x:c r="A330" s="34" t="n">
        <x:v>45439</x:v>
      </x:c>
      <x:c r="B330" s="28" t="str">
        <x:v>Grupo Industrial S.A.</x:v>
      </x:c>
      <x:c r="C330" s="28" t="str">
        <x:v>Planta São Paulo</x:v>
      </x:c>
      <x:c r="D330" s="28" t="str">
        <x:v>Linha 2 - Montagem</x:v>
      </x:c>
      <x:c r="E330" s="28" t="str">
        <x:v>EQ-2-02</x:v>
      </x:c>
      <x:c r="F330" s="28" t="str">
        <x:v>Corretiva</x:v>
      </x:c>
      <x:c r="G330" s="32" t="n">
        <x:v>7.16</x:v>
      </x:c>
      <x:c r="H330" s="28" t="str">
        <x:v>Quebras</x:v>
      </x:c>
      <x:c r="I330" s="28" t="str">
        <x:v>Sim</x:v>
      </x:c>
    </x:row>
    <x:row r="331">
      <x:c r="A331" s="34" t="n">
        <x:v>45439</x:v>
      </x:c>
      <x:c r="B331" s="28" t="str">
        <x:v>Grupo Industrial S.A.</x:v>
      </x:c>
      <x:c r="C331" s="28" t="str">
        <x:v>Planta Campinas</x:v>
      </x:c>
      <x:c r="D331" s="28" t="str">
        <x:v>Linha 3 - Extrusão</x:v>
      </x:c>
      <x:c r="E331" s="28" t="str">
        <x:v>EQ-3-01</x:v>
      </x:c>
      <x:c r="F331" s="28" t="str">
        <x:v>Corretiva</x:v>
      </x:c>
      <x:c r="G331" s="32" t="n">
        <x:v>8.06</x:v>
      </x:c>
      <x:c r="H331" s="28" t="str">
        <x:v>Quebras</x:v>
      </x:c>
      <x:c r="I331" s="28" t="str">
        <x:v>Sim</x:v>
      </x:c>
    </x:row>
    <x:row r="332">
      <x:c r="A332" s="34" t="n">
        <x:v>45439</x:v>
      </x:c>
      <x:c r="B332" s="28" t="str">
        <x:v>Grupo Industrial S.A.</x:v>
      </x:c>
      <x:c r="C332" s="28" t="str">
        <x:v>Planta Campinas</x:v>
      </x:c>
      <x:c r="D332" s="28" t="str">
        <x:v>Linha 3 - Extrusão</x:v>
      </x:c>
      <x:c r="E332" s="28" t="str">
        <x:v>EQ-3-02</x:v>
      </x:c>
      <x:c r="F332" s="28" t="str">
        <x:v>Operacional</x:v>
      </x:c>
      <x:c r="G332" s="32" t="n">
        <x:v>3.97</x:v>
      </x:c>
      <x:c r="H332" s="28" t="str">
        <x:v>Setup</x:v>
      </x:c>
      <x:c r="I332" s="28" t="str">
        <x:v>Não</x:v>
      </x:c>
    </x:row>
    <x:row r="333">
      <x:c r="A333" s="34" t="n">
        <x:v>45439</x:v>
      </x:c>
      <x:c r="B333" s="28" t="str">
        <x:v>Grupo Industrial S.A.</x:v>
      </x:c>
      <x:c r="C333" s="28" t="str">
        <x:v>Planta Campinas</x:v>
      </x:c>
      <x:c r="D333" s="28" t="str">
        <x:v>Linha 3 - Extrusão</x:v>
      </x:c>
      <x:c r="E333" s="28" t="str">
        <x:v>EQ-3-03</x:v>
      </x:c>
      <x:c r="F333" s="28" t="str">
        <x:v>Corretiva</x:v>
      </x:c>
      <x:c r="G333" s="32" t="n">
        <x:v>9.24</x:v>
      </x:c>
      <x:c r="H333" s="28" t="str">
        <x:v>Ajustes</x:v>
      </x:c>
      <x:c r="I333" s="28" t="str">
        <x:v>Não</x:v>
      </x:c>
    </x:row>
    <x:row r="334">
      <x:c r="A334" s="34" t="n">
        <x:v>45439</x:v>
      </x:c>
      <x:c r="B334" s="28" t="str">
        <x:v>Grupo Industrial S.A.</x:v>
      </x:c>
      <x:c r="C334" s="28" t="str">
        <x:v>Planta Campinas</x:v>
      </x:c>
      <x:c r="D334" s="28" t="str">
        <x:v>Linha 4 - Embalagem</x:v>
      </x:c>
      <x:c r="E334" s="28" t="str">
        <x:v>EQ-4-01</x:v>
      </x:c>
      <x:c r="F334" s="28" t="str">
        <x:v>Operacional</x:v>
      </x:c>
      <x:c r="G334" s="32" t="n">
        <x:v>8.96</x:v>
      </x:c>
      <x:c r="H334" s="28" t="str">
        <x:v>Setup</x:v>
      </x:c>
      <x:c r="I334" s="28" t="str">
        <x:v>Não</x:v>
      </x:c>
    </x:row>
    <x:row r="335">
      <x:c r="A335" s="34" t="n">
        <x:v>45439</x:v>
      </x:c>
      <x:c r="B335" s="28" t="str">
        <x:v>Grupo Industrial S.A.</x:v>
      </x:c>
      <x:c r="C335" s="28" t="str">
        <x:v>Planta Campinas</x:v>
      </x:c>
      <x:c r="D335" s="28" t="str">
        <x:v>Linha 4 - Embalagem</x:v>
      </x:c>
      <x:c r="E335" s="28" t="str">
        <x:v>EQ-4-02</x:v>
      </x:c>
      <x:c r="F335" s="28" t="str">
        <x:v>Operacional</x:v>
      </x:c>
      <x:c r="G335" s="32" t="n">
        <x:v>6.48</x:v>
      </x:c>
      <x:c r="H335" s="28" t="str">
        <x:v>Setup</x:v>
      </x:c>
      <x:c r="I335" s="28" t="str">
        <x:v>Não</x:v>
      </x:c>
    </x:row>
    <x:row r="336">
      <x:c r="A336" s="34" t="n">
        <x:v>45439</x:v>
      </x:c>
      <x:c r="B336" s="28" t="str">
        <x:v>Grupo Industrial S.A.</x:v>
      </x:c>
      <x:c r="C336" s="28" t="str">
        <x:v>Planta Campinas</x:v>
      </x:c>
      <x:c r="D336" s="28" t="str">
        <x:v>Linha 4 - Embalagem</x:v>
      </x:c>
      <x:c r="E336" s="28" t="str">
        <x:v>EQ-4-03</x:v>
      </x:c>
      <x:c r="F336" s="28" t="str">
        <x:v>Operacional</x:v>
      </x:c>
      <x:c r="G336" s="32" t="n">
        <x:v>9.53</x:v>
      </x:c>
      <x:c r="H336" s="28" t="str">
        <x:v>Falta de material</x:v>
      </x:c>
      <x:c r="I336" s="28" t="str">
        <x:v>Sim</x:v>
      </x:c>
    </x:row>
    <x:row r="337">
      <x:c r="A337" s="34" t="n">
        <x:v>45439</x:v>
      </x:c>
      <x:c r="B337" s="28" t="str">
        <x:v>Grupo Industrial S.A.</x:v>
      </x:c>
      <x:c r="C337" s="28" t="str">
        <x:v>Planta Curitiba</x:v>
      </x:c>
      <x:c r="D337" s="28" t="str">
        <x:v>Linha 5 - Usinagem</x:v>
      </x:c>
      <x:c r="E337" s="28" t="str">
        <x:v>EQ-5-01</x:v>
      </x:c>
      <x:c r="F337" s="28" t="str">
        <x:v>Corretiva</x:v>
      </x:c>
      <x:c r="G337" s="32" t="n">
        <x:v>6.84</x:v>
      </x:c>
      <x:c r="H337" s="28" t="str">
        <x:v>Quebras</x:v>
      </x:c>
      <x:c r="I337" s="28" t="str">
        <x:v>Sim</x:v>
      </x:c>
    </x:row>
    <x:row r="338">
      <x:c r="A338" s="34" t="n">
        <x:v>45439</x:v>
      </x:c>
      <x:c r="B338" s="28" t="str">
        <x:v>Grupo Industrial S.A.</x:v>
      </x:c>
      <x:c r="C338" s="28" t="str">
        <x:v>Planta Curitiba</x:v>
      </x:c>
      <x:c r="D338" s="28" t="str">
        <x:v>Linha 5 - Usinagem</x:v>
      </x:c>
      <x:c r="E338" s="28" t="str">
        <x:v>EQ-5-02</x:v>
      </x:c>
      <x:c r="F338" s="28" t="str">
        <x:v>Operacional</x:v>
      </x:c>
      <x:c r="G338" s="32" t="n">
        <x:v>10.64</x:v>
      </x:c>
      <x:c r="H338" s="28" t="str">
        <x:v>Setup</x:v>
      </x:c>
      <x:c r="I338" s="28" t="str">
        <x:v>Não</x:v>
      </x:c>
    </x:row>
    <x:row r="339">
      <x:c r="A339" s="34" t="n">
        <x:v>45439</x:v>
      </x:c>
      <x:c r="B339" s="28" t="str">
        <x:v>Grupo Industrial S.A.</x:v>
      </x:c>
      <x:c r="C339" s="28" t="str">
        <x:v>Planta Curitiba</x:v>
      </x:c>
      <x:c r="D339" s="28" t="str">
        <x:v>Linha 6 - Finalização</x:v>
      </x:c>
      <x:c r="E339" s="28" t="str">
        <x:v>EQ-6-01</x:v>
      </x:c>
      <x:c r="F339" s="28" t="str">
        <x:v>Operacional</x:v>
      </x:c>
      <x:c r="G339" s="32" t="n">
        <x:v>7.92</x:v>
      </x:c>
      <x:c r="H339" s="28" t="str">
        <x:v>Troca de ferramenta</x:v>
      </x:c>
      <x:c r="I339" s="28" t="str">
        <x:v>Não</x:v>
      </x:c>
    </x:row>
    <x:row r="340">
      <x:c r="A340" s="34" t="n">
        <x:v>45439</x:v>
      </x:c>
      <x:c r="B340" s="28" t="str">
        <x:v>Grupo Industrial S.A.</x:v>
      </x:c>
      <x:c r="C340" s="28" t="str">
        <x:v>Planta Curitiba</x:v>
      </x:c>
      <x:c r="D340" s="28" t="str">
        <x:v>Linha 6 - Finalização</x:v>
      </x:c>
      <x:c r="E340" s="28" t="str">
        <x:v>EQ-6-02</x:v>
      </x:c>
      <x:c r="F340" s="28" t="str">
        <x:v>Corretiva</x:v>
      </x:c>
      <x:c r="G340" s="32" t="n">
        <x:v>5.68</x:v>
      </x:c>
      <x:c r="H340" s="28" t="str">
        <x:v>Microparadas</x:v>
      </x:c>
      <x:c r="I340" s="28" t="str">
        <x:v>Não</x:v>
      </x:c>
    </x:row>
    <x:row r="341">
      <x:c r="A341" s="34" t="n">
        <x:v>45439</x:v>
      </x:c>
      <x:c r="B341" s="28" t="str">
        <x:v>Grupo Industrial S.A.</x:v>
      </x:c>
      <x:c r="C341" s="28" t="str">
        <x:v>Planta Curitiba</x:v>
      </x:c>
      <x:c r="D341" s="28" t="str">
        <x:v>Linha 6 - Finalização</x:v>
      </x:c>
      <x:c r="E341" s="28" t="str">
        <x:v>EQ-6-03</x:v>
      </x:c>
      <x:c r="F341" s="28" t="str">
        <x:v>Corretiva</x:v>
      </x:c>
      <x:c r="G341" s="32" t="n">
        <x:v>6.83</x:v>
      </x:c>
      <x:c r="H341" s="28" t="str">
        <x:v>Quebras</x:v>
      </x:c>
      <x:c r="I341" s="28" t="str">
        <x:v>Sim</x:v>
      </x:c>
    </x:row>
    <x:row r="342">
      <x:c r="A342" s="34" t="n">
        <x:v>45446</x:v>
      </x:c>
      <x:c r="B342" s="28" t="str">
        <x:v>Grupo Industrial S.A.</x:v>
      </x:c>
      <x:c r="C342" s="28" t="str">
        <x:v>Planta São Paulo</x:v>
      </x:c>
      <x:c r="D342" s="28" t="str">
        <x:v>Linha 1 - Corte</x:v>
      </x:c>
      <x:c r="E342" s="28" t="str">
        <x:v>EQ-1-01</x:v>
      </x:c>
      <x:c r="F342" s="28" t="str">
        <x:v>Corretiva</x:v>
      </x:c>
      <x:c r="G342" s="32" t="n">
        <x:v>3.53</x:v>
      </x:c>
      <x:c r="H342" s="28" t="str">
        <x:v>Microparadas</x:v>
      </x:c>
      <x:c r="I342" s="28" t="str">
        <x:v>Não</x:v>
      </x:c>
    </x:row>
    <x:row r="343">
      <x:c r="A343" s="34" t="n">
        <x:v>45446</x:v>
      </x:c>
      <x:c r="B343" s="28" t="str">
        <x:v>Grupo Industrial S.A.</x:v>
      </x:c>
      <x:c r="C343" s="28" t="str">
        <x:v>Planta São Paulo</x:v>
      </x:c>
      <x:c r="D343" s="28" t="str">
        <x:v>Linha 1 - Corte</x:v>
      </x:c>
      <x:c r="E343" s="28" t="str">
        <x:v>EQ-1-02</x:v>
      </x:c>
      <x:c r="F343" s="28" t="str">
        <x:v>Corretiva</x:v>
      </x:c>
      <x:c r="G343" s="32" t="n">
        <x:v>8.78</x:v>
      </x:c>
      <x:c r="H343" s="28" t="str">
        <x:v>Quebras</x:v>
      </x:c>
      <x:c r="I343" s="28" t="str">
        <x:v>Sim</x:v>
      </x:c>
    </x:row>
    <x:row r="344">
      <x:c r="A344" s="34" t="n">
        <x:v>45446</x:v>
      </x:c>
      <x:c r="B344" s="28" t="str">
        <x:v>Grupo Industrial S.A.</x:v>
      </x:c>
      <x:c r="C344" s="28" t="str">
        <x:v>Planta São Paulo</x:v>
      </x:c>
      <x:c r="D344" s="28" t="str">
        <x:v>Linha 2 - Montagem</x:v>
      </x:c>
      <x:c r="E344" s="28" t="str">
        <x:v>EQ-2-01</x:v>
      </x:c>
      <x:c r="F344" s="28" t="str">
        <x:v>Corretiva</x:v>
      </x:c>
      <x:c r="G344" s="32" t="n">
        <x:v>6.09</x:v>
      </x:c>
      <x:c r="H344" s="28" t="str">
        <x:v>Quebras</x:v>
      </x:c>
      <x:c r="I344" s="28" t="str">
        <x:v>Sim</x:v>
      </x:c>
    </x:row>
    <x:row r="345">
      <x:c r="A345" s="34" t="n">
        <x:v>45446</x:v>
      </x:c>
      <x:c r="B345" s="28" t="str">
        <x:v>Grupo Industrial S.A.</x:v>
      </x:c>
      <x:c r="C345" s="28" t="str">
        <x:v>Planta São Paulo</x:v>
      </x:c>
      <x:c r="D345" s="28" t="str">
        <x:v>Linha 2 - Montagem</x:v>
      </x:c>
      <x:c r="E345" s="28" t="str">
        <x:v>EQ-2-02</x:v>
      </x:c>
      <x:c r="F345" s="28" t="str">
        <x:v>Operacional</x:v>
      </x:c>
      <x:c r="G345" s="32" t="n">
        <x:v>8.58</x:v>
      </x:c>
      <x:c r="H345" s="28" t="str">
        <x:v>Setup</x:v>
      </x:c>
      <x:c r="I345" s="28" t="str">
        <x:v>Não</x:v>
      </x:c>
    </x:row>
    <x:row r="346">
      <x:c r="A346" s="34" t="n">
        <x:v>45446</x:v>
      </x:c>
      <x:c r="B346" s="28" t="str">
        <x:v>Grupo Industrial S.A.</x:v>
      </x:c>
      <x:c r="C346" s="28" t="str">
        <x:v>Planta Campinas</x:v>
      </x:c>
      <x:c r="D346" s="28" t="str">
        <x:v>Linha 3 - Extrusão</x:v>
      </x:c>
      <x:c r="E346" s="28" t="str">
        <x:v>EQ-3-01</x:v>
      </x:c>
      <x:c r="F346" s="28" t="str">
        <x:v>Operacional</x:v>
      </x:c>
      <x:c r="G346" s="32" t="n">
        <x:v>9.26</x:v>
      </x:c>
      <x:c r="H346" s="28" t="str">
        <x:v>Falta de material</x:v>
      </x:c>
      <x:c r="I346" s="28" t="str">
        <x:v>Sim</x:v>
      </x:c>
    </x:row>
    <x:row r="347">
      <x:c r="A347" s="34" t="n">
        <x:v>45446</x:v>
      </x:c>
      <x:c r="B347" s="28" t="str">
        <x:v>Grupo Industrial S.A.</x:v>
      </x:c>
      <x:c r="C347" s="28" t="str">
        <x:v>Planta Campinas</x:v>
      </x:c>
      <x:c r="D347" s="28" t="str">
        <x:v>Linha 3 - Extrusão</x:v>
      </x:c>
      <x:c r="E347" s="28" t="str">
        <x:v>EQ-3-02</x:v>
      </x:c>
      <x:c r="F347" s="28" t="str">
        <x:v>Operacional</x:v>
      </x:c>
      <x:c r="G347" s="32" t="n">
        <x:v>4.42</x:v>
      </x:c>
      <x:c r="H347" s="28" t="str">
        <x:v>Setup</x:v>
      </x:c>
      <x:c r="I347" s="28" t="str">
        <x:v>Não</x:v>
      </x:c>
    </x:row>
    <x:row r="348">
      <x:c r="A348" s="34" t="n">
        <x:v>45446</x:v>
      </x:c>
      <x:c r="B348" s="28" t="str">
        <x:v>Grupo Industrial S.A.</x:v>
      </x:c>
      <x:c r="C348" s="28" t="str">
        <x:v>Planta Campinas</x:v>
      </x:c>
      <x:c r="D348" s="28" t="str">
        <x:v>Linha 3 - Extrusão</x:v>
      </x:c>
      <x:c r="E348" s="28" t="str">
        <x:v>EQ-3-03</x:v>
      </x:c>
      <x:c r="F348" s="28" t="str">
        <x:v>Operacional</x:v>
      </x:c>
      <x:c r="G348" s="32" t="n">
        <x:v>8.1</x:v>
      </x:c>
      <x:c r="H348" s="28" t="str">
        <x:v>Falta de material</x:v>
      </x:c>
      <x:c r="I348" s="28" t="str">
        <x:v>Sim</x:v>
      </x:c>
    </x:row>
    <x:row r="349">
      <x:c r="A349" s="34" t="n">
        <x:v>45446</x:v>
      </x:c>
      <x:c r="B349" s="28" t="str">
        <x:v>Grupo Industrial S.A.</x:v>
      </x:c>
      <x:c r="C349" s="28" t="str">
        <x:v>Planta Campinas</x:v>
      </x:c>
      <x:c r="D349" s="28" t="str">
        <x:v>Linha 4 - Embalagem</x:v>
      </x:c>
      <x:c r="E349" s="28" t="str">
        <x:v>EQ-4-01</x:v>
      </x:c>
      <x:c r="F349" s="28" t="str">
        <x:v>Operacional</x:v>
      </x:c>
      <x:c r="G349" s="32" t="n">
        <x:v>11</x:v>
      </x:c>
      <x:c r="H349" s="28" t="str">
        <x:v>Setup</x:v>
      </x:c>
      <x:c r="I349" s="28" t="str">
        <x:v>Não</x:v>
      </x:c>
    </x:row>
    <x:row r="350">
      <x:c r="A350" s="34" t="n">
        <x:v>45446</x:v>
      </x:c>
      <x:c r="B350" s="28" t="str">
        <x:v>Grupo Industrial S.A.</x:v>
      </x:c>
      <x:c r="C350" s="28" t="str">
        <x:v>Planta Campinas</x:v>
      </x:c>
      <x:c r="D350" s="28" t="str">
        <x:v>Linha 4 - Embalagem</x:v>
      </x:c>
      <x:c r="E350" s="28" t="str">
        <x:v>EQ-4-02</x:v>
      </x:c>
      <x:c r="F350" s="28" t="str">
        <x:v>Operacional</x:v>
      </x:c>
      <x:c r="G350" s="32" t="n">
        <x:v>4.65</x:v>
      </x:c>
      <x:c r="H350" s="28" t="str">
        <x:v>Falta de material</x:v>
      </x:c>
      <x:c r="I350" s="28" t="str">
        <x:v>Sim</x:v>
      </x:c>
    </x:row>
    <x:row r="351">
      <x:c r="A351" s="34" t="n">
        <x:v>45446</x:v>
      </x:c>
      <x:c r="B351" s="28" t="str">
        <x:v>Grupo Industrial S.A.</x:v>
      </x:c>
      <x:c r="C351" s="28" t="str">
        <x:v>Planta Campinas</x:v>
      </x:c>
      <x:c r="D351" s="28" t="str">
        <x:v>Linha 4 - Embalagem</x:v>
      </x:c>
      <x:c r="E351" s="28" t="str">
        <x:v>EQ-4-03</x:v>
      </x:c>
      <x:c r="F351" s="28" t="str">
        <x:v>Operacional</x:v>
      </x:c>
      <x:c r="G351" s="32" t="n">
        <x:v>5.88</x:v>
      </x:c>
      <x:c r="H351" s="28" t="str">
        <x:v>Falta de material</x:v>
      </x:c>
      <x:c r="I351" s="28" t="str">
        <x:v>Sim</x:v>
      </x:c>
    </x:row>
    <x:row r="352">
      <x:c r="A352" s="34" t="n">
        <x:v>45446</x:v>
      </x:c>
      <x:c r="B352" s="28" t="str">
        <x:v>Grupo Industrial S.A.</x:v>
      </x:c>
      <x:c r="C352" s="28" t="str">
        <x:v>Planta Curitiba</x:v>
      </x:c>
      <x:c r="D352" s="28" t="str">
        <x:v>Linha 5 - Usinagem</x:v>
      </x:c>
      <x:c r="E352" s="28" t="str">
        <x:v>EQ-5-01</x:v>
      </x:c>
      <x:c r="F352" s="28" t="str">
        <x:v>Operacional</x:v>
      </x:c>
      <x:c r="G352" s="32" t="n">
        <x:v>7.75</x:v>
      </x:c>
      <x:c r="H352" s="28" t="str">
        <x:v>Setup</x:v>
      </x:c>
      <x:c r="I352" s="28" t="str">
        <x:v>Não</x:v>
      </x:c>
    </x:row>
    <x:row r="353">
      <x:c r="A353" s="34" t="n">
        <x:v>45446</x:v>
      </x:c>
      <x:c r="B353" s="28" t="str">
        <x:v>Grupo Industrial S.A.</x:v>
      </x:c>
      <x:c r="C353" s="28" t="str">
        <x:v>Planta Curitiba</x:v>
      </x:c>
      <x:c r="D353" s="28" t="str">
        <x:v>Linha 5 - Usinagem</x:v>
      </x:c>
      <x:c r="E353" s="28" t="str">
        <x:v>EQ-5-02</x:v>
      </x:c>
      <x:c r="F353" s="28" t="str">
        <x:v>Corretiva</x:v>
      </x:c>
      <x:c r="G353" s="32" t="n">
        <x:v>4.08</x:v>
      </x:c>
      <x:c r="H353" s="28" t="str">
        <x:v>Microparadas</x:v>
      </x:c>
      <x:c r="I353" s="28" t="str">
        <x:v>Não</x:v>
      </x:c>
    </x:row>
    <x:row r="354">
      <x:c r="A354" s="34" t="n">
        <x:v>45446</x:v>
      </x:c>
      <x:c r="B354" s="28" t="str">
        <x:v>Grupo Industrial S.A.</x:v>
      </x:c>
      <x:c r="C354" s="28" t="str">
        <x:v>Planta Curitiba</x:v>
      </x:c>
      <x:c r="D354" s="28" t="str">
        <x:v>Linha 5 - Usinagem</x:v>
      </x:c>
      <x:c r="E354" s="28" t="str">
        <x:v>EQ-5-03</x:v>
      </x:c>
      <x:c r="F354" s="28" t="str">
        <x:v>Corretiva</x:v>
      </x:c>
      <x:c r="G354" s="32" t="n">
        <x:v>6.42</x:v>
      </x:c>
      <x:c r="H354" s="28" t="str">
        <x:v>Quebras</x:v>
      </x:c>
      <x:c r="I354" s="28" t="str">
        <x:v>Sim</x:v>
      </x:c>
    </x:row>
    <x:row r="355">
      <x:c r="A355" s="34" t="n">
        <x:v>45446</x:v>
      </x:c>
      <x:c r="B355" s="28" t="str">
        <x:v>Grupo Industrial S.A.</x:v>
      </x:c>
      <x:c r="C355" s="28" t="str">
        <x:v>Planta Curitiba</x:v>
      </x:c>
      <x:c r="D355" s="28" t="str">
        <x:v>Linha 6 - Finalização</x:v>
      </x:c>
      <x:c r="E355" s="28" t="str">
        <x:v>EQ-6-01</x:v>
      </x:c>
      <x:c r="F355" s="28" t="str">
        <x:v>Operacional</x:v>
      </x:c>
      <x:c r="G355" s="32" t="n">
        <x:v>7.77</x:v>
      </x:c>
      <x:c r="H355" s="28" t="str">
        <x:v>Setup</x:v>
      </x:c>
      <x:c r="I355" s="28" t="str">
        <x:v>Não</x:v>
      </x:c>
    </x:row>
    <x:row r="356">
      <x:c r="A356" s="34" t="n">
        <x:v>45446</x:v>
      </x:c>
      <x:c r="B356" s="28" t="str">
        <x:v>Grupo Industrial S.A.</x:v>
      </x:c>
      <x:c r="C356" s="28" t="str">
        <x:v>Planta Curitiba</x:v>
      </x:c>
      <x:c r="D356" s="28" t="str">
        <x:v>Linha 6 - Finalização</x:v>
      </x:c>
      <x:c r="E356" s="28" t="str">
        <x:v>EQ-6-02</x:v>
      </x:c>
      <x:c r="F356" s="28" t="str">
        <x:v>Corretiva</x:v>
      </x:c>
      <x:c r="G356" s="32" t="n">
        <x:v>8</x:v>
      </x:c>
      <x:c r="H356" s="28" t="str">
        <x:v>Quebras</x:v>
      </x:c>
      <x:c r="I356" s="28" t="str">
        <x:v>Sim</x:v>
      </x:c>
    </x:row>
    <x:row r="357">
      <x:c r="A357" s="34" t="n">
        <x:v>45453</x:v>
      </x:c>
      <x:c r="B357" s="28" t="str">
        <x:v>Grupo Industrial S.A.</x:v>
      </x:c>
      <x:c r="C357" s="28" t="str">
        <x:v>Planta São Paulo</x:v>
      </x:c>
      <x:c r="D357" s="28" t="str">
        <x:v>Linha 1 - Corte</x:v>
      </x:c>
      <x:c r="E357" s="28" t="str">
        <x:v>EQ-1-01</x:v>
      </x:c>
      <x:c r="F357" s="28" t="str">
        <x:v>Corretiva</x:v>
      </x:c>
      <x:c r="G357" s="32" t="n">
        <x:v>6.08</x:v>
      </x:c>
      <x:c r="H357" s="28" t="str">
        <x:v>Elétrica</x:v>
      </x:c>
      <x:c r="I357" s="28" t="str">
        <x:v>Sim</x:v>
      </x:c>
    </x:row>
    <x:row r="358">
      <x:c r="A358" s="34" t="n">
        <x:v>45453</x:v>
      </x:c>
      <x:c r="B358" s="28" t="str">
        <x:v>Grupo Industrial S.A.</x:v>
      </x:c>
      <x:c r="C358" s="28" t="str">
        <x:v>Planta São Paulo</x:v>
      </x:c>
      <x:c r="D358" s="28" t="str">
        <x:v>Linha 1 - Corte</x:v>
      </x:c>
      <x:c r="E358" s="28" t="str">
        <x:v>EQ-1-02</x:v>
      </x:c>
      <x:c r="F358" s="28" t="str">
        <x:v>Operacional</x:v>
      </x:c>
      <x:c r="G358" s="32" t="n">
        <x:v>10.86</x:v>
      </x:c>
      <x:c r="H358" s="28" t="str">
        <x:v>Setup</x:v>
      </x:c>
      <x:c r="I358" s="28" t="str">
        <x:v>Não</x:v>
      </x:c>
    </x:row>
    <x:row r="359">
      <x:c r="A359" s="34" t="n">
        <x:v>45453</x:v>
      </x:c>
      <x:c r="B359" s="28" t="str">
        <x:v>Grupo Industrial S.A.</x:v>
      </x:c>
      <x:c r="C359" s="28" t="str">
        <x:v>Planta São Paulo</x:v>
      </x:c>
      <x:c r="D359" s="28" t="str">
        <x:v>Linha 2 - Montagem</x:v>
      </x:c>
      <x:c r="E359" s="28" t="str">
        <x:v>EQ-2-01</x:v>
      </x:c>
      <x:c r="F359" s="28" t="str">
        <x:v>Corretiva</x:v>
      </x:c>
      <x:c r="G359" s="32" t="n">
        <x:v>4.22</x:v>
      </x:c>
      <x:c r="H359" s="28" t="str">
        <x:v>Microparadas</x:v>
      </x:c>
      <x:c r="I359" s="28" t="str">
        <x:v>Não</x:v>
      </x:c>
    </x:row>
    <x:row r="360">
      <x:c r="A360" s="34" t="n">
        <x:v>45453</x:v>
      </x:c>
      <x:c r="B360" s="28" t="str">
        <x:v>Grupo Industrial S.A.</x:v>
      </x:c>
      <x:c r="C360" s="28" t="str">
        <x:v>Planta São Paulo</x:v>
      </x:c>
      <x:c r="D360" s="28" t="str">
        <x:v>Linha 2 - Montagem</x:v>
      </x:c>
      <x:c r="E360" s="28" t="str">
        <x:v>EQ-2-02</x:v>
      </x:c>
      <x:c r="F360" s="28" t="str">
        <x:v>Corretiva</x:v>
      </x:c>
      <x:c r="G360" s="32" t="n">
        <x:v>10.64</x:v>
      </x:c>
      <x:c r="H360" s="28" t="str">
        <x:v>Microparadas</x:v>
      </x:c>
      <x:c r="I360" s="28" t="str">
        <x:v>Não</x:v>
      </x:c>
    </x:row>
    <x:row r="361">
      <x:c r="A361" s="34" t="n">
        <x:v>45453</x:v>
      </x:c>
      <x:c r="B361" s="28" t="str">
        <x:v>Grupo Industrial S.A.</x:v>
      </x:c>
      <x:c r="C361" s="28" t="str">
        <x:v>Planta Campinas</x:v>
      </x:c>
      <x:c r="D361" s="28" t="str">
        <x:v>Linha 3 - Extrusão</x:v>
      </x:c>
      <x:c r="E361" s="28" t="str">
        <x:v>EQ-3-01</x:v>
      </x:c>
      <x:c r="F361" s="28" t="str">
        <x:v>Corretiva</x:v>
      </x:c>
      <x:c r="G361" s="32" t="n">
        <x:v>7.18</x:v>
      </x:c>
      <x:c r="H361" s="28" t="str">
        <x:v>Quebras</x:v>
      </x:c>
      <x:c r="I361" s="28" t="str">
        <x:v>Sim</x:v>
      </x:c>
    </x:row>
    <x:row r="362">
      <x:c r="A362" s="34" t="n">
        <x:v>45453</x:v>
      </x:c>
      <x:c r="B362" s="28" t="str">
        <x:v>Grupo Industrial S.A.</x:v>
      </x:c>
      <x:c r="C362" s="28" t="str">
        <x:v>Planta Campinas</x:v>
      </x:c>
      <x:c r="D362" s="28" t="str">
        <x:v>Linha 3 - Extrusão</x:v>
      </x:c>
      <x:c r="E362" s="28" t="str">
        <x:v>EQ-3-02</x:v>
      </x:c>
      <x:c r="F362" s="28" t="str">
        <x:v>Corretiva</x:v>
      </x:c>
      <x:c r="G362" s="32" t="n">
        <x:v>8.42</x:v>
      </x:c>
      <x:c r="H362" s="28" t="str">
        <x:v>Quebras</x:v>
      </x:c>
      <x:c r="I362" s="28" t="str">
        <x:v>Sim</x:v>
      </x:c>
    </x:row>
    <x:row r="363">
      <x:c r="A363" s="34" t="n">
        <x:v>45453</x:v>
      </x:c>
      <x:c r="B363" s="28" t="str">
        <x:v>Grupo Industrial S.A.</x:v>
      </x:c>
      <x:c r="C363" s="28" t="str">
        <x:v>Planta Campinas</x:v>
      </x:c>
      <x:c r="D363" s="28" t="str">
        <x:v>Linha 3 - Extrusão</x:v>
      </x:c>
      <x:c r="E363" s="28" t="str">
        <x:v>EQ-3-03</x:v>
      </x:c>
      <x:c r="F363" s="28" t="str">
        <x:v>Corretiva</x:v>
      </x:c>
      <x:c r="G363" s="32" t="n">
        <x:v>10.01</x:v>
      </x:c>
      <x:c r="H363" s="28" t="str">
        <x:v>Quebras</x:v>
      </x:c>
      <x:c r="I363" s="28" t="str">
        <x:v>Sim</x:v>
      </x:c>
    </x:row>
    <x:row r="364">
      <x:c r="A364" s="34" t="n">
        <x:v>45453</x:v>
      </x:c>
      <x:c r="B364" s="28" t="str">
        <x:v>Grupo Industrial S.A.</x:v>
      </x:c>
      <x:c r="C364" s="28" t="str">
        <x:v>Planta Campinas</x:v>
      </x:c>
      <x:c r="D364" s="28" t="str">
        <x:v>Linha 4 - Embalagem</x:v>
      </x:c>
      <x:c r="E364" s="28" t="str">
        <x:v>EQ-4-01</x:v>
      </x:c>
      <x:c r="F364" s="28" t="str">
        <x:v>Corretiva</x:v>
      </x:c>
      <x:c r="G364" s="32" t="n">
        <x:v>7.99</x:v>
      </x:c>
      <x:c r="H364" s="28" t="str">
        <x:v>Quebras</x:v>
      </x:c>
      <x:c r="I364" s="28" t="str">
        <x:v>Sim</x:v>
      </x:c>
    </x:row>
    <x:row r="365">
      <x:c r="A365" s="34" t="n">
        <x:v>45453</x:v>
      </x:c>
      <x:c r="B365" s="28" t="str">
        <x:v>Grupo Industrial S.A.</x:v>
      </x:c>
      <x:c r="C365" s="28" t="str">
        <x:v>Planta Campinas</x:v>
      </x:c>
      <x:c r="D365" s="28" t="str">
        <x:v>Linha 4 - Embalagem</x:v>
      </x:c>
      <x:c r="E365" s="28" t="str">
        <x:v>EQ-4-02</x:v>
      </x:c>
      <x:c r="F365" s="28" t="str">
        <x:v>Operacional</x:v>
      </x:c>
      <x:c r="G365" s="32" t="n">
        <x:v>4.93</x:v>
      </x:c>
      <x:c r="H365" s="28" t="str">
        <x:v>Falta de material</x:v>
      </x:c>
      <x:c r="I365" s="28" t="str">
        <x:v>Sim</x:v>
      </x:c>
    </x:row>
    <x:row r="366">
      <x:c r="A366" s="34" t="n">
        <x:v>45453</x:v>
      </x:c>
      <x:c r="B366" s="28" t="str">
        <x:v>Grupo Industrial S.A.</x:v>
      </x:c>
      <x:c r="C366" s="28" t="str">
        <x:v>Planta Campinas</x:v>
      </x:c>
      <x:c r="D366" s="28" t="str">
        <x:v>Linha 4 - Embalagem</x:v>
      </x:c>
      <x:c r="E366" s="28" t="str">
        <x:v>EQ-4-03</x:v>
      </x:c>
      <x:c r="F366" s="28" t="str">
        <x:v>Operacional</x:v>
      </x:c>
      <x:c r="G366" s="32" t="n">
        <x:v>12.26</x:v>
      </x:c>
      <x:c r="H366" s="28" t="str">
        <x:v>Setup</x:v>
      </x:c>
      <x:c r="I366" s="28" t="str">
        <x:v>Não</x:v>
      </x:c>
    </x:row>
    <x:row r="367">
      <x:c r="A367" s="34" t="n">
        <x:v>45453</x:v>
      </x:c>
      <x:c r="B367" s="28" t="str">
        <x:v>Grupo Industrial S.A.</x:v>
      </x:c>
      <x:c r="C367" s="28" t="str">
        <x:v>Planta Curitiba</x:v>
      </x:c>
      <x:c r="D367" s="28" t="str">
        <x:v>Linha 5 - Usinagem</x:v>
      </x:c>
      <x:c r="E367" s="28" t="str">
        <x:v>EQ-5-01</x:v>
      </x:c>
      <x:c r="F367" s="28" t="str">
        <x:v>Operacional</x:v>
      </x:c>
      <x:c r="G367" s="32" t="n">
        <x:v>8.29</x:v>
      </x:c>
      <x:c r="H367" s="28" t="str">
        <x:v>Setup</x:v>
      </x:c>
      <x:c r="I367" s="28" t="str">
        <x:v>Não</x:v>
      </x:c>
    </x:row>
    <x:row r="368">
      <x:c r="A368" s="34" t="n">
        <x:v>45453</x:v>
      </x:c>
      <x:c r="B368" s="28" t="str">
        <x:v>Grupo Industrial S.A.</x:v>
      </x:c>
      <x:c r="C368" s="28" t="str">
        <x:v>Planta Curitiba</x:v>
      </x:c>
      <x:c r="D368" s="28" t="str">
        <x:v>Linha 5 - Usinagem</x:v>
      </x:c>
      <x:c r="E368" s="28" t="str">
        <x:v>EQ-5-02</x:v>
      </x:c>
      <x:c r="F368" s="28" t="str">
        <x:v>Operacional</x:v>
      </x:c>
      <x:c r="G368" s="32" t="n">
        <x:v>7.76</x:v>
      </x:c>
      <x:c r="H368" s="28" t="str">
        <x:v>Setup</x:v>
      </x:c>
      <x:c r="I368" s="28" t="str">
        <x:v>Não</x:v>
      </x:c>
    </x:row>
    <x:row r="369">
      <x:c r="A369" s="34" t="n">
        <x:v>45453</x:v>
      </x:c>
      <x:c r="B369" s="28" t="str">
        <x:v>Grupo Industrial S.A.</x:v>
      </x:c>
      <x:c r="C369" s="28" t="str">
        <x:v>Planta Curitiba</x:v>
      </x:c>
      <x:c r="D369" s="28" t="str">
        <x:v>Linha 6 - Finalização</x:v>
      </x:c>
      <x:c r="E369" s="28" t="str">
        <x:v>EQ-6-01</x:v>
      </x:c>
      <x:c r="F369" s="28" t="str">
        <x:v>Corretiva</x:v>
      </x:c>
      <x:c r="G369" s="32" t="n">
        <x:v>7.28</x:v>
      </x:c>
      <x:c r="H369" s="28" t="str">
        <x:v>Microparadas</x:v>
      </x:c>
      <x:c r="I369" s="28" t="str">
        <x:v>Não</x:v>
      </x:c>
    </x:row>
    <x:row r="370">
      <x:c r="A370" s="34" t="n">
        <x:v>45453</x:v>
      </x:c>
      <x:c r="B370" s="28" t="str">
        <x:v>Grupo Industrial S.A.</x:v>
      </x:c>
      <x:c r="C370" s="28" t="str">
        <x:v>Planta Curitiba</x:v>
      </x:c>
      <x:c r="D370" s="28" t="str">
        <x:v>Linha 6 - Finalização</x:v>
      </x:c>
      <x:c r="E370" s="28" t="str">
        <x:v>EQ-6-02</x:v>
      </x:c>
      <x:c r="F370" s="28" t="str">
        <x:v>Corretiva</x:v>
      </x:c>
      <x:c r="G370" s="32" t="n">
        <x:v>4.27</x:v>
      </x:c>
      <x:c r="H370" s="28" t="str">
        <x:v>Microparadas</x:v>
      </x:c>
      <x:c r="I370" s="28" t="str">
        <x:v>Não</x:v>
      </x:c>
    </x:row>
    <x:row r="371">
      <x:c r="A371" s="34" t="n">
        <x:v>45453</x:v>
      </x:c>
      <x:c r="B371" s="28" t="str">
        <x:v>Grupo Industrial S.A.</x:v>
      </x:c>
      <x:c r="C371" s="28" t="str">
        <x:v>Planta Curitiba</x:v>
      </x:c>
      <x:c r="D371" s="28" t="str">
        <x:v>Linha 6 - Finalização</x:v>
      </x:c>
      <x:c r="E371" s="28" t="str">
        <x:v>EQ-6-03</x:v>
      </x:c>
      <x:c r="F371" s="28" t="str">
        <x:v>Operacional</x:v>
      </x:c>
      <x:c r="G371" s="32" t="n">
        <x:v>6.86</x:v>
      </x:c>
      <x:c r="H371" s="28" t="str">
        <x:v>Troca de ferramenta</x:v>
      </x:c>
      <x:c r="I371" s="28" t="str">
        <x:v>Não</x:v>
      </x:c>
    </x:row>
    <x:row r="372">
      <x:c r="A372" s="34" t="n">
        <x:v>45460</x:v>
      </x:c>
      <x:c r="B372" s="28" t="str">
        <x:v>Grupo Industrial S.A.</x:v>
      </x:c>
      <x:c r="C372" s="28" t="str">
        <x:v>Planta São Paulo</x:v>
      </x:c>
      <x:c r="D372" s="28" t="str">
        <x:v>Linha 1 - Corte</x:v>
      </x:c>
      <x:c r="E372" s="28" t="str">
        <x:v>EQ-1-01</x:v>
      </x:c>
      <x:c r="F372" s="28" t="str">
        <x:v>Operacional</x:v>
      </x:c>
      <x:c r="G372" s="32" t="n">
        <x:v>7.48</x:v>
      </x:c>
      <x:c r="H372" s="28" t="str">
        <x:v>Setup</x:v>
      </x:c>
      <x:c r="I372" s="28" t="str">
        <x:v>Não</x:v>
      </x:c>
    </x:row>
    <x:row r="373">
      <x:c r="A373" s="34" t="n">
        <x:v>45460</x:v>
      </x:c>
      <x:c r="B373" s="28" t="str">
        <x:v>Grupo Industrial S.A.</x:v>
      </x:c>
      <x:c r="C373" s="28" t="str">
        <x:v>Planta São Paulo</x:v>
      </x:c>
      <x:c r="D373" s="28" t="str">
        <x:v>Linha 1 - Corte</x:v>
      </x:c>
      <x:c r="E373" s="28" t="str">
        <x:v>EQ-1-02</x:v>
      </x:c>
      <x:c r="F373" s="28" t="str">
        <x:v>Corretiva</x:v>
      </x:c>
      <x:c r="G373" s="32" t="n">
        <x:v>8.57</x:v>
      </x:c>
      <x:c r="H373" s="28" t="str">
        <x:v>Elétrica</x:v>
      </x:c>
      <x:c r="I373" s="28" t="str">
        <x:v>Sim</x:v>
      </x:c>
    </x:row>
    <x:row r="374">
      <x:c r="A374" s="34" t="n">
        <x:v>45460</x:v>
      </x:c>
      <x:c r="B374" s="28" t="str">
        <x:v>Grupo Industrial S.A.</x:v>
      </x:c>
      <x:c r="C374" s="28" t="str">
        <x:v>Planta São Paulo</x:v>
      </x:c>
      <x:c r="D374" s="28" t="str">
        <x:v>Linha 2 - Montagem</x:v>
      </x:c>
      <x:c r="E374" s="28" t="str">
        <x:v>EQ-2-01</x:v>
      </x:c>
      <x:c r="F374" s="28" t="str">
        <x:v>Corretiva</x:v>
      </x:c>
      <x:c r="G374" s="32" t="n">
        <x:v>5.77</x:v>
      </x:c>
      <x:c r="H374" s="28" t="str">
        <x:v>Microparadas</x:v>
      </x:c>
      <x:c r="I374" s="28" t="str">
        <x:v>Não</x:v>
      </x:c>
    </x:row>
    <x:row r="375">
      <x:c r="A375" s="34" t="n">
        <x:v>45460</x:v>
      </x:c>
      <x:c r="B375" s="28" t="str">
        <x:v>Grupo Industrial S.A.</x:v>
      </x:c>
      <x:c r="C375" s="28" t="str">
        <x:v>Planta São Paulo</x:v>
      </x:c>
      <x:c r="D375" s="28" t="str">
        <x:v>Linha 2 - Montagem</x:v>
      </x:c>
      <x:c r="E375" s="28" t="str">
        <x:v>EQ-2-02</x:v>
      </x:c>
      <x:c r="F375" s="28" t="str">
        <x:v>Operacional</x:v>
      </x:c>
      <x:c r="G375" s="32" t="n">
        <x:v>7.69</x:v>
      </x:c>
      <x:c r="H375" s="28" t="str">
        <x:v>Setup</x:v>
      </x:c>
      <x:c r="I375" s="28" t="str">
        <x:v>Não</x:v>
      </x:c>
    </x:row>
    <x:row r="376">
      <x:c r="A376" s="34" t="n">
        <x:v>45460</x:v>
      </x:c>
      <x:c r="B376" s="28" t="str">
        <x:v>Grupo Industrial S.A.</x:v>
      </x:c>
      <x:c r="C376" s="28" t="str">
        <x:v>Planta Campinas</x:v>
      </x:c>
      <x:c r="D376" s="28" t="str">
        <x:v>Linha 3 - Extrusão</x:v>
      </x:c>
      <x:c r="E376" s="28" t="str">
        <x:v>EQ-3-01</x:v>
      </x:c>
      <x:c r="F376" s="28" t="str">
        <x:v>Operacional</x:v>
      </x:c>
      <x:c r="G376" s="32" t="n">
        <x:v>9.05</x:v>
      </x:c>
      <x:c r="H376" s="28" t="str">
        <x:v>Setup</x:v>
      </x:c>
      <x:c r="I376" s="28" t="str">
        <x:v>Não</x:v>
      </x:c>
    </x:row>
    <x:row r="377">
      <x:c r="A377" s="34" t="n">
        <x:v>45460</x:v>
      </x:c>
      <x:c r="B377" s="28" t="str">
        <x:v>Grupo Industrial S.A.</x:v>
      </x:c>
      <x:c r="C377" s="28" t="str">
        <x:v>Planta Campinas</x:v>
      </x:c>
      <x:c r="D377" s="28" t="str">
        <x:v>Linha 3 - Extrusão</x:v>
      </x:c>
      <x:c r="E377" s="28" t="str">
        <x:v>EQ-3-02</x:v>
      </x:c>
      <x:c r="F377" s="28" t="str">
        <x:v>Operacional</x:v>
      </x:c>
      <x:c r="G377" s="32" t="n">
        <x:v>6.08</x:v>
      </x:c>
      <x:c r="H377" s="28" t="str">
        <x:v>Falta de material</x:v>
      </x:c>
      <x:c r="I377" s="28" t="str">
        <x:v>Sim</x:v>
      </x:c>
    </x:row>
    <x:row r="378">
      <x:c r="A378" s="34" t="n">
        <x:v>45460</x:v>
      </x:c>
      <x:c r="B378" s="28" t="str">
        <x:v>Grupo Industrial S.A.</x:v>
      </x:c>
      <x:c r="C378" s="28" t="str">
        <x:v>Planta Campinas</x:v>
      </x:c>
      <x:c r="D378" s="28" t="str">
        <x:v>Linha 3 - Extrusão</x:v>
      </x:c>
      <x:c r="E378" s="28" t="str">
        <x:v>EQ-3-03</x:v>
      </x:c>
      <x:c r="F378" s="28" t="str">
        <x:v>Corretiva</x:v>
      </x:c>
      <x:c r="G378" s="32" t="n">
        <x:v>5.99</x:v>
      </x:c>
      <x:c r="H378" s="28" t="str">
        <x:v>Ajustes</x:v>
      </x:c>
      <x:c r="I378" s="28" t="str">
        <x:v>Não</x:v>
      </x:c>
    </x:row>
    <x:row r="379">
      <x:c r="A379" s="34" t="n">
        <x:v>45460</x:v>
      </x:c>
      <x:c r="B379" s="28" t="str">
        <x:v>Grupo Industrial S.A.</x:v>
      </x:c>
      <x:c r="C379" s="28" t="str">
        <x:v>Planta Campinas</x:v>
      </x:c>
      <x:c r="D379" s="28" t="str">
        <x:v>Linha 4 - Embalagem</x:v>
      </x:c>
      <x:c r="E379" s="28" t="str">
        <x:v>EQ-4-01</x:v>
      </x:c>
      <x:c r="F379" s="28" t="str">
        <x:v>Operacional</x:v>
      </x:c>
      <x:c r="G379" s="32" t="n">
        <x:v>8.76</x:v>
      </x:c>
      <x:c r="H379" s="28" t="str">
        <x:v>Setup</x:v>
      </x:c>
      <x:c r="I379" s="28" t="str">
        <x:v>Não</x:v>
      </x:c>
    </x:row>
    <x:row r="380">
      <x:c r="A380" s="34" t="n">
        <x:v>45460</x:v>
      </x:c>
      <x:c r="B380" s="28" t="str">
        <x:v>Grupo Industrial S.A.</x:v>
      </x:c>
      <x:c r="C380" s="28" t="str">
        <x:v>Planta Campinas</x:v>
      </x:c>
      <x:c r="D380" s="28" t="str">
        <x:v>Linha 4 - Embalagem</x:v>
      </x:c>
      <x:c r="E380" s="28" t="str">
        <x:v>EQ-4-02</x:v>
      </x:c>
      <x:c r="F380" s="28" t="str">
        <x:v>Operacional</x:v>
      </x:c>
      <x:c r="G380" s="32" t="n">
        <x:v>4.18</x:v>
      </x:c>
      <x:c r="H380" s="28" t="str">
        <x:v>Falta de material</x:v>
      </x:c>
      <x:c r="I380" s="28" t="str">
        <x:v>Sim</x:v>
      </x:c>
    </x:row>
    <x:row r="381">
      <x:c r="A381" s="34" t="n">
        <x:v>45460</x:v>
      </x:c>
      <x:c r="B381" s="28" t="str">
        <x:v>Grupo Industrial S.A.</x:v>
      </x:c>
      <x:c r="C381" s="28" t="str">
        <x:v>Planta Campinas</x:v>
      </x:c>
      <x:c r="D381" s="28" t="str">
        <x:v>Linha 4 - Embalagem</x:v>
      </x:c>
      <x:c r="E381" s="28" t="str">
        <x:v>EQ-4-03</x:v>
      </x:c>
      <x:c r="F381" s="28" t="str">
        <x:v>Operacional</x:v>
      </x:c>
      <x:c r="G381" s="32" t="n">
        <x:v>8.27</x:v>
      </x:c>
      <x:c r="H381" s="28" t="str">
        <x:v>Setup</x:v>
      </x:c>
      <x:c r="I381" s="28" t="str">
        <x:v>Não</x:v>
      </x:c>
    </x:row>
    <x:row r="382">
      <x:c r="A382" s="34" t="n">
        <x:v>45460</x:v>
      </x:c>
      <x:c r="B382" s="28" t="str">
        <x:v>Grupo Industrial S.A.</x:v>
      </x:c>
      <x:c r="C382" s="28" t="str">
        <x:v>Planta Curitiba</x:v>
      </x:c>
      <x:c r="D382" s="28" t="str">
        <x:v>Linha 5 - Usinagem</x:v>
      </x:c>
      <x:c r="E382" s="28" t="str">
        <x:v>EQ-5-01</x:v>
      </x:c>
      <x:c r="F382" s="28" t="str">
        <x:v>Operacional</x:v>
      </x:c>
      <x:c r="G382" s="32" t="n">
        <x:v>7.8</x:v>
      </x:c>
      <x:c r="H382" s="28" t="str">
        <x:v>Setup</x:v>
      </x:c>
      <x:c r="I382" s="28" t="str">
        <x:v>Não</x:v>
      </x:c>
    </x:row>
    <x:row r="383">
      <x:c r="A383" s="34" t="n">
        <x:v>45460</x:v>
      </x:c>
      <x:c r="B383" s="28" t="str">
        <x:v>Grupo Industrial S.A.</x:v>
      </x:c>
      <x:c r="C383" s="28" t="str">
        <x:v>Planta Curitiba</x:v>
      </x:c>
      <x:c r="D383" s="28" t="str">
        <x:v>Linha 5 - Usinagem</x:v>
      </x:c>
      <x:c r="E383" s="28" t="str">
        <x:v>EQ-5-02</x:v>
      </x:c>
      <x:c r="F383" s="28" t="str">
        <x:v>Operacional</x:v>
      </x:c>
      <x:c r="G383" s="32" t="n">
        <x:v>4.24</x:v>
      </x:c>
      <x:c r="H383" s="28" t="str">
        <x:v>Troca de ferramenta</x:v>
      </x:c>
      <x:c r="I383" s="28" t="str">
        <x:v>Não</x:v>
      </x:c>
    </x:row>
    <x:row r="384">
      <x:c r="A384" s="34" t="n">
        <x:v>45460</x:v>
      </x:c>
      <x:c r="B384" s="28" t="str">
        <x:v>Grupo Industrial S.A.</x:v>
      </x:c>
      <x:c r="C384" s="28" t="str">
        <x:v>Planta Curitiba</x:v>
      </x:c>
      <x:c r="D384" s="28" t="str">
        <x:v>Linha 5 - Usinagem</x:v>
      </x:c>
      <x:c r="E384" s="28" t="str">
        <x:v>EQ-5-03</x:v>
      </x:c>
      <x:c r="F384" s="28" t="str">
        <x:v>Operacional</x:v>
      </x:c>
      <x:c r="G384" s="32" t="n">
        <x:v>6.85</x:v>
      </x:c>
      <x:c r="H384" s="28" t="str">
        <x:v>Setup</x:v>
      </x:c>
      <x:c r="I384" s="28" t="str">
        <x:v>Não</x:v>
      </x:c>
    </x:row>
    <x:row r="385">
      <x:c r="A385" s="34" t="n">
        <x:v>45460</x:v>
      </x:c>
      <x:c r="B385" s="28" t="str">
        <x:v>Grupo Industrial S.A.</x:v>
      </x:c>
      <x:c r="C385" s="28" t="str">
        <x:v>Planta Curitiba</x:v>
      </x:c>
      <x:c r="D385" s="28" t="str">
        <x:v>Linha 6 - Finalização</x:v>
      </x:c>
      <x:c r="E385" s="28" t="str">
        <x:v>EQ-6-01</x:v>
      </x:c>
      <x:c r="F385" s="28" t="str">
        <x:v>Operacional</x:v>
      </x:c>
      <x:c r="G385" s="32" t="n">
        <x:v>5.96</x:v>
      </x:c>
      <x:c r="H385" s="28" t="str">
        <x:v>Troca de ferramenta</x:v>
      </x:c>
      <x:c r="I385" s="28" t="str">
        <x:v>Não</x:v>
      </x:c>
    </x:row>
    <x:row r="386">
      <x:c r="A386" s="34" t="n">
        <x:v>45460</x:v>
      </x:c>
      <x:c r="B386" s="28" t="str">
        <x:v>Grupo Industrial S.A.</x:v>
      </x:c>
      <x:c r="C386" s="28" t="str">
        <x:v>Planta Curitiba</x:v>
      </x:c>
      <x:c r="D386" s="28" t="str">
        <x:v>Linha 6 - Finalização</x:v>
      </x:c>
      <x:c r="E386" s="28" t="str">
        <x:v>EQ-6-02</x:v>
      </x:c>
      <x:c r="F386" s="28" t="str">
        <x:v>Operacional</x:v>
      </x:c>
      <x:c r="G386" s="32" t="n">
        <x:v>9.89</x:v>
      </x:c>
      <x:c r="H386" s="28" t="str">
        <x:v>Setup</x:v>
      </x:c>
      <x:c r="I386" s="28" t="str">
        <x:v>Não</x:v>
      </x:c>
    </x:row>
    <x:row r="387">
      <x:c r="A387" s="34" t="n">
        <x:v>45467</x:v>
      </x:c>
      <x:c r="B387" s="28" t="str">
        <x:v>Grupo Industrial S.A.</x:v>
      </x:c>
      <x:c r="C387" s="28" t="str">
        <x:v>Planta São Paulo</x:v>
      </x:c>
      <x:c r="D387" s="28" t="str">
        <x:v>Linha 1 - Corte</x:v>
      </x:c>
      <x:c r="E387" s="28" t="str">
        <x:v>EQ-1-01</x:v>
      </x:c>
      <x:c r="F387" s="28" t="str">
        <x:v>Corretiva</x:v>
      </x:c>
      <x:c r="G387" s="32" t="n">
        <x:v>7.65</x:v>
      </x:c>
      <x:c r="H387" s="28" t="str">
        <x:v>Elétrica</x:v>
      </x:c>
      <x:c r="I387" s="28" t="str">
        <x:v>Sim</x:v>
      </x:c>
    </x:row>
    <x:row r="388">
      <x:c r="A388" s="34" t="n">
        <x:v>45467</x:v>
      </x:c>
      <x:c r="B388" s="28" t="str">
        <x:v>Grupo Industrial S.A.</x:v>
      </x:c>
      <x:c r="C388" s="28" t="str">
        <x:v>Planta São Paulo</x:v>
      </x:c>
      <x:c r="D388" s="28" t="str">
        <x:v>Linha 1 - Corte</x:v>
      </x:c>
      <x:c r="E388" s="28" t="str">
        <x:v>EQ-1-02</x:v>
      </x:c>
      <x:c r="F388" s="28" t="str">
        <x:v>Corretiva</x:v>
      </x:c>
      <x:c r="G388" s="32" t="n">
        <x:v>9.91</x:v>
      </x:c>
      <x:c r="H388" s="28" t="str">
        <x:v>Quebras</x:v>
      </x:c>
      <x:c r="I388" s="28" t="str">
        <x:v>Sim</x:v>
      </x:c>
    </x:row>
    <x:row r="389">
      <x:c r="A389" s="34" t="n">
        <x:v>45467</x:v>
      </x:c>
      <x:c r="B389" s="28" t="str">
        <x:v>Grupo Industrial S.A.</x:v>
      </x:c>
      <x:c r="C389" s="28" t="str">
        <x:v>Planta São Paulo</x:v>
      </x:c>
      <x:c r="D389" s="28" t="str">
        <x:v>Linha 2 - Montagem</x:v>
      </x:c>
      <x:c r="E389" s="28" t="str">
        <x:v>EQ-2-01</x:v>
      </x:c>
      <x:c r="F389" s="28" t="str">
        <x:v>Corretiva</x:v>
      </x:c>
      <x:c r="G389" s="32" t="n">
        <x:v>4.31</x:v>
      </x:c>
      <x:c r="H389" s="28" t="str">
        <x:v>Microparadas</x:v>
      </x:c>
      <x:c r="I389" s="28" t="str">
        <x:v>Não</x:v>
      </x:c>
    </x:row>
    <x:row r="390">
      <x:c r="A390" s="34" t="n">
        <x:v>45467</x:v>
      </x:c>
      <x:c r="B390" s="28" t="str">
        <x:v>Grupo Industrial S.A.</x:v>
      </x:c>
      <x:c r="C390" s="28" t="str">
        <x:v>Planta São Paulo</x:v>
      </x:c>
      <x:c r="D390" s="28" t="str">
        <x:v>Linha 2 - Montagem</x:v>
      </x:c>
      <x:c r="E390" s="28" t="str">
        <x:v>EQ-2-02</x:v>
      </x:c>
      <x:c r="F390" s="28" t="str">
        <x:v>Corretiva</x:v>
      </x:c>
      <x:c r="G390" s="32" t="n">
        <x:v>11.03</x:v>
      </x:c>
      <x:c r="H390" s="28" t="str">
        <x:v>Elétrica</x:v>
      </x:c>
      <x:c r="I390" s="28" t="str">
        <x:v>Sim</x:v>
      </x:c>
    </x:row>
    <x:row r="391">
      <x:c r="A391" s="34" t="n">
        <x:v>45467</x:v>
      </x:c>
      <x:c r="B391" s="28" t="str">
        <x:v>Grupo Industrial S.A.</x:v>
      </x:c>
      <x:c r="C391" s="28" t="str">
        <x:v>Planta Campinas</x:v>
      </x:c>
      <x:c r="D391" s="28" t="str">
        <x:v>Linha 3 - Extrusão</x:v>
      </x:c>
      <x:c r="E391" s="28" t="str">
        <x:v>EQ-3-01</x:v>
      </x:c>
      <x:c r="F391" s="28" t="str">
        <x:v>Corretiva</x:v>
      </x:c>
      <x:c r="G391" s="32" t="n">
        <x:v>11.26</x:v>
      </x:c>
      <x:c r="H391" s="28" t="str">
        <x:v>Ajustes</x:v>
      </x:c>
      <x:c r="I391" s="28" t="str">
        <x:v>Não</x:v>
      </x:c>
    </x:row>
    <x:row r="392">
      <x:c r="A392" s="34" t="n">
        <x:v>45467</x:v>
      </x:c>
      <x:c r="B392" s="28" t="str">
        <x:v>Grupo Industrial S.A.</x:v>
      </x:c>
      <x:c r="C392" s="28" t="str">
        <x:v>Planta Campinas</x:v>
      </x:c>
      <x:c r="D392" s="28" t="str">
        <x:v>Linha 3 - Extrusão</x:v>
      </x:c>
      <x:c r="E392" s="28" t="str">
        <x:v>EQ-3-02</x:v>
      </x:c>
      <x:c r="F392" s="28" t="str">
        <x:v>Corretiva</x:v>
      </x:c>
      <x:c r="G392" s="32" t="n">
        <x:v>4.59</x:v>
      </x:c>
      <x:c r="H392" s="28" t="str">
        <x:v>Ajustes</x:v>
      </x:c>
      <x:c r="I392" s="28" t="str">
        <x:v>Não</x:v>
      </x:c>
    </x:row>
    <x:row r="393">
      <x:c r="A393" s="34" t="n">
        <x:v>45467</x:v>
      </x:c>
      <x:c r="B393" s="28" t="str">
        <x:v>Grupo Industrial S.A.</x:v>
      </x:c>
      <x:c r="C393" s="28" t="str">
        <x:v>Planta Campinas</x:v>
      </x:c>
      <x:c r="D393" s="28" t="str">
        <x:v>Linha 3 - Extrusão</x:v>
      </x:c>
      <x:c r="E393" s="28" t="str">
        <x:v>EQ-3-03</x:v>
      </x:c>
      <x:c r="F393" s="28" t="str">
        <x:v>Corretiva</x:v>
      </x:c>
      <x:c r="G393" s="32" t="n">
        <x:v>5.91</x:v>
      </x:c>
      <x:c r="H393" s="28" t="str">
        <x:v>Quebras</x:v>
      </x:c>
      <x:c r="I393" s="28" t="str">
        <x:v>Sim</x:v>
      </x:c>
    </x:row>
    <x:row r="394">
      <x:c r="A394" s="34" t="n">
        <x:v>45467</x:v>
      </x:c>
      <x:c r="B394" s="28" t="str">
        <x:v>Grupo Industrial S.A.</x:v>
      </x:c>
      <x:c r="C394" s="28" t="str">
        <x:v>Planta Campinas</x:v>
      </x:c>
      <x:c r="D394" s="28" t="str">
        <x:v>Linha 4 - Embalagem</x:v>
      </x:c>
      <x:c r="E394" s="28" t="str">
        <x:v>EQ-4-01</x:v>
      </x:c>
      <x:c r="F394" s="28" t="str">
        <x:v>Operacional</x:v>
      </x:c>
      <x:c r="G394" s="32" t="n">
        <x:v>7.81</x:v>
      </x:c>
      <x:c r="H394" s="28" t="str">
        <x:v>Falta de material</x:v>
      </x:c>
      <x:c r="I394" s="28" t="str">
        <x:v>Sim</x:v>
      </x:c>
    </x:row>
    <x:row r="395">
      <x:c r="A395" s="34" t="n">
        <x:v>45467</x:v>
      </x:c>
      <x:c r="B395" s="28" t="str">
        <x:v>Grupo Industrial S.A.</x:v>
      </x:c>
      <x:c r="C395" s="28" t="str">
        <x:v>Planta Campinas</x:v>
      </x:c>
      <x:c r="D395" s="28" t="str">
        <x:v>Linha 4 - Embalagem</x:v>
      </x:c>
      <x:c r="E395" s="28" t="str">
        <x:v>EQ-4-02</x:v>
      </x:c>
      <x:c r="F395" s="28" t="str">
        <x:v>Operacional</x:v>
      </x:c>
      <x:c r="G395" s="32" t="n">
        <x:v>6.21</x:v>
      </x:c>
      <x:c r="H395" s="28" t="str">
        <x:v>Falta de material</x:v>
      </x:c>
      <x:c r="I395" s="28" t="str">
        <x:v>Sim</x:v>
      </x:c>
    </x:row>
    <x:row r="396">
      <x:c r="A396" s="34" t="n">
        <x:v>45467</x:v>
      </x:c>
      <x:c r="B396" s="28" t="str">
        <x:v>Grupo Industrial S.A.</x:v>
      </x:c>
      <x:c r="C396" s="28" t="str">
        <x:v>Planta Campinas</x:v>
      </x:c>
      <x:c r="D396" s="28" t="str">
        <x:v>Linha 4 - Embalagem</x:v>
      </x:c>
      <x:c r="E396" s="28" t="str">
        <x:v>EQ-4-03</x:v>
      </x:c>
      <x:c r="F396" s="28" t="str">
        <x:v>Operacional</x:v>
      </x:c>
      <x:c r="G396" s="32" t="n">
        <x:v>8.09</x:v>
      </x:c>
      <x:c r="H396" s="28" t="str">
        <x:v>Falta de material</x:v>
      </x:c>
      <x:c r="I396" s="28" t="str">
        <x:v>Sim</x:v>
      </x:c>
    </x:row>
    <x:row r="397">
      <x:c r="A397" s="34" t="n">
        <x:v>45467</x:v>
      </x:c>
      <x:c r="B397" s="28" t="str">
        <x:v>Grupo Industrial S.A.</x:v>
      </x:c>
      <x:c r="C397" s="28" t="str">
        <x:v>Planta Curitiba</x:v>
      </x:c>
      <x:c r="D397" s="28" t="str">
        <x:v>Linha 5 - Usinagem</x:v>
      </x:c>
      <x:c r="E397" s="28" t="str">
        <x:v>EQ-5-01</x:v>
      </x:c>
      <x:c r="F397" s="28" t="str">
        <x:v>Corretiva</x:v>
      </x:c>
      <x:c r="G397" s="32" t="n">
        <x:v>4.59</x:v>
      </x:c>
      <x:c r="H397" s="28" t="str">
        <x:v>Microparadas</x:v>
      </x:c>
      <x:c r="I397" s="28" t="str">
        <x:v>Não</x:v>
      </x:c>
    </x:row>
    <x:row r="398">
      <x:c r="A398" s="34" t="n">
        <x:v>45467</x:v>
      </x:c>
      <x:c r="B398" s="28" t="str">
        <x:v>Grupo Industrial S.A.</x:v>
      </x:c>
      <x:c r="C398" s="28" t="str">
        <x:v>Planta Curitiba</x:v>
      </x:c>
      <x:c r="D398" s="28" t="str">
        <x:v>Linha 5 - Usinagem</x:v>
      </x:c>
      <x:c r="E398" s="28" t="str">
        <x:v>EQ-5-02</x:v>
      </x:c>
      <x:c r="F398" s="28" t="str">
        <x:v>Corretiva</x:v>
      </x:c>
      <x:c r="G398" s="32" t="n">
        <x:v>11.62</x:v>
      </x:c>
      <x:c r="H398" s="28" t="str">
        <x:v>Microparadas</x:v>
      </x:c>
      <x:c r="I398" s="28" t="str">
        <x:v>Não</x:v>
      </x:c>
    </x:row>
    <x:row r="399">
      <x:c r="A399" s="34" t="n">
        <x:v>45467</x:v>
      </x:c>
      <x:c r="B399" s="28" t="str">
        <x:v>Grupo Industrial S.A.</x:v>
      </x:c>
      <x:c r="C399" s="28" t="str">
        <x:v>Planta Curitiba</x:v>
      </x:c>
      <x:c r="D399" s="28" t="str">
        <x:v>Linha 6 - Finalização</x:v>
      </x:c>
      <x:c r="E399" s="28" t="str">
        <x:v>EQ-6-01</x:v>
      </x:c>
      <x:c r="F399" s="28" t="str">
        <x:v>Operacional</x:v>
      </x:c>
      <x:c r="G399" s="32" t="n">
        <x:v>10.27</x:v>
      </x:c>
      <x:c r="H399" s="28" t="str">
        <x:v>Setup</x:v>
      </x:c>
      <x:c r="I399" s="28" t="str">
        <x:v>Não</x:v>
      </x:c>
    </x:row>
    <x:row r="400">
      <x:c r="A400" s="34" t="n">
        <x:v>45467</x:v>
      </x:c>
      <x:c r="B400" s="28" t="str">
        <x:v>Grupo Industrial S.A.</x:v>
      </x:c>
      <x:c r="C400" s="28" t="str">
        <x:v>Planta Curitiba</x:v>
      </x:c>
      <x:c r="D400" s="28" t="str">
        <x:v>Linha 6 - Finalização</x:v>
      </x:c>
      <x:c r="E400" s="28" t="str">
        <x:v>EQ-6-02</x:v>
      </x:c>
      <x:c r="F400" s="28" t="str">
        <x:v>Corretiva</x:v>
      </x:c>
      <x:c r="G400" s="32" t="n">
        <x:v>5.25</x:v>
      </x:c>
      <x:c r="H400" s="28" t="str">
        <x:v>Quebras</x:v>
      </x:c>
      <x:c r="I400" s="28" t="str">
        <x:v>Sim</x:v>
      </x:c>
    </x:row>
    <x:row r="401">
      <x:c r="A401" s="34" t="n">
        <x:v>45467</x:v>
      </x:c>
      <x:c r="B401" s="28" t="str">
        <x:v>Grupo Industrial S.A.</x:v>
      </x:c>
      <x:c r="C401" s="28" t="str">
        <x:v>Planta Curitiba</x:v>
      </x:c>
      <x:c r="D401" s="28" t="str">
        <x:v>Linha 6 - Finalização</x:v>
      </x:c>
      <x:c r="E401" s="28" t="str">
        <x:v>EQ-6-03</x:v>
      </x:c>
      <x:c r="F401" s="28" t="str">
        <x:v>Operacional</x:v>
      </x:c>
      <x:c r="G401" s="32" t="n">
        <x:v>4.95</x:v>
      </x:c>
      <x:c r="H401" s="28" t="str">
        <x:v>Troca de ferramenta</x:v>
      </x:c>
      <x:c r="I401" s="28" t="str">
        <x:v>Não</x:v>
      </x:c>
    </x:row>
    <x:row r="402">
      <x:c r="A402" s="34" t="n">
        <x:v>45474</x:v>
      </x:c>
      <x:c r="B402" s="28" t="str">
        <x:v>Grupo Industrial S.A.</x:v>
      </x:c>
      <x:c r="C402" s="28" t="str">
        <x:v>Planta São Paulo</x:v>
      </x:c>
      <x:c r="D402" s="28" t="str">
        <x:v>Linha 1 - Corte</x:v>
      </x:c>
      <x:c r="E402" s="28" t="str">
        <x:v>EQ-1-01</x:v>
      </x:c>
      <x:c r="F402" s="28" t="str">
        <x:v>Corretiva</x:v>
      </x:c>
      <x:c r="G402" s="32" t="n">
        <x:v>5.47</x:v>
      </x:c>
      <x:c r="H402" s="28" t="str">
        <x:v>Quebras</x:v>
      </x:c>
      <x:c r="I402" s="28" t="str">
        <x:v>Sim</x:v>
      </x:c>
    </x:row>
    <x:row r="403">
      <x:c r="A403" s="34" t="n">
        <x:v>45474</x:v>
      </x:c>
      <x:c r="B403" s="28" t="str">
        <x:v>Grupo Industrial S.A.</x:v>
      </x:c>
      <x:c r="C403" s="28" t="str">
        <x:v>Planta São Paulo</x:v>
      </x:c>
      <x:c r="D403" s="28" t="str">
        <x:v>Linha 1 - Corte</x:v>
      </x:c>
      <x:c r="E403" s="28" t="str">
        <x:v>EQ-1-02</x:v>
      </x:c>
      <x:c r="F403" s="28" t="str">
        <x:v>Corretiva</x:v>
      </x:c>
      <x:c r="G403" s="32" t="n">
        <x:v>10.8</x:v>
      </x:c>
      <x:c r="H403" s="28" t="str">
        <x:v>Quebras</x:v>
      </x:c>
      <x:c r="I403" s="28" t="str">
        <x:v>Sim</x:v>
      </x:c>
    </x:row>
    <x:row r="404">
      <x:c r="A404" s="34" t="n">
        <x:v>45474</x:v>
      </x:c>
      <x:c r="B404" s="28" t="str">
        <x:v>Grupo Industrial S.A.</x:v>
      </x:c>
      <x:c r="C404" s="28" t="str">
        <x:v>Planta São Paulo</x:v>
      </x:c>
      <x:c r="D404" s="28" t="str">
        <x:v>Linha 2 - Montagem</x:v>
      </x:c>
      <x:c r="E404" s="28" t="str">
        <x:v>EQ-2-01</x:v>
      </x:c>
      <x:c r="F404" s="28" t="str">
        <x:v>Corretiva</x:v>
      </x:c>
      <x:c r="G404" s="32" t="n">
        <x:v>4.72</x:v>
      </x:c>
      <x:c r="H404" s="28" t="str">
        <x:v>Microparadas</x:v>
      </x:c>
      <x:c r="I404" s="28" t="str">
        <x:v>Não</x:v>
      </x:c>
    </x:row>
    <x:row r="405">
      <x:c r="A405" s="34" t="n">
        <x:v>45474</x:v>
      </x:c>
      <x:c r="B405" s="28" t="str">
        <x:v>Grupo Industrial S.A.</x:v>
      </x:c>
      <x:c r="C405" s="28" t="str">
        <x:v>Planta São Paulo</x:v>
      </x:c>
      <x:c r="D405" s="28" t="str">
        <x:v>Linha 2 - Montagem</x:v>
      </x:c>
      <x:c r="E405" s="28" t="str">
        <x:v>EQ-2-02</x:v>
      </x:c>
      <x:c r="F405" s="28" t="str">
        <x:v>Corretiva</x:v>
      </x:c>
      <x:c r="G405" s="32" t="n">
        <x:v>7.71</x:v>
      </x:c>
      <x:c r="H405" s="28" t="str">
        <x:v>Elétrica</x:v>
      </x:c>
      <x:c r="I405" s="28" t="str">
        <x:v>Sim</x:v>
      </x:c>
    </x:row>
    <x:row r="406">
      <x:c r="A406" s="34" t="n">
        <x:v>45474</x:v>
      </x:c>
      <x:c r="B406" s="28" t="str">
        <x:v>Grupo Industrial S.A.</x:v>
      </x:c>
      <x:c r="C406" s="28" t="str">
        <x:v>Planta Campinas</x:v>
      </x:c>
      <x:c r="D406" s="28" t="str">
        <x:v>Linha 3 - Extrusão</x:v>
      </x:c>
      <x:c r="E406" s="28" t="str">
        <x:v>EQ-3-01</x:v>
      </x:c>
      <x:c r="F406" s="28" t="str">
        <x:v>Operacional</x:v>
      </x:c>
      <x:c r="G406" s="32" t="n">
        <x:v>8.28</x:v>
      </x:c>
      <x:c r="H406" s="28" t="str">
        <x:v>Setup</x:v>
      </x:c>
      <x:c r="I406" s="28" t="str">
        <x:v>Não</x:v>
      </x:c>
    </x:row>
    <x:row r="407">
      <x:c r="A407" s="34" t="n">
        <x:v>45474</x:v>
      </x:c>
      <x:c r="B407" s="28" t="str">
        <x:v>Grupo Industrial S.A.</x:v>
      </x:c>
      <x:c r="C407" s="28" t="str">
        <x:v>Planta Campinas</x:v>
      </x:c>
      <x:c r="D407" s="28" t="str">
        <x:v>Linha 3 - Extrusão</x:v>
      </x:c>
      <x:c r="E407" s="28" t="str">
        <x:v>EQ-3-02</x:v>
      </x:c>
      <x:c r="F407" s="28" t="str">
        <x:v>Corretiva</x:v>
      </x:c>
      <x:c r="G407" s="32" t="n">
        <x:v>4.54</x:v>
      </x:c>
      <x:c r="H407" s="28" t="str">
        <x:v>Quebras</x:v>
      </x:c>
      <x:c r="I407" s="28" t="str">
        <x:v>Sim</x:v>
      </x:c>
    </x:row>
    <x:row r="408">
      <x:c r="A408" s="34" t="n">
        <x:v>45474</x:v>
      </x:c>
      <x:c r="B408" s="28" t="str">
        <x:v>Grupo Industrial S.A.</x:v>
      </x:c>
      <x:c r="C408" s="28" t="str">
        <x:v>Planta Campinas</x:v>
      </x:c>
      <x:c r="D408" s="28" t="str">
        <x:v>Linha 3 - Extrusão</x:v>
      </x:c>
      <x:c r="E408" s="28" t="str">
        <x:v>EQ-3-03</x:v>
      </x:c>
      <x:c r="F408" s="28" t="str">
        <x:v>Operacional</x:v>
      </x:c>
      <x:c r="G408" s="32" t="n">
        <x:v>7.94</x:v>
      </x:c>
      <x:c r="H408" s="28" t="str">
        <x:v>Falta de material</x:v>
      </x:c>
      <x:c r="I408" s="28" t="str">
        <x:v>Sim</x:v>
      </x:c>
    </x:row>
    <x:row r="409">
      <x:c r="A409" s="34" t="n">
        <x:v>45474</x:v>
      </x:c>
      <x:c r="B409" s="28" t="str">
        <x:v>Grupo Industrial S.A.</x:v>
      </x:c>
      <x:c r="C409" s="28" t="str">
        <x:v>Planta Campinas</x:v>
      </x:c>
      <x:c r="D409" s="28" t="str">
        <x:v>Linha 4 - Embalagem</x:v>
      </x:c>
      <x:c r="E409" s="28" t="str">
        <x:v>EQ-4-01</x:v>
      </x:c>
      <x:c r="F409" s="28" t="str">
        <x:v>Corretiva</x:v>
      </x:c>
      <x:c r="G409" s="32" t="n">
        <x:v>7.03</x:v>
      </x:c>
      <x:c r="H409" s="28" t="str">
        <x:v>Quebras</x:v>
      </x:c>
      <x:c r="I409" s="28" t="str">
        <x:v>Sim</x:v>
      </x:c>
    </x:row>
    <x:row r="410">
      <x:c r="A410" s="34" t="n">
        <x:v>45474</x:v>
      </x:c>
      <x:c r="B410" s="28" t="str">
        <x:v>Grupo Industrial S.A.</x:v>
      </x:c>
      <x:c r="C410" s="28" t="str">
        <x:v>Planta Campinas</x:v>
      </x:c>
      <x:c r="D410" s="28" t="str">
        <x:v>Linha 4 - Embalagem</x:v>
      </x:c>
      <x:c r="E410" s="28" t="str">
        <x:v>EQ-4-02</x:v>
      </x:c>
      <x:c r="F410" s="28" t="str">
        <x:v>Operacional</x:v>
      </x:c>
      <x:c r="G410" s="32" t="n">
        <x:v>5.67</x:v>
      </x:c>
      <x:c r="H410" s="28" t="str">
        <x:v>Falta de material</x:v>
      </x:c>
      <x:c r="I410" s="28" t="str">
        <x:v>Sim</x:v>
      </x:c>
    </x:row>
    <x:row r="411">
      <x:c r="A411" s="34" t="n">
        <x:v>45474</x:v>
      </x:c>
      <x:c r="B411" s="28" t="str">
        <x:v>Grupo Industrial S.A.</x:v>
      </x:c>
      <x:c r="C411" s="28" t="str">
        <x:v>Planta Campinas</x:v>
      </x:c>
      <x:c r="D411" s="28" t="str">
        <x:v>Linha 4 - Embalagem</x:v>
      </x:c>
      <x:c r="E411" s="28" t="str">
        <x:v>EQ-4-03</x:v>
      </x:c>
      <x:c r="F411" s="28" t="str">
        <x:v>Corretiva</x:v>
      </x:c>
      <x:c r="G411" s="32" t="n">
        <x:v>8.09</x:v>
      </x:c>
      <x:c r="H411" s="28" t="str">
        <x:v>Quebras</x:v>
      </x:c>
      <x:c r="I411" s="28" t="str">
        <x:v>Sim</x:v>
      </x:c>
    </x:row>
    <x:row r="412">
      <x:c r="A412" s="34" t="n">
        <x:v>45474</x:v>
      </x:c>
      <x:c r="B412" s="28" t="str">
        <x:v>Grupo Industrial S.A.</x:v>
      </x:c>
      <x:c r="C412" s="28" t="str">
        <x:v>Planta Curitiba</x:v>
      </x:c>
      <x:c r="D412" s="28" t="str">
        <x:v>Linha 5 - Usinagem</x:v>
      </x:c>
      <x:c r="E412" s="28" t="str">
        <x:v>EQ-5-01</x:v>
      </x:c>
      <x:c r="F412" s="28" t="str">
        <x:v>Corretiva</x:v>
      </x:c>
      <x:c r="G412" s="32" t="n">
        <x:v>5.03</x:v>
      </x:c>
      <x:c r="H412" s="28" t="str">
        <x:v>Quebras</x:v>
      </x:c>
      <x:c r="I412" s="28" t="str">
        <x:v>Sim</x:v>
      </x:c>
    </x:row>
    <x:row r="413">
      <x:c r="A413" s="34" t="n">
        <x:v>45474</x:v>
      </x:c>
      <x:c r="B413" s="28" t="str">
        <x:v>Grupo Industrial S.A.</x:v>
      </x:c>
      <x:c r="C413" s="28" t="str">
        <x:v>Planta Curitiba</x:v>
      </x:c>
      <x:c r="D413" s="28" t="str">
        <x:v>Linha 5 - Usinagem</x:v>
      </x:c>
      <x:c r="E413" s="28" t="str">
        <x:v>EQ-5-02</x:v>
      </x:c>
      <x:c r="F413" s="28" t="str">
        <x:v>Corretiva</x:v>
      </x:c>
      <x:c r="G413" s="32" t="n">
        <x:v>12.66</x:v>
      </x:c>
      <x:c r="H413" s="28" t="str">
        <x:v>Microparadas</x:v>
      </x:c>
      <x:c r="I413" s="28" t="str">
        <x:v>Não</x:v>
      </x:c>
    </x:row>
    <x:row r="414">
      <x:c r="A414" s="34" t="n">
        <x:v>45474</x:v>
      </x:c>
      <x:c r="B414" s="28" t="str">
        <x:v>Grupo Industrial S.A.</x:v>
      </x:c>
      <x:c r="C414" s="28" t="str">
        <x:v>Planta Curitiba</x:v>
      </x:c>
      <x:c r="D414" s="28" t="str">
        <x:v>Linha 6 - Finalização</x:v>
      </x:c>
      <x:c r="E414" s="28" t="str">
        <x:v>EQ-6-01</x:v>
      </x:c>
      <x:c r="F414" s="28" t="str">
        <x:v>Corretiva</x:v>
      </x:c>
      <x:c r="G414" s="32" t="n">
        <x:v>8.03</x:v>
      </x:c>
      <x:c r="H414" s="28" t="str">
        <x:v>Microparadas</x:v>
      </x:c>
      <x:c r="I414" s="28" t="str">
        <x:v>Não</x:v>
      </x:c>
    </x:row>
    <x:row r="415">
      <x:c r="A415" s="34" t="n">
        <x:v>45474</x:v>
      </x:c>
      <x:c r="B415" s="28" t="str">
        <x:v>Grupo Industrial S.A.</x:v>
      </x:c>
      <x:c r="C415" s="28" t="str">
        <x:v>Planta Curitiba</x:v>
      </x:c>
      <x:c r="D415" s="28" t="str">
        <x:v>Linha 6 - Finalização</x:v>
      </x:c>
      <x:c r="E415" s="28" t="str">
        <x:v>EQ-6-02</x:v>
      </x:c>
      <x:c r="F415" s="28" t="str">
        <x:v>Operacional</x:v>
      </x:c>
      <x:c r="G415" s="32" t="n">
        <x:v>5.35</x:v>
      </x:c>
      <x:c r="H415" s="28" t="str">
        <x:v>Troca de ferramenta</x:v>
      </x:c>
      <x:c r="I415" s="28" t="str">
        <x:v>Não</x:v>
      </x:c>
    </x:row>
    <x:row r="416">
      <x:c r="A416" s="34" t="n">
        <x:v>45474</x:v>
      </x:c>
      <x:c r="B416" s="28" t="str">
        <x:v>Grupo Industrial S.A.</x:v>
      </x:c>
      <x:c r="C416" s="28" t="str">
        <x:v>Planta Curitiba</x:v>
      </x:c>
      <x:c r="D416" s="28" t="str">
        <x:v>Linha 6 - Finalização</x:v>
      </x:c>
      <x:c r="E416" s="28" t="str">
        <x:v>EQ-6-03</x:v>
      </x:c>
      <x:c r="F416" s="28" t="str">
        <x:v>Operacional</x:v>
      </x:c>
      <x:c r="G416" s="32" t="n">
        <x:v>5.6</x:v>
      </x:c>
      <x:c r="H416" s="28" t="str">
        <x:v>Troca de ferramenta</x:v>
      </x:c>
      <x:c r="I416" s="28" t="str">
        <x:v>Não</x:v>
      </x:c>
    </x:row>
    <x:row r="417">
      <x:c r="A417" s="34" t="n">
        <x:v>45481</x:v>
      </x:c>
      <x:c r="B417" s="28" t="str">
        <x:v>Grupo Industrial S.A.</x:v>
      </x:c>
      <x:c r="C417" s="28" t="str">
        <x:v>Planta São Paulo</x:v>
      </x:c>
      <x:c r="D417" s="28" t="str">
        <x:v>Linha 1 - Corte</x:v>
      </x:c>
      <x:c r="E417" s="28" t="str">
        <x:v>EQ-1-01</x:v>
      </x:c>
      <x:c r="F417" s="28" t="str">
        <x:v>Operacional</x:v>
      </x:c>
      <x:c r="G417" s="32" t="n">
        <x:v>7.12</x:v>
      </x:c>
      <x:c r="H417" s="28" t="str">
        <x:v>Setup</x:v>
      </x:c>
      <x:c r="I417" s="28" t="str">
        <x:v>Não</x:v>
      </x:c>
    </x:row>
    <x:row r="418">
      <x:c r="A418" s="34" t="n">
        <x:v>45481</x:v>
      </x:c>
      <x:c r="B418" s="28" t="str">
        <x:v>Grupo Industrial S.A.</x:v>
      </x:c>
      <x:c r="C418" s="28" t="str">
        <x:v>Planta São Paulo</x:v>
      </x:c>
      <x:c r="D418" s="28" t="str">
        <x:v>Linha 1 - Corte</x:v>
      </x:c>
      <x:c r="E418" s="28" t="str">
        <x:v>EQ-1-02</x:v>
      </x:c>
      <x:c r="F418" s="28" t="str">
        <x:v>Corretiva</x:v>
      </x:c>
      <x:c r="G418" s="32" t="n">
        <x:v>9.48</x:v>
      </x:c>
      <x:c r="H418" s="28" t="str">
        <x:v>Quebras</x:v>
      </x:c>
      <x:c r="I418" s="28" t="str">
        <x:v>Sim</x:v>
      </x:c>
    </x:row>
    <x:row r="419">
      <x:c r="A419" s="34" t="n">
        <x:v>45481</x:v>
      </x:c>
      <x:c r="B419" s="28" t="str">
        <x:v>Grupo Industrial S.A.</x:v>
      </x:c>
      <x:c r="C419" s="28" t="str">
        <x:v>Planta São Paulo</x:v>
      </x:c>
      <x:c r="D419" s="28" t="str">
        <x:v>Linha 2 - Montagem</x:v>
      </x:c>
      <x:c r="E419" s="28" t="str">
        <x:v>EQ-2-01</x:v>
      </x:c>
      <x:c r="F419" s="28" t="str">
        <x:v>Corretiva</x:v>
      </x:c>
      <x:c r="G419" s="32" t="n">
        <x:v>7.04</x:v>
      </x:c>
      <x:c r="H419" s="28" t="str">
        <x:v>Quebras</x:v>
      </x:c>
      <x:c r="I419" s="28" t="str">
        <x:v>Sim</x:v>
      </x:c>
    </x:row>
    <x:row r="420">
      <x:c r="A420" s="34" t="n">
        <x:v>45481</x:v>
      </x:c>
      <x:c r="B420" s="28" t="str">
        <x:v>Grupo Industrial S.A.</x:v>
      </x:c>
      <x:c r="C420" s="28" t="str">
        <x:v>Planta São Paulo</x:v>
      </x:c>
      <x:c r="D420" s="28" t="str">
        <x:v>Linha 2 - Montagem</x:v>
      </x:c>
      <x:c r="E420" s="28" t="str">
        <x:v>EQ-2-02</x:v>
      </x:c>
      <x:c r="F420" s="28" t="str">
        <x:v>Corretiva</x:v>
      </x:c>
      <x:c r="G420" s="32" t="n">
        <x:v>9.98</x:v>
      </x:c>
      <x:c r="H420" s="28" t="str">
        <x:v>Quebras</x:v>
      </x:c>
      <x:c r="I420" s="28" t="str">
        <x:v>Sim</x:v>
      </x:c>
    </x:row>
    <x:row r="421">
      <x:c r="A421" s="34" t="n">
        <x:v>45481</x:v>
      </x:c>
      <x:c r="B421" s="28" t="str">
        <x:v>Grupo Industrial S.A.</x:v>
      </x:c>
      <x:c r="C421" s="28" t="str">
        <x:v>Planta Campinas</x:v>
      </x:c>
      <x:c r="D421" s="28" t="str">
        <x:v>Linha 3 - Extrusão</x:v>
      </x:c>
      <x:c r="E421" s="28" t="str">
        <x:v>EQ-3-01</x:v>
      </x:c>
      <x:c r="F421" s="28" t="str">
        <x:v>Operacional</x:v>
      </x:c>
      <x:c r="G421" s="32" t="n">
        <x:v>10.36</x:v>
      </x:c>
      <x:c r="H421" s="28" t="str">
        <x:v>Falta de material</x:v>
      </x:c>
      <x:c r="I421" s="28" t="str">
        <x:v>Sim</x:v>
      </x:c>
    </x:row>
    <x:row r="422">
      <x:c r="A422" s="34" t="n">
        <x:v>45481</x:v>
      </x:c>
      <x:c r="B422" s="28" t="str">
        <x:v>Grupo Industrial S.A.</x:v>
      </x:c>
      <x:c r="C422" s="28" t="str">
        <x:v>Planta Campinas</x:v>
      </x:c>
      <x:c r="D422" s="28" t="str">
        <x:v>Linha 3 - Extrusão</x:v>
      </x:c>
      <x:c r="E422" s="28" t="str">
        <x:v>EQ-3-02</x:v>
      </x:c>
      <x:c r="F422" s="28" t="str">
        <x:v>Operacional</x:v>
      </x:c>
      <x:c r="G422" s="32" t="n">
        <x:v>3.98</x:v>
      </x:c>
      <x:c r="H422" s="28" t="str">
        <x:v>Falta de material</x:v>
      </x:c>
      <x:c r="I422" s="28" t="str">
        <x:v>Sim</x:v>
      </x:c>
    </x:row>
    <x:row r="423">
      <x:c r="A423" s="34" t="n">
        <x:v>45481</x:v>
      </x:c>
      <x:c r="B423" s="28" t="str">
        <x:v>Grupo Industrial S.A.</x:v>
      </x:c>
      <x:c r="C423" s="28" t="str">
        <x:v>Planta Campinas</x:v>
      </x:c>
      <x:c r="D423" s="28" t="str">
        <x:v>Linha 3 - Extrusão</x:v>
      </x:c>
      <x:c r="E423" s="28" t="str">
        <x:v>EQ-3-03</x:v>
      </x:c>
      <x:c r="F423" s="28" t="str">
        <x:v>Operacional</x:v>
      </x:c>
      <x:c r="G423" s="32" t="n">
        <x:v>10.08</x:v>
      </x:c>
      <x:c r="H423" s="28" t="str">
        <x:v>Setup</x:v>
      </x:c>
      <x:c r="I423" s="28" t="str">
        <x:v>Não</x:v>
      </x:c>
    </x:row>
    <x:row r="424">
      <x:c r="A424" s="34" t="n">
        <x:v>45481</x:v>
      </x:c>
      <x:c r="B424" s="28" t="str">
        <x:v>Grupo Industrial S.A.</x:v>
      </x:c>
      <x:c r="C424" s="28" t="str">
        <x:v>Planta Campinas</x:v>
      </x:c>
      <x:c r="D424" s="28" t="str">
        <x:v>Linha 4 - Embalagem</x:v>
      </x:c>
      <x:c r="E424" s="28" t="str">
        <x:v>EQ-4-01</x:v>
      </x:c>
      <x:c r="F424" s="28" t="str">
        <x:v>Corretiva</x:v>
      </x:c>
      <x:c r="G424" s="32" t="n">
        <x:v>9.74</x:v>
      </x:c>
      <x:c r="H424" s="28" t="str">
        <x:v>Ajustes</x:v>
      </x:c>
      <x:c r="I424" s="28" t="str">
        <x:v>Não</x:v>
      </x:c>
    </x:row>
    <x:row r="425">
      <x:c r="A425" s="34" t="n">
        <x:v>45481</x:v>
      </x:c>
      <x:c r="B425" s="28" t="str">
        <x:v>Grupo Industrial S.A.</x:v>
      </x:c>
      <x:c r="C425" s="28" t="str">
        <x:v>Planta Campinas</x:v>
      </x:c>
      <x:c r="D425" s="28" t="str">
        <x:v>Linha 4 - Embalagem</x:v>
      </x:c>
      <x:c r="E425" s="28" t="str">
        <x:v>EQ-4-02</x:v>
      </x:c>
      <x:c r="F425" s="28" t="str">
        <x:v>Operacional</x:v>
      </x:c>
      <x:c r="G425" s="32" t="n">
        <x:v>4.3</x:v>
      </x:c>
      <x:c r="H425" s="28" t="str">
        <x:v>Setup</x:v>
      </x:c>
      <x:c r="I425" s="28" t="str">
        <x:v>Não</x:v>
      </x:c>
    </x:row>
    <x:row r="426">
      <x:c r="A426" s="34" t="n">
        <x:v>45481</x:v>
      </x:c>
      <x:c r="B426" s="28" t="str">
        <x:v>Grupo Industrial S.A.</x:v>
      </x:c>
      <x:c r="C426" s="28" t="str">
        <x:v>Planta Campinas</x:v>
      </x:c>
      <x:c r="D426" s="28" t="str">
        <x:v>Linha 4 - Embalagem</x:v>
      </x:c>
      <x:c r="E426" s="28" t="str">
        <x:v>EQ-4-03</x:v>
      </x:c>
      <x:c r="F426" s="28" t="str">
        <x:v>Corretiva</x:v>
      </x:c>
      <x:c r="G426" s="32" t="n">
        <x:v>6.8</x:v>
      </x:c>
      <x:c r="H426" s="28" t="str">
        <x:v>Ajustes</x:v>
      </x:c>
      <x:c r="I426" s="28" t="str">
        <x:v>Não</x:v>
      </x:c>
    </x:row>
    <x:row r="427">
      <x:c r="A427" s="34" t="n">
        <x:v>45481</x:v>
      </x:c>
      <x:c r="B427" s="28" t="str">
        <x:v>Grupo Industrial S.A.</x:v>
      </x:c>
      <x:c r="C427" s="28" t="str">
        <x:v>Planta Curitiba</x:v>
      </x:c>
      <x:c r="D427" s="28" t="str">
        <x:v>Linha 5 - Usinagem</x:v>
      </x:c>
      <x:c r="E427" s="28" t="str">
        <x:v>EQ-5-01</x:v>
      </x:c>
      <x:c r="F427" s="28" t="str">
        <x:v>Corretiva</x:v>
      </x:c>
      <x:c r="G427" s="32" t="n">
        <x:v>5.24</x:v>
      </x:c>
      <x:c r="H427" s="28" t="str">
        <x:v>Microparadas</x:v>
      </x:c>
      <x:c r="I427" s="28" t="str">
        <x:v>Não</x:v>
      </x:c>
    </x:row>
    <x:row r="428">
      <x:c r="A428" s="34" t="n">
        <x:v>45481</x:v>
      </x:c>
      <x:c r="B428" s="28" t="str">
        <x:v>Grupo Industrial S.A.</x:v>
      </x:c>
      <x:c r="C428" s="28" t="str">
        <x:v>Planta Curitiba</x:v>
      </x:c>
      <x:c r="D428" s="28" t="str">
        <x:v>Linha 5 - Usinagem</x:v>
      </x:c>
      <x:c r="E428" s="28" t="str">
        <x:v>EQ-5-02</x:v>
      </x:c>
      <x:c r="F428" s="28" t="str">
        <x:v>Operacional</x:v>
      </x:c>
      <x:c r="G428" s="32" t="n">
        <x:v>11.5</x:v>
      </x:c>
      <x:c r="H428" s="28" t="str">
        <x:v>Setup</x:v>
      </x:c>
      <x:c r="I428" s="28" t="str">
        <x:v>Não</x:v>
      </x:c>
    </x:row>
    <x:row r="429">
      <x:c r="A429" s="34" t="n">
        <x:v>45481</x:v>
      </x:c>
      <x:c r="B429" s="28" t="str">
        <x:v>Grupo Industrial S.A.</x:v>
      </x:c>
      <x:c r="C429" s="28" t="str">
        <x:v>Planta Curitiba</x:v>
      </x:c>
      <x:c r="D429" s="28" t="str">
        <x:v>Linha 6 - Finalização</x:v>
      </x:c>
      <x:c r="E429" s="28" t="str">
        <x:v>EQ-6-01</x:v>
      </x:c>
      <x:c r="F429" s="28" t="str">
        <x:v>Operacional</x:v>
      </x:c>
      <x:c r="G429" s="32" t="n">
        <x:v>8.49</x:v>
      </x:c>
      <x:c r="H429" s="28" t="str">
        <x:v>Troca de ferramenta</x:v>
      </x:c>
      <x:c r="I429" s="28" t="str">
        <x:v>Não</x:v>
      </x:c>
    </x:row>
    <x:row r="430">
      <x:c r="A430" s="34" t="n">
        <x:v>45481</x:v>
      </x:c>
      <x:c r="B430" s="28" t="str">
        <x:v>Grupo Industrial S.A.</x:v>
      </x:c>
      <x:c r="C430" s="28" t="str">
        <x:v>Planta Curitiba</x:v>
      </x:c>
      <x:c r="D430" s="28" t="str">
        <x:v>Linha 6 - Finalização</x:v>
      </x:c>
      <x:c r="E430" s="28" t="str">
        <x:v>EQ-6-02</x:v>
      </x:c>
      <x:c r="F430" s="28" t="str">
        <x:v>Corretiva</x:v>
      </x:c>
      <x:c r="G430" s="32" t="n">
        <x:v>5.02</x:v>
      </x:c>
      <x:c r="H430" s="28" t="str">
        <x:v>Quebras</x:v>
      </x:c>
      <x:c r="I430" s="28" t="str">
        <x:v>Sim</x:v>
      </x:c>
    </x:row>
    <x:row r="431">
      <x:c r="A431" s="34" t="n">
        <x:v>45481</x:v>
      </x:c>
      <x:c r="B431" s="28" t="str">
        <x:v>Grupo Industrial S.A.</x:v>
      </x:c>
      <x:c r="C431" s="28" t="str">
        <x:v>Planta Curitiba</x:v>
      </x:c>
      <x:c r="D431" s="28" t="str">
        <x:v>Linha 6 - Finalização</x:v>
      </x:c>
      <x:c r="E431" s="28" t="str">
        <x:v>EQ-6-03</x:v>
      </x:c>
      <x:c r="F431" s="28" t="str">
        <x:v>Operacional</x:v>
      </x:c>
      <x:c r="G431" s="32" t="n">
        <x:v>5.73</x:v>
      </x:c>
      <x:c r="H431" s="28" t="str">
        <x:v>Setup</x:v>
      </x:c>
      <x:c r="I431" s="28" t="str">
        <x:v>Não</x:v>
      </x:c>
    </x:row>
    <x:row r="432">
      <x:c r="A432" s="34" t="n">
        <x:v>45488</x:v>
      </x:c>
      <x:c r="B432" s="28" t="str">
        <x:v>Grupo Industrial S.A.</x:v>
      </x:c>
      <x:c r="C432" s="28" t="str">
        <x:v>Planta São Paulo</x:v>
      </x:c>
      <x:c r="D432" s="28" t="str">
        <x:v>Linha 1 - Corte</x:v>
      </x:c>
      <x:c r="E432" s="28" t="str">
        <x:v>EQ-1-01</x:v>
      </x:c>
      <x:c r="F432" s="28" t="str">
        <x:v>Corretiva</x:v>
      </x:c>
      <x:c r="G432" s="32" t="n">
        <x:v>6.91</x:v>
      </x:c>
      <x:c r="H432" s="28" t="str">
        <x:v>Quebras</x:v>
      </x:c>
      <x:c r="I432" s="28" t="str">
        <x:v>Sim</x:v>
      </x:c>
    </x:row>
    <x:row r="433">
      <x:c r="A433" s="34" t="n">
        <x:v>45488</x:v>
      </x:c>
      <x:c r="B433" s="28" t="str">
        <x:v>Grupo Industrial S.A.</x:v>
      </x:c>
      <x:c r="C433" s="28" t="str">
        <x:v>Planta São Paulo</x:v>
      </x:c>
      <x:c r="D433" s="28" t="str">
        <x:v>Linha 1 - Corte</x:v>
      </x:c>
      <x:c r="E433" s="28" t="str">
        <x:v>EQ-1-02</x:v>
      </x:c>
      <x:c r="F433" s="28" t="str">
        <x:v>Corretiva</x:v>
      </x:c>
      <x:c r="G433" s="32" t="n">
        <x:v>9.84</x:v>
      </x:c>
      <x:c r="H433" s="28" t="str">
        <x:v>Microparadas</x:v>
      </x:c>
      <x:c r="I433" s="28" t="str">
        <x:v>Não</x:v>
      </x:c>
    </x:row>
    <x:row r="434">
      <x:c r="A434" s="34" t="n">
        <x:v>45488</x:v>
      </x:c>
      <x:c r="B434" s="28" t="str">
        <x:v>Grupo Industrial S.A.</x:v>
      </x:c>
      <x:c r="C434" s="28" t="str">
        <x:v>Planta São Paulo</x:v>
      </x:c>
      <x:c r="D434" s="28" t="str">
        <x:v>Linha 2 - Montagem</x:v>
      </x:c>
      <x:c r="E434" s="28" t="str">
        <x:v>EQ-2-01</x:v>
      </x:c>
      <x:c r="F434" s="28" t="str">
        <x:v>Corretiva</x:v>
      </x:c>
      <x:c r="G434" s="32" t="n">
        <x:v>4.23</x:v>
      </x:c>
      <x:c r="H434" s="28" t="str">
        <x:v>Quebras</x:v>
      </x:c>
      <x:c r="I434" s="28" t="str">
        <x:v>Sim</x:v>
      </x:c>
    </x:row>
    <x:row r="435">
      <x:c r="A435" s="34" t="n">
        <x:v>45488</x:v>
      </x:c>
      <x:c r="B435" s="28" t="str">
        <x:v>Grupo Industrial S.A.</x:v>
      </x:c>
      <x:c r="C435" s="28" t="str">
        <x:v>Planta São Paulo</x:v>
      </x:c>
      <x:c r="D435" s="28" t="str">
        <x:v>Linha 2 - Montagem</x:v>
      </x:c>
      <x:c r="E435" s="28" t="str">
        <x:v>EQ-2-02</x:v>
      </x:c>
      <x:c r="F435" s="28" t="str">
        <x:v>Operacional</x:v>
      </x:c>
      <x:c r="G435" s="32" t="n">
        <x:v>7.87</x:v>
      </x:c>
      <x:c r="H435" s="28" t="str">
        <x:v>Setup</x:v>
      </x:c>
      <x:c r="I435" s="28" t="str">
        <x:v>Não</x:v>
      </x:c>
    </x:row>
    <x:row r="436">
      <x:c r="A436" s="34" t="n">
        <x:v>45488</x:v>
      </x:c>
      <x:c r="B436" s="28" t="str">
        <x:v>Grupo Industrial S.A.</x:v>
      </x:c>
      <x:c r="C436" s="28" t="str">
        <x:v>Planta Campinas</x:v>
      </x:c>
      <x:c r="D436" s="28" t="str">
        <x:v>Linha 3 - Extrusão</x:v>
      </x:c>
      <x:c r="E436" s="28" t="str">
        <x:v>EQ-3-01</x:v>
      </x:c>
      <x:c r="F436" s="28" t="str">
        <x:v>Corretiva</x:v>
      </x:c>
      <x:c r="G436" s="32" t="n">
        <x:v>10.89</x:v>
      </x:c>
      <x:c r="H436" s="28" t="str">
        <x:v>Ajustes</x:v>
      </x:c>
      <x:c r="I436" s="28" t="str">
        <x:v>Não</x:v>
      </x:c>
    </x:row>
    <x:row r="437">
      <x:c r="A437" s="34" t="n">
        <x:v>45488</x:v>
      </x:c>
      <x:c r="B437" s="28" t="str">
        <x:v>Grupo Industrial S.A.</x:v>
      </x:c>
      <x:c r="C437" s="28" t="str">
        <x:v>Planta Campinas</x:v>
      </x:c>
      <x:c r="D437" s="28" t="str">
        <x:v>Linha 3 - Extrusão</x:v>
      </x:c>
      <x:c r="E437" s="28" t="str">
        <x:v>EQ-3-02</x:v>
      </x:c>
      <x:c r="F437" s="28" t="str">
        <x:v>Operacional</x:v>
      </x:c>
      <x:c r="G437" s="32" t="n">
        <x:v>5.16</x:v>
      </x:c>
      <x:c r="H437" s="28" t="str">
        <x:v>Falta de material</x:v>
      </x:c>
      <x:c r="I437" s="28" t="str">
        <x:v>Sim</x:v>
      </x:c>
    </x:row>
    <x:row r="438">
      <x:c r="A438" s="34" t="n">
        <x:v>45488</x:v>
      </x:c>
      <x:c r="B438" s="28" t="str">
        <x:v>Grupo Industrial S.A.</x:v>
      </x:c>
      <x:c r="C438" s="28" t="str">
        <x:v>Planta Campinas</x:v>
      </x:c>
      <x:c r="D438" s="28" t="str">
        <x:v>Linha 3 - Extrusão</x:v>
      </x:c>
      <x:c r="E438" s="28" t="str">
        <x:v>EQ-3-03</x:v>
      </x:c>
      <x:c r="F438" s="28" t="str">
        <x:v>Corretiva</x:v>
      </x:c>
      <x:c r="G438" s="32" t="n">
        <x:v>5.19</x:v>
      </x:c>
      <x:c r="H438" s="28" t="str">
        <x:v>Ajustes</x:v>
      </x:c>
      <x:c r="I438" s="28" t="str">
        <x:v>Não</x:v>
      </x:c>
    </x:row>
    <x:row r="439">
      <x:c r="A439" s="34" t="n">
        <x:v>45488</x:v>
      </x:c>
      <x:c r="B439" s="28" t="str">
        <x:v>Grupo Industrial S.A.</x:v>
      </x:c>
      <x:c r="C439" s="28" t="str">
        <x:v>Planta Campinas</x:v>
      </x:c>
      <x:c r="D439" s="28" t="str">
        <x:v>Linha 4 - Embalagem</x:v>
      </x:c>
      <x:c r="E439" s="28" t="str">
        <x:v>EQ-4-01</x:v>
      </x:c>
      <x:c r="F439" s="28" t="str">
        <x:v>Corretiva</x:v>
      </x:c>
      <x:c r="G439" s="32" t="n">
        <x:v>10.94</x:v>
      </x:c>
      <x:c r="H439" s="28" t="str">
        <x:v>Ajustes</x:v>
      </x:c>
      <x:c r="I439" s="28" t="str">
        <x:v>Não</x:v>
      </x:c>
    </x:row>
    <x:row r="440">
      <x:c r="A440" s="34" t="n">
        <x:v>45488</x:v>
      </x:c>
      <x:c r="B440" s="28" t="str">
        <x:v>Grupo Industrial S.A.</x:v>
      </x:c>
      <x:c r="C440" s="28" t="str">
        <x:v>Planta Campinas</x:v>
      </x:c>
      <x:c r="D440" s="28" t="str">
        <x:v>Linha 4 - Embalagem</x:v>
      </x:c>
      <x:c r="E440" s="28" t="str">
        <x:v>EQ-4-02</x:v>
      </x:c>
      <x:c r="F440" s="28" t="str">
        <x:v>Corretiva</x:v>
      </x:c>
      <x:c r="G440" s="32" t="n">
        <x:v>3.66</x:v>
      </x:c>
      <x:c r="H440" s="28" t="str">
        <x:v>Ajustes</x:v>
      </x:c>
      <x:c r="I440" s="28" t="str">
        <x:v>Não</x:v>
      </x:c>
    </x:row>
    <x:row r="441">
      <x:c r="A441" s="34" t="n">
        <x:v>45488</x:v>
      </x:c>
      <x:c r="B441" s="28" t="str">
        <x:v>Grupo Industrial S.A.</x:v>
      </x:c>
      <x:c r="C441" s="28" t="str">
        <x:v>Planta Campinas</x:v>
      </x:c>
      <x:c r="D441" s="28" t="str">
        <x:v>Linha 4 - Embalagem</x:v>
      </x:c>
      <x:c r="E441" s="28" t="str">
        <x:v>EQ-4-03</x:v>
      </x:c>
      <x:c r="F441" s="28" t="str">
        <x:v>Operacional</x:v>
      </x:c>
      <x:c r="G441" s="32" t="n">
        <x:v>6.99</x:v>
      </x:c>
      <x:c r="H441" s="28" t="str">
        <x:v>Falta de material</x:v>
      </x:c>
      <x:c r="I441" s="28" t="str">
        <x:v>Sim</x:v>
      </x:c>
    </x:row>
    <x:row r="442">
      <x:c r="A442" s="34" t="n">
        <x:v>45488</x:v>
      </x:c>
      <x:c r="B442" s="28" t="str">
        <x:v>Grupo Industrial S.A.</x:v>
      </x:c>
      <x:c r="C442" s="28" t="str">
        <x:v>Planta Curitiba</x:v>
      </x:c>
      <x:c r="D442" s="28" t="str">
        <x:v>Linha 5 - Usinagem</x:v>
      </x:c>
      <x:c r="E442" s="28" t="str">
        <x:v>EQ-5-01</x:v>
      </x:c>
      <x:c r="F442" s="28" t="str">
        <x:v>Corretiva</x:v>
      </x:c>
      <x:c r="G442" s="32" t="n">
        <x:v>8.77</x:v>
      </x:c>
      <x:c r="H442" s="28" t="str">
        <x:v>Microparadas</x:v>
      </x:c>
      <x:c r="I442" s="28" t="str">
        <x:v>Não</x:v>
      </x:c>
    </x:row>
    <x:row r="443">
      <x:c r="A443" s="34" t="n">
        <x:v>45488</x:v>
      </x:c>
      <x:c r="B443" s="28" t="str">
        <x:v>Grupo Industrial S.A.</x:v>
      </x:c>
      <x:c r="C443" s="28" t="str">
        <x:v>Planta Curitiba</x:v>
      </x:c>
      <x:c r="D443" s="28" t="str">
        <x:v>Linha 5 - Usinagem</x:v>
      </x:c>
      <x:c r="E443" s="28" t="str">
        <x:v>EQ-5-02</x:v>
      </x:c>
      <x:c r="F443" s="28" t="str">
        <x:v>Corretiva</x:v>
      </x:c>
      <x:c r="G443" s="32" t="n">
        <x:v>4.84</x:v>
      </x:c>
      <x:c r="H443" s="28" t="str">
        <x:v>Quebras</x:v>
      </x:c>
      <x:c r="I443" s="28" t="str">
        <x:v>Sim</x:v>
      </x:c>
    </x:row>
    <x:row r="444">
      <x:c r="A444" s="34" t="n">
        <x:v>45488</x:v>
      </x:c>
      <x:c r="B444" s="28" t="str">
        <x:v>Grupo Industrial S.A.</x:v>
      </x:c>
      <x:c r="C444" s="28" t="str">
        <x:v>Planta Curitiba</x:v>
      </x:c>
      <x:c r="D444" s="28" t="str">
        <x:v>Linha 5 - Usinagem</x:v>
      </x:c>
      <x:c r="E444" s="28" t="str">
        <x:v>EQ-5-03</x:v>
      </x:c>
      <x:c r="F444" s="28" t="str">
        <x:v>Corretiva</x:v>
      </x:c>
      <x:c r="G444" s="32" t="n">
        <x:v>4.59</x:v>
      </x:c>
      <x:c r="H444" s="28" t="str">
        <x:v>Quebras</x:v>
      </x:c>
      <x:c r="I444" s="28" t="str">
        <x:v>Sim</x:v>
      </x:c>
    </x:row>
    <x:row r="445">
      <x:c r="A445" s="34" t="n">
        <x:v>45488</x:v>
      </x:c>
      <x:c r="B445" s="28" t="str">
        <x:v>Grupo Industrial S.A.</x:v>
      </x:c>
      <x:c r="C445" s="28" t="str">
        <x:v>Planta Curitiba</x:v>
      </x:c>
      <x:c r="D445" s="28" t="str">
        <x:v>Linha 6 - Finalização</x:v>
      </x:c>
      <x:c r="E445" s="28" t="str">
        <x:v>EQ-6-01</x:v>
      </x:c>
      <x:c r="F445" s="28" t="str">
        <x:v>Corretiva</x:v>
      </x:c>
      <x:c r="G445" s="32" t="n">
        <x:v>7.32</x:v>
      </x:c>
      <x:c r="H445" s="28" t="str">
        <x:v>Quebras</x:v>
      </x:c>
      <x:c r="I445" s="28" t="str">
        <x:v>Sim</x:v>
      </x:c>
    </x:row>
    <x:row r="446">
      <x:c r="A446" s="34" t="n">
        <x:v>45488</x:v>
      </x:c>
      <x:c r="B446" s="28" t="str">
        <x:v>Grupo Industrial S.A.</x:v>
      </x:c>
      <x:c r="C446" s="28" t="str">
        <x:v>Planta Curitiba</x:v>
      </x:c>
      <x:c r="D446" s="28" t="str">
        <x:v>Linha 6 - Finalização</x:v>
      </x:c>
      <x:c r="E446" s="28" t="str">
        <x:v>EQ-6-02</x:v>
      </x:c>
      <x:c r="F446" s="28" t="str">
        <x:v>Corretiva</x:v>
      </x:c>
      <x:c r="G446" s="32" t="n">
        <x:v>6.45</x:v>
      </x:c>
      <x:c r="H446" s="28" t="str">
        <x:v>Quebras</x:v>
      </x:c>
      <x:c r="I446" s="28" t="str">
        <x:v>Sim</x:v>
      </x:c>
    </x:row>
    <x:row r="447">
      <x:c r="A447" s="34" t="n">
        <x:v>45488</x:v>
      </x:c>
      <x:c r="B447" s="28" t="str">
        <x:v>Grupo Industrial S.A.</x:v>
      </x:c>
      <x:c r="C447" s="28" t="str">
        <x:v>Planta Curitiba</x:v>
      </x:c>
      <x:c r="D447" s="28" t="str">
        <x:v>Linha 6 - Finalização</x:v>
      </x:c>
      <x:c r="E447" s="28" t="str">
        <x:v>EQ-6-03</x:v>
      </x:c>
      <x:c r="F447" s="28" t="str">
        <x:v>Operacional</x:v>
      </x:c>
      <x:c r="G447" s="32" t="n">
        <x:v>7.29</x:v>
      </x:c>
      <x:c r="H447" s="28" t="str">
        <x:v>Setup</x:v>
      </x:c>
      <x:c r="I447" s="28" t="str">
        <x:v>Não</x:v>
      </x:c>
    </x:row>
    <x:row r="448">
      <x:c r="A448" s="34" t="n">
        <x:v>45495</x:v>
      </x:c>
      <x:c r="B448" s="28" t="str">
        <x:v>Grupo Industrial S.A.</x:v>
      </x:c>
      <x:c r="C448" s="28" t="str">
        <x:v>Planta São Paulo</x:v>
      </x:c>
      <x:c r="D448" s="28" t="str">
        <x:v>Linha 1 - Corte</x:v>
      </x:c>
      <x:c r="E448" s="28" t="str">
        <x:v>EQ-1-01</x:v>
      </x:c>
      <x:c r="F448" s="28" t="str">
        <x:v>Corretiva</x:v>
      </x:c>
      <x:c r="G448" s="32" t="n">
        <x:v>3.94</x:v>
      </x:c>
      <x:c r="H448" s="28" t="str">
        <x:v>Elétrica</x:v>
      </x:c>
      <x:c r="I448" s="28" t="str">
        <x:v>Sim</x:v>
      </x:c>
    </x:row>
    <x:row r="449">
      <x:c r="A449" s="34" t="n">
        <x:v>45495</x:v>
      </x:c>
      <x:c r="B449" s="28" t="str">
        <x:v>Grupo Industrial S.A.</x:v>
      </x:c>
      <x:c r="C449" s="28" t="str">
        <x:v>Planta São Paulo</x:v>
      </x:c>
      <x:c r="D449" s="28" t="str">
        <x:v>Linha 1 - Corte</x:v>
      </x:c>
      <x:c r="E449" s="28" t="str">
        <x:v>EQ-1-02</x:v>
      </x:c>
      <x:c r="F449" s="28" t="str">
        <x:v>Corretiva</x:v>
      </x:c>
      <x:c r="G449" s="32" t="n">
        <x:v>8.35</x:v>
      </x:c>
      <x:c r="H449" s="28" t="str">
        <x:v>Microparadas</x:v>
      </x:c>
      <x:c r="I449" s="28" t="str">
        <x:v>Não</x:v>
      </x:c>
    </x:row>
    <x:row r="450">
      <x:c r="A450" s="34" t="n">
        <x:v>45495</x:v>
      </x:c>
      <x:c r="B450" s="28" t="str">
        <x:v>Grupo Industrial S.A.</x:v>
      </x:c>
      <x:c r="C450" s="28" t="str">
        <x:v>Planta São Paulo</x:v>
      </x:c>
      <x:c r="D450" s="28" t="str">
        <x:v>Linha 2 - Montagem</x:v>
      </x:c>
      <x:c r="E450" s="28" t="str">
        <x:v>EQ-2-01</x:v>
      </x:c>
      <x:c r="F450" s="28" t="str">
        <x:v>Operacional</x:v>
      </x:c>
      <x:c r="G450" s="32" t="n">
        <x:v>5.69</x:v>
      </x:c>
      <x:c r="H450" s="28" t="str">
        <x:v>Setup</x:v>
      </x:c>
      <x:c r="I450" s="28" t="str">
        <x:v>Não</x:v>
      </x:c>
    </x:row>
    <x:row r="451">
      <x:c r="A451" s="34" t="n">
        <x:v>45495</x:v>
      </x:c>
      <x:c r="B451" s="28" t="str">
        <x:v>Grupo Industrial S.A.</x:v>
      </x:c>
      <x:c r="C451" s="28" t="str">
        <x:v>Planta São Paulo</x:v>
      </x:c>
      <x:c r="D451" s="28" t="str">
        <x:v>Linha 2 - Montagem</x:v>
      </x:c>
      <x:c r="E451" s="28" t="str">
        <x:v>EQ-2-02</x:v>
      </x:c>
      <x:c r="F451" s="28" t="str">
        <x:v>Corretiva</x:v>
      </x:c>
      <x:c r="G451" s="32" t="n">
        <x:v>10.62</x:v>
      </x:c>
      <x:c r="H451" s="28" t="str">
        <x:v>Elétrica</x:v>
      </x:c>
      <x:c r="I451" s="28" t="str">
        <x:v>Sim</x:v>
      </x:c>
    </x:row>
    <x:row r="452">
      <x:c r="A452" s="34" t="n">
        <x:v>45495</x:v>
      </x:c>
      <x:c r="B452" s="28" t="str">
        <x:v>Grupo Industrial S.A.</x:v>
      </x:c>
      <x:c r="C452" s="28" t="str">
        <x:v>Planta Campinas</x:v>
      </x:c>
      <x:c r="D452" s="28" t="str">
        <x:v>Linha 3 - Extrusão</x:v>
      </x:c>
      <x:c r="E452" s="28" t="str">
        <x:v>EQ-3-01</x:v>
      </x:c>
      <x:c r="F452" s="28" t="str">
        <x:v>Corretiva</x:v>
      </x:c>
      <x:c r="G452" s="32" t="n">
        <x:v>11.57</x:v>
      </x:c>
      <x:c r="H452" s="28" t="str">
        <x:v>Quebras</x:v>
      </x:c>
      <x:c r="I452" s="28" t="str">
        <x:v>Sim</x:v>
      </x:c>
    </x:row>
    <x:row r="453">
      <x:c r="A453" s="34" t="n">
        <x:v>45495</x:v>
      </x:c>
      <x:c r="B453" s="28" t="str">
        <x:v>Grupo Industrial S.A.</x:v>
      </x:c>
      <x:c r="C453" s="28" t="str">
        <x:v>Planta Campinas</x:v>
      </x:c>
      <x:c r="D453" s="28" t="str">
        <x:v>Linha 3 - Extrusão</x:v>
      </x:c>
      <x:c r="E453" s="28" t="str">
        <x:v>EQ-3-02</x:v>
      </x:c>
      <x:c r="F453" s="28" t="str">
        <x:v>Operacional</x:v>
      </x:c>
      <x:c r="G453" s="32" t="n">
        <x:v>5.01</x:v>
      </x:c>
      <x:c r="H453" s="28" t="str">
        <x:v>Falta de material</x:v>
      </x:c>
      <x:c r="I453" s="28" t="str">
        <x:v>Sim</x:v>
      </x:c>
    </x:row>
    <x:row r="454">
      <x:c r="A454" s="34" t="n">
        <x:v>45495</x:v>
      </x:c>
      <x:c r="B454" s="28" t="str">
        <x:v>Grupo Industrial S.A.</x:v>
      </x:c>
      <x:c r="C454" s="28" t="str">
        <x:v>Planta Campinas</x:v>
      </x:c>
      <x:c r="D454" s="28" t="str">
        <x:v>Linha 3 - Extrusão</x:v>
      </x:c>
      <x:c r="E454" s="28" t="str">
        <x:v>EQ-3-03</x:v>
      </x:c>
      <x:c r="F454" s="28" t="str">
        <x:v>Corretiva</x:v>
      </x:c>
      <x:c r="G454" s="32" t="n">
        <x:v>6.19</x:v>
      </x:c>
      <x:c r="H454" s="28" t="str">
        <x:v>Ajustes</x:v>
      </x:c>
      <x:c r="I454" s="28" t="str">
        <x:v>Não</x:v>
      </x:c>
    </x:row>
    <x:row r="455">
      <x:c r="A455" s="34" t="n">
        <x:v>45495</x:v>
      </x:c>
      <x:c r="B455" s="28" t="str">
        <x:v>Grupo Industrial S.A.</x:v>
      </x:c>
      <x:c r="C455" s="28" t="str">
        <x:v>Planta Campinas</x:v>
      </x:c>
      <x:c r="D455" s="28" t="str">
        <x:v>Linha 4 - Embalagem</x:v>
      </x:c>
      <x:c r="E455" s="28" t="str">
        <x:v>EQ-4-01</x:v>
      </x:c>
      <x:c r="F455" s="28" t="str">
        <x:v>Operacional</x:v>
      </x:c>
      <x:c r="G455" s="32" t="n">
        <x:v>12.74</x:v>
      </x:c>
      <x:c r="H455" s="28" t="str">
        <x:v>Falta de material</x:v>
      </x:c>
      <x:c r="I455" s="28" t="str">
        <x:v>Sim</x:v>
      </x:c>
    </x:row>
    <x:row r="456">
      <x:c r="A456" s="34" t="n">
        <x:v>45495</x:v>
      </x:c>
      <x:c r="B456" s="28" t="str">
        <x:v>Grupo Industrial S.A.</x:v>
      </x:c>
      <x:c r="C456" s="28" t="str">
        <x:v>Planta Campinas</x:v>
      </x:c>
      <x:c r="D456" s="28" t="str">
        <x:v>Linha 4 - Embalagem</x:v>
      </x:c>
      <x:c r="E456" s="28" t="str">
        <x:v>EQ-4-02</x:v>
      </x:c>
      <x:c r="F456" s="28" t="str">
        <x:v>Operacional</x:v>
      </x:c>
      <x:c r="G456" s="32" t="n">
        <x:v>3.95</x:v>
      </x:c>
      <x:c r="H456" s="28" t="str">
        <x:v>Falta de material</x:v>
      </x:c>
      <x:c r="I456" s="28" t="str">
        <x:v>Sim</x:v>
      </x:c>
    </x:row>
    <x:row r="457">
      <x:c r="A457" s="34" t="n">
        <x:v>45495</x:v>
      </x:c>
      <x:c r="B457" s="28" t="str">
        <x:v>Grupo Industrial S.A.</x:v>
      </x:c>
      <x:c r="C457" s="28" t="str">
        <x:v>Planta Campinas</x:v>
      </x:c>
      <x:c r="D457" s="28" t="str">
        <x:v>Linha 4 - Embalagem</x:v>
      </x:c>
      <x:c r="E457" s="28" t="str">
        <x:v>EQ-4-03</x:v>
      </x:c>
      <x:c r="F457" s="28" t="str">
        <x:v>Operacional</x:v>
      </x:c>
      <x:c r="G457" s="32" t="n">
        <x:v>9.15</x:v>
      </x:c>
      <x:c r="H457" s="28" t="str">
        <x:v>Falta de material</x:v>
      </x:c>
      <x:c r="I457" s="28" t="str">
        <x:v>Sim</x:v>
      </x:c>
    </x:row>
    <x:row r="458">
      <x:c r="A458" s="34" t="n">
        <x:v>45495</x:v>
      </x:c>
      <x:c r="B458" s="28" t="str">
        <x:v>Grupo Industrial S.A.</x:v>
      </x:c>
      <x:c r="C458" s="28" t="str">
        <x:v>Planta Curitiba</x:v>
      </x:c>
      <x:c r="D458" s="28" t="str">
        <x:v>Linha 5 - Usinagem</x:v>
      </x:c>
      <x:c r="E458" s="28" t="str">
        <x:v>EQ-5-01</x:v>
      </x:c>
      <x:c r="F458" s="28" t="str">
        <x:v>Corretiva</x:v>
      </x:c>
      <x:c r="G458" s="32" t="n">
        <x:v>7.78</x:v>
      </x:c>
      <x:c r="H458" s="28" t="str">
        <x:v>Microparadas</x:v>
      </x:c>
      <x:c r="I458" s="28" t="str">
        <x:v>Não</x:v>
      </x:c>
    </x:row>
    <x:row r="459">
      <x:c r="A459" s="34" t="n">
        <x:v>45495</x:v>
      </x:c>
      <x:c r="B459" s="28" t="str">
        <x:v>Grupo Industrial S.A.</x:v>
      </x:c>
      <x:c r="C459" s="28" t="str">
        <x:v>Planta Curitiba</x:v>
      </x:c>
      <x:c r="D459" s="28" t="str">
        <x:v>Linha 5 - Usinagem</x:v>
      </x:c>
      <x:c r="E459" s="28" t="str">
        <x:v>EQ-5-02</x:v>
      </x:c>
      <x:c r="F459" s="28" t="str">
        <x:v>Corretiva</x:v>
      </x:c>
      <x:c r="G459" s="32" t="n">
        <x:v>5.84</x:v>
      </x:c>
      <x:c r="H459" s="28" t="str">
        <x:v>Microparadas</x:v>
      </x:c>
      <x:c r="I459" s="28" t="str">
        <x:v>Não</x:v>
      </x:c>
    </x:row>
    <x:row r="460">
      <x:c r="A460" s="34" t="n">
        <x:v>45495</x:v>
      </x:c>
      <x:c r="B460" s="28" t="str">
        <x:v>Grupo Industrial S.A.</x:v>
      </x:c>
      <x:c r="C460" s="28" t="str">
        <x:v>Planta Curitiba</x:v>
      </x:c>
      <x:c r="D460" s="28" t="str">
        <x:v>Linha 5 - Usinagem</x:v>
      </x:c>
      <x:c r="E460" s="28" t="str">
        <x:v>EQ-5-03</x:v>
      </x:c>
      <x:c r="F460" s="28" t="str">
        <x:v>Operacional</x:v>
      </x:c>
      <x:c r="G460" s="32" t="n">
        <x:v>6.03</x:v>
      </x:c>
      <x:c r="H460" s="28" t="str">
        <x:v>Setup</x:v>
      </x:c>
      <x:c r="I460" s="28" t="str">
        <x:v>Não</x:v>
      </x:c>
    </x:row>
    <x:row r="461">
      <x:c r="A461" s="34" t="n">
        <x:v>45495</x:v>
      </x:c>
      <x:c r="B461" s="28" t="str">
        <x:v>Grupo Industrial S.A.</x:v>
      </x:c>
      <x:c r="C461" s="28" t="str">
        <x:v>Planta Curitiba</x:v>
      </x:c>
      <x:c r="D461" s="28" t="str">
        <x:v>Linha 6 - Finalização</x:v>
      </x:c>
      <x:c r="E461" s="28" t="str">
        <x:v>EQ-6-01</x:v>
      </x:c>
      <x:c r="F461" s="28" t="str">
        <x:v>Corretiva</x:v>
      </x:c>
      <x:c r="G461" s="32" t="n">
        <x:v>5.86</x:v>
      </x:c>
      <x:c r="H461" s="28" t="str">
        <x:v>Microparadas</x:v>
      </x:c>
      <x:c r="I461" s="28" t="str">
        <x:v>Não</x:v>
      </x:c>
    </x:row>
    <x:row r="462">
      <x:c r="A462" s="34" t="n">
        <x:v>45495</x:v>
      </x:c>
      <x:c r="B462" s="28" t="str">
        <x:v>Grupo Industrial S.A.</x:v>
      </x:c>
      <x:c r="C462" s="28" t="str">
        <x:v>Planta Curitiba</x:v>
      </x:c>
      <x:c r="D462" s="28" t="str">
        <x:v>Linha 6 - Finalização</x:v>
      </x:c>
      <x:c r="E462" s="28" t="str">
        <x:v>EQ-6-02</x:v>
      </x:c>
      <x:c r="F462" s="28" t="str">
        <x:v>Corretiva</x:v>
      </x:c>
      <x:c r="G462" s="32" t="n">
        <x:v>10.76</x:v>
      </x:c>
      <x:c r="H462" s="28" t="str">
        <x:v>Microparadas</x:v>
      </x:c>
      <x:c r="I462" s="28" t="str">
        <x:v>Não</x:v>
      </x:c>
    </x:row>
    <x:row r="463">
      <x:c r="A463" s="34" t="n">
        <x:v>45502</x:v>
      </x:c>
      <x:c r="B463" s="28" t="str">
        <x:v>Grupo Industrial S.A.</x:v>
      </x:c>
      <x:c r="C463" s="28" t="str">
        <x:v>Planta São Paulo</x:v>
      </x:c>
      <x:c r="D463" s="28" t="str">
        <x:v>Linha 1 - Corte</x:v>
      </x:c>
      <x:c r="E463" s="28" t="str">
        <x:v>EQ-1-01</x:v>
      </x:c>
      <x:c r="F463" s="28" t="str">
        <x:v>Corretiva</x:v>
      </x:c>
      <x:c r="G463" s="32" t="n">
        <x:v>5.92</x:v>
      </x:c>
      <x:c r="H463" s="28" t="str">
        <x:v>Elétrica</x:v>
      </x:c>
      <x:c r="I463" s="28" t="str">
        <x:v>Sim</x:v>
      </x:c>
    </x:row>
    <x:row r="464">
      <x:c r="A464" s="34" t="n">
        <x:v>45502</x:v>
      </x:c>
      <x:c r="B464" s="28" t="str">
        <x:v>Grupo Industrial S.A.</x:v>
      </x:c>
      <x:c r="C464" s="28" t="str">
        <x:v>Planta São Paulo</x:v>
      </x:c>
      <x:c r="D464" s="28" t="str">
        <x:v>Linha 1 - Corte</x:v>
      </x:c>
      <x:c r="E464" s="28" t="str">
        <x:v>EQ-1-02</x:v>
      </x:c>
      <x:c r="F464" s="28" t="str">
        <x:v>Operacional</x:v>
      </x:c>
      <x:c r="G464" s="32" t="n">
        <x:v>8.91</x:v>
      </x:c>
      <x:c r="H464" s="28" t="str">
        <x:v>Setup</x:v>
      </x:c>
      <x:c r="I464" s="28" t="str">
        <x:v>Não</x:v>
      </x:c>
    </x:row>
    <x:row r="465">
      <x:c r="A465" s="34" t="n">
        <x:v>45502</x:v>
      </x:c>
      <x:c r="B465" s="28" t="str">
        <x:v>Grupo Industrial S.A.</x:v>
      </x:c>
      <x:c r="C465" s="28" t="str">
        <x:v>Planta São Paulo</x:v>
      </x:c>
      <x:c r="D465" s="28" t="str">
        <x:v>Linha 2 - Montagem</x:v>
      </x:c>
      <x:c r="E465" s="28" t="str">
        <x:v>EQ-2-01</x:v>
      </x:c>
      <x:c r="F465" s="28" t="str">
        <x:v>Corretiva</x:v>
      </x:c>
      <x:c r="G465" s="32" t="n">
        <x:v>8.57</x:v>
      </x:c>
      <x:c r="H465" s="28" t="str">
        <x:v>Elétrica</x:v>
      </x:c>
      <x:c r="I465" s="28" t="str">
        <x:v>Sim</x:v>
      </x:c>
    </x:row>
    <x:row r="466">
      <x:c r="A466" s="34" t="n">
        <x:v>45502</x:v>
      </x:c>
      <x:c r="B466" s="28" t="str">
        <x:v>Grupo Industrial S.A.</x:v>
      </x:c>
      <x:c r="C466" s="28" t="str">
        <x:v>Planta São Paulo</x:v>
      </x:c>
      <x:c r="D466" s="28" t="str">
        <x:v>Linha 2 - Montagem</x:v>
      </x:c>
      <x:c r="E466" s="28" t="str">
        <x:v>EQ-2-02</x:v>
      </x:c>
      <x:c r="F466" s="28" t="str">
        <x:v>Corretiva</x:v>
      </x:c>
      <x:c r="G466" s="32" t="n">
        <x:v>8.02</x:v>
      </x:c>
      <x:c r="H466" s="28" t="str">
        <x:v>Microparadas</x:v>
      </x:c>
      <x:c r="I466" s="28" t="str">
        <x:v>Não</x:v>
      </x:c>
    </x:row>
    <x:row r="467">
      <x:c r="A467" s="34" t="n">
        <x:v>45502</x:v>
      </x:c>
      <x:c r="B467" s="28" t="str">
        <x:v>Grupo Industrial S.A.</x:v>
      </x:c>
      <x:c r="C467" s="28" t="str">
        <x:v>Planta Campinas</x:v>
      </x:c>
      <x:c r="D467" s="28" t="str">
        <x:v>Linha 3 - Extrusão</x:v>
      </x:c>
      <x:c r="E467" s="28" t="str">
        <x:v>EQ-3-01</x:v>
      </x:c>
      <x:c r="F467" s="28" t="str">
        <x:v>Operacional</x:v>
      </x:c>
      <x:c r="G467" s="32" t="n">
        <x:v>7.51</x:v>
      </x:c>
      <x:c r="H467" s="28" t="str">
        <x:v>Setup</x:v>
      </x:c>
      <x:c r="I467" s="28" t="str">
        <x:v>Não</x:v>
      </x:c>
    </x:row>
    <x:row r="468">
      <x:c r="A468" s="34" t="n">
        <x:v>45502</x:v>
      </x:c>
      <x:c r="B468" s="28" t="str">
        <x:v>Grupo Industrial S.A.</x:v>
      </x:c>
      <x:c r="C468" s="28" t="str">
        <x:v>Planta Campinas</x:v>
      </x:c>
      <x:c r="D468" s="28" t="str">
        <x:v>Linha 3 - Extrusão</x:v>
      </x:c>
      <x:c r="E468" s="28" t="str">
        <x:v>EQ-3-02</x:v>
      </x:c>
      <x:c r="F468" s="28" t="str">
        <x:v>Operacional</x:v>
      </x:c>
      <x:c r="G468" s="32" t="n">
        <x:v>4.96</x:v>
      </x:c>
      <x:c r="H468" s="28" t="str">
        <x:v>Setup</x:v>
      </x:c>
      <x:c r="I468" s="28" t="str">
        <x:v>Não</x:v>
      </x:c>
    </x:row>
    <x:row r="469">
      <x:c r="A469" s="34" t="n">
        <x:v>45502</x:v>
      </x:c>
      <x:c r="B469" s="28" t="str">
        <x:v>Grupo Industrial S.A.</x:v>
      </x:c>
      <x:c r="C469" s="28" t="str">
        <x:v>Planta Campinas</x:v>
      </x:c>
      <x:c r="D469" s="28" t="str">
        <x:v>Linha 3 - Extrusão</x:v>
      </x:c>
      <x:c r="E469" s="28" t="str">
        <x:v>EQ-3-03</x:v>
      </x:c>
      <x:c r="F469" s="28" t="str">
        <x:v>Operacional</x:v>
      </x:c>
      <x:c r="G469" s="32" t="n">
        <x:v>10.16</x:v>
      </x:c>
      <x:c r="H469" s="28" t="str">
        <x:v>Setup</x:v>
      </x:c>
      <x:c r="I469" s="28" t="str">
        <x:v>Não</x:v>
      </x:c>
    </x:row>
    <x:row r="470">
      <x:c r="A470" s="34" t="n">
        <x:v>45502</x:v>
      </x:c>
      <x:c r="B470" s="28" t="str">
        <x:v>Grupo Industrial S.A.</x:v>
      </x:c>
      <x:c r="C470" s="28" t="str">
        <x:v>Planta Campinas</x:v>
      </x:c>
      <x:c r="D470" s="28" t="str">
        <x:v>Linha 4 - Embalagem</x:v>
      </x:c>
      <x:c r="E470" s="28" t="str">
        <x:v>EQ-4-01</x:v>
      </x:c>
      <x:c r="F470" s="28" t="str">
        <x:v>Operacional</x:v>
      </x:c>
      <x:c r="G470" s="32" t="n">
        <x:v>9.66</x:v>
      </x:c>
      <x:c r="H470" s="28" t="str">
        <x:v>Setup</x:v>
      </x:c>
      <x:c r="I470" s="28" t="str">
        <x:v>Não</x:v>
      </x:c>
    </x:row>
    <x:row r="471">
      <x:c r="A471" s="34" t="n">
        <x:v>45502</x:v>
      </x:c>
      <x:c r="B471" s="28" t="str">
        <x:v>Grupo Industrial S.A.</x:v>
      </x:c>
      <x:c r="C471" s="28" t="str">
        <x:v>Planta Campinas</x:v>
      </x:c>
      <x:c r="D471" s="28" t="str">
        <x:v>Linha 4 - Embalagem</x:v>
      </x:c>
      <x:c r="E471" s="28" t="str">
        <x:v>EQ-4-02</x:v>
      </x:c>
      <x:c r="F471" s="28" t="str">
        <x:v>Corretiva</x:v>
      </x:c>
      <x:c r="G471" s="32" t="n">
        <x:v>7.05</x:v>
      </x:c>
      <x:c r="H471" s="28" t="str">
        <x:v>Quebras</x:v>
      </x:c>
      <x:c r="I471" s="28" t="str">
        <x:v>Sim</x:v>
      </x:c>
    </x:row>
    <x:row r="472">
      <x:c r="A472" s="34" t="n">
        <x:v>45502</x:v>
      </x:c>
      <x:c r="B472" s="28" t="str">
        <x:v>Grupo Industrial S.A.</x:v>
      </x:c>
      <x:c r="C472" s="28" t="str">
        <x:v>Planta Campinas</x:v>
      </x:c>
      <x:c r="D472" s="28" t="str">
        <x:v>Linha 4 - Embalagem</x:v>
      </x:c>
      <x:c r="E472" s="28" t="str">
        <x:v>EQ-4-03</x:v>
      </x:c>
      <x:c r="F472" s="28" t="str">
        <x:v>Corretiva</x:v>
      </x:c>
      <x:c r="G472" s="32" t="n">
        <x:v>9.03</x:v>
      </x:c>
      <x:c r="H472" s="28" t="str">
        <x:v>Ajustes</x:v>
      </x:c>
      <x:c r="I472" s="28" t="str">
        <x:v>Não</x:v>
      </x:c>
    </x:row>
    <x:row r="473">
      <x:c r="A473" s="34" t="n">
        <x:v>45502</x:v>
      </x:c>
      <x:c r="B473" s="28" t="str">
        <x:v>Grupo Industrial S.A.</x:v>
      </x:c>
      <x:c r="C473" s="28" t="str">
        <x:v>Planta Curitiba</x:v>
      </x:c>
      <x:c r="D473" s="28" t="str">
        <x:v>Linha 5 - Usinagem</x:v>
      </x:c>
      <x:c r="E473" s="28" t="str">
        <x:v>EQ-5-01</x:v>
      </x:c>
      <x:c r="F473" s="28" t="str">
        <x:v>Corretiva</x:v>
      </x:c>
      <x:c r="G473" s="32" t="n">
        <x:v>8.61</x:v>
      </x:c>
      <x:c r="H473" s="28" t="str">
        <x:v>Microparadas</x:v>
      </x:c>
      <x:c r="I473" s="28" t="str">
        <x:v>Não</x:v>
      </x:c>
    </x:row>
    <x:row r="474">
      <x:c r="A474" s="34" t="n">
        <x:v>45502</x:v>
      </x:c>
      <x:c r="B474" s="28" t="str">
        <x:v>Grupo Industrial S.A.</x:v>
      </x:c>
      <x:c r="C474" s="28" t="str">
        <x:v>Planta Curitiba</x:v>
      </x:c>
      <x:c r="D474" s="28" t="str">
        <x:v>Linha 5 - Usinagem</x:v>
      </x:c>
      <x:c r="E474" s="28" t="str">
        <x:v>EQ-5-02</x:v>
      </x:c>
      <x:c r="F474" s="28" t="str">
        <x:v>Corretiva</x:v>
      </x:c>
      <x:c r="G474" s="32" t="n">
        <x:v>8.79</x:v>
      </x:c>
      <x:c r="H474" s="28" t="str">
        <x:v>Microparadas</x:v>
      </x:c>
      <x:c r="I474" s="28" t="str">
        <x:v>Não</x:v>
      </x:c>
    </x:row>
    <x:row r="475">
      <x:c r="A475" s="34" t="n">
        <x:v>45502</x:v>
      </x:c>
      <x:c r="B475" s="28" t="str">
        <x:v>Grupo Industrial S.A.</x:v>
      </x:c>
      <x:c r="C475" s="28" t="str">
        <x:v>Planta Curitiba</x:v>
      </x:c>
      <x:c r="D475" s="28" t="str">
        <x:v>Linha 6 - Finalização</x:v>
      </x:c>
      <x:c r="E475" s="28" t="str">
        <x:v>EQ-6-01</x:v>
      </x:c>
      <x:c r="F475" s="28" t="str">
        <x:v>Corretiva</x:v>
      </x:c>
      <x:c r="G475" s="32" t="n">
        <x:v>6.18</x:v>
      </x:c>
      <x:c r="H475" s="28" t="str">
        <x:v>Microparadas</x:v>
      </x:c>
      <x:c r="I475" s="28" t="str">
        <x:v>Não</x:v>
      </x:c>
    </x:row>
    <x:row r="476">
      <x:c r="A476" s="34" t="n">
        <x:v>45502</x:v>
      </x:c>
      <x:c r="B476" s="28" t="str">
        <x:v>Grupo Industrial S.A.</x:v>
      </x:c>
      <x:c r="C476" s="28" t="str">
        <x:v>Planta Curitiba</x:v>
      </x:c>
      <x:c r="D476" s="28" t="str">
        <x:v>Linha 6 - Finalização</x:v>
      </x:c>
      <x:c r="E476" s="28" t="str">
        <x:v>EQ-6-02</x:v>
      </x:c>
      <x:c r="F476" s="28" t="str">
        <x:v>Corretiva</x:v>
      </x:c>
      <x:c r="G476" s="32" t="n">
        <x:v>11.48</x:v>
      </x:c>
      <x:c r="H476" s="28" t="str">
        <x:v>Quebras</x:v>
      </x:c>
      <x:c r="I476" s="28" t="str">
        <x:v>Sim</x:v>
      </x:c>
    </x:row>
    <x:row r="477">
      <x:c r="A477" s="34" t="n">
        <x:v>45509</x:v>
      </x:c>
      <x:c r="B477" s="28" t="str">
        <x:v>Grupo Industrial S.A.</x:v>
      </x:c>
      <x:c r="C477" s="28" t="str">
        <x:v>Planta São Paulo</x:v>
      </x:c>
      <x:c r="D477" s="28" t="str">
        <x:v>Linha 1 - Corte</x:v>
      </x:c>
      <x:c r="E477" s="28" t="str">
        <x:v>EQ-1-01</x:v>
      </x:c>
      <x:c r="F477" s="28" t="str">
        <x:v>Operacional</x:v>
      </x:c>
      <x:c r="G477" s="32" t="n">
        <x:v>3.54</x:v>
      </x:c>
      <x:c r="H477" s="28" t="str">
        <x:v>Setup</x:v>
      </x:c>
      <x:c r="I477" s="28" t="str">
        <x:v>Não</x:v>
      </x:c>
    </x:row>
    <x:row r="478">
      <x:c r="A478" s="34" t="n">
        <x:v>45509</x:v>
      </x:c>
      <x:c r="B478" s="28" t="str">
        <x:v>Grupo Industrial S.A.</x:v>
      </x:c>
      <x:c r="C478" s="28" t="str">
        <x:v>Planta São Paulo</x:v>
      </x:c>
      <x:c r="D478" s="28" t="str">
        <x:v>Linha 1 - Corte</x:v>
      </x:c>
      <x:c r="E478" s="28" t="str">
        <x:v>EQ-1-02</x:v>
      </x:c>
      <x:c r="F478" s="28" t="str">
        <x:v>Corretiva</x:v>
      </x:c>
      <x:c r="G478" s="32" t="n">
        <x:v>8.71</x:v>
      </x:c>
      <x:c r="H478" s="28" t="str">
        <x:v>Quebras</x:v>
      </x:c>
      <x:c r="I478" s="28" t="str">
        <x:v>Sim</x:v>
      </x:c>
    </x:row>
    <x:row r="479">
      <x:c r="A479" s="34" t="n">
        <x:v>45509</x:v>
      </x:c>
      <x:c r="B479" s="28" t="str">
        <x:v>Grupo Industrial S.A.</x:v>
      </x:c>
      <x:c r="C479" s="28" t="str">
        <x:v>Planta São Paulo</x:v>
      </x:c>
      <x:c r="D479" s="28" t="str">
        <x:v>Linha 2 - Montagem</x:v>
      </x:c>
      <x:c r="E479" s="28" t="str">
        <x:v>EQ-2-01</x:v>
      </x:c>
      <x:c r="F479" s="28" t="str">
        <x:v>Corretiva</x:v>
      </x:c>
      <x:c r="G479" s="32" t="n">
        <x:v>6.96</x:v>
      </x:c>
      <x:c r="H479" s="28" t="str">
        <x:v>Quebras</x:v>
      </x:c>
      <x:c r="I479" s="28" t="str">
        <x:v>Sim</x:v>
      </x:c>
    </x:row>
    <x:row r="480">
      <x:c r="A480" s="34" t="n">
        <x:v>45509</x:v>
      </x:c>
      <x:c r="B480" s="28" t="str">
        <x:v>Grupo Industrial S.A.</x:v>
      </x:c>
      <x:c r="C480" s="28" t="str">
        <x:v>Planta São Paulo</x:v>
      </x:c>
      <x:c r="D480" s="28" t="str">
        <x:v>Linha 2 - Montagem</x:v>
      </x:c>
      <x:c r="E480" s="28" t="str">
        <x:v>EQ-2-02</x:v>
      </x:c>
      <x:c r="F480" s="28" t="str">
        <x:v>Corretiva</x:v>
      </x:c>
      <x:c r="G480" s="32" t="n">
        <x:v>6.58</x:v>
      </x:c>
      <x:c r="H480" s="28" t="str">
        <x:v>Quebras</x:v>
      </x:c>
      <x:c r="I480" s="28" t="str">
        <x:v>Sim</x:v>
      </x:c>
    </x:row>
    <x:row r="481">
      <x:c r="A481" s="34" t="n">
        <x:v>45509</x:v>
      </x:c>
      <x:c r="B481" s="28" t="str">
        <x:v>Grupo Industrial S.A.</x:v>
      </x:c>
      <x:c r="C481" s="28" t="str">
        <x:v>Planta Campinas</x:v>
      </x:c>
      <x:c r="D481" s="28" t="str">
        <x:v>Linha 3 - Extrusão</x:v>
      </x:c>
      <x:c r="E481" s="28" t="str">
        <x:v>EQ-3-01</x:v>
      </x:c>
      <x:c r="F481" s="28" t="str">
        <x:v>Corretiva</x:v>
      </x:c>
      <x:c r="G481" s="32" t="n">
        <x:v>10.14</x:v>
      </x:c>
      <x:c r="H481" s="28" t="str">
        <x:v>Quebras</x:v>
      </x:c>
      <x:c r="I481" s="28" t="str">
        <x:v>Sim</x:v>
      </x:c>
    </x:row>
    <x:row r="482">
      <x:c r="A482" s="34" t="n">
        <x:v>45509</x:v>
      </x:c>
      <x:c r="B482" s="28" t="str">
        <x:v>Grupo Industrial S.A.</x:v>
      </x:c>
      <x:c r="C482" s="28" t="str">
        <x:v>Planta Campinas</x:v>
      </x:c>
      <x:c r="D482" s="28" t="str">
        <x:v>Linha 3 - Extrusão</x:v>
      </x:c>
      <x:c r="E482" s="28" t="str">
        <x:v>EQ-3-02</x:v>
      </x:c>
      <x:c r="F482" s="28" t="str">
        <x:v>Corretiva</x:v>
      </x:c>
      <x:c r="G482" s="32" t="n">
        <x:v>3.45</x:v>
      </x:c>
      <x:c r="H482" s="28" t="str">
        <x:v>Ajustes</x:v>
      </x:c>
      <x:c r="I482" s="28" t="str">
        <x:v>Não</x:v>
      </x:c>
    </x:row>
    <x:row r="483">
      <x:c r="A483" s="34" t="n">
        <x:v>45509</x:v>
      </x:c>
      <x:c r="B483" s="28" t="str">
        <x:v>Grupo Industrial S.A.</x:v>
      </x:c>
      <x:c r="C483" s="28" t="str">
        <x:v>Planta Campinas</x:v>
      </x:c>
      <x:c r="D483" s="28" t="str">
        <x:v>Linha 3 - Extrusão</x:v>
      </x:c>
      <x:c r="E483" s="28" t="str">
        <x:v>EQ-3-03</x:v>
      </x:c>
      <x:c r="F483" s="28" t="str">
        <x:v>Operacional</x:v>
      </x:c>
      <x:c r="G483" s="32" t="n">
        <x:v>8.64</x:v>
      </x:c>
      <x:c r="H483" s="28" t="str">
        <x:v>Setup</x:v>
      </x:c>
      <x:c r="I483" s="28" t="str">
        <x:v>Não</x:v>
      </x:c>
    </x:row>
    <x:row r="484">
      <x:c r="A484" s="34" t="n">
        <x:v>45509</x:v>
      </x:c>
      <x:c r="B484" s="28" t="str">
        <x:v>Grupo Industrial S.A.</x:v>
      </x:c>
      <x:c r="C484" s="28" t="str">
        <x:v>Planta Campinas</x:v>
      </x:c>
      <x:c r="D484" s="28" t="str">
        <x:v>Linha 4 - Embalagem</x:v>
      </x:c>
      <x:c r="E484" s="28" t="str">
        <x:v>EQ-4-01</x:v>
      </x:c>
      <x:c r="F484" s="28" t="str">
        <x:v>Corretiva</x:v>
      </x:c>
      <x:c r="G484" s="32" t="n">
        <x:v>9.24</x:v>
      </x:c>
      <x:c r="H484" s="28" t="str">
        <x:v>Ajustes</x:v>
      </x:c>
      <x:c r="I484" s="28" t="str">
        <x:v>Não</x:v>
      </x:c>
    </x:row>
    <x:row r="485">
      <x:c r="A485" s="34" t="n">
        <x:v>45509</x:v>
      </x:c>
      <x:c r="B485" s="28" t="str">
        <x:v>Grupo Industrial S.A.</x:v>
      </x:c>
      <x:c r="C485" s="28" t="str">
        <x:v>Planta Campinas</x:v>
      </x:c>
      <x:c r="D485" s="28" t="str">
        <x:v>Linha 4 - Embalagem</x:v>
      </x:c>
      <x:c r="E485" s="28" t="str">
        <x:v>EQ-4-02</x:v>
      </x:c>
      <x:c r="F485" s="28" t="str">
        <x:v>Operacional</x:v>
      </x:c>
      <x:c r="G485" s="32" t="n">
        <x:v>4</x:v>
      </x:c>
      <x:c r="H485" s="28" t="str">
        <x:v>Falta de material</x:v>
      </x:c>
      <x:c r="I485" s="28" t="str">
        <x:v>Sim</x:v>
      </x:c>
    </x:row>
    <x:row r="486">
      <x:c r="A486" s="34" t="n">
        <x:v>45509</x:v>
      </x:c>
      <x:c r="B486" s="28" t="str">
        <x:v>Grupo Industrial S.A.</x:v>
      </x:c>
      <x:c r="C486" s="28" t="str">
        <x:v>Planta Campinas</x:v>
      </x:c>
      <x:c r="D486" s="28" t="str">
        <x:v>Linha 4 - Embalagem</x:v>
      </x:c>
      <x:c r="E486" s="28" t="str">
        <x:v>EQ-4-03</x:v>
      </x:c>
      <x:c r="F486" s="28" t="str">
        <x:v>Operacional</x:v>
      </x:c>
      <x:c r="G486" s="32" t="n">
        <x:v>7.16</x:v>
      </x:c>
      <x:c r="H486" s="28" t="str">
        <x:v>Falta de material</x:v>
      </x:c>
      <x:c r="I486" s="28" t="str">
        <x:v>Sim</x:v>
      </x:c>
    </x:row>
    <x:row r="487">
      <x:c r="A487" s="34" t="n">
        <x:v>45509</x:v>
      </x:c>
      <x:c r="B487" s="28" t="str">
        <x:v>Grupo Industrial S.A.</x:v>
      </x:c>
      <x:c r="C487" s="28" t="str">
        <x:v>Planta Curitiba</x:v>
      </x:c>
      <x:c r="D487" s="28" t="str">
        <x:v>Linha 5 - Usinagem</x:v>
      </x:c>
      <x:c r="E487" s="28" t="str">
        <x:v>EQ-5-01</x:v>
      </x:c>
      <x:c r="F487" s="28" t="str">
        <x:v>Corretiva</x:v>
      </x:c>
      <x:c r="G487" s="32" t="n">
        <x:v>7.63</x:v>
      </x:c>
      <x:c r="H487" s="28" t="str">
        <x:v>Quebras</x:v>
      </x:c>
      <x:c r="I487" s="28" t="str">
        <x:v>Sim</x:v>
      </x:c>
    </x:row>
    <x:row r="488">
      <x:c r="A488" s="34" t="n">
        <x:v>45509</x:v>
      </x:c>
      <x:c r="B488" s="28" t="str">
        <x:v>Grupo Industrial S.A.</x:v>
      </x:c>
      <x:c r="C488" s="28" t="str">
        <x:v>Planta Curitiba</x:v>
      </x:c>
      <x:c r="D488" s="28" t="str">
        <x:v>Linha 5 - Usinagem</x:v>
      </x:c>
      <x:c r="E488" s="28" t="str">
        <x:v>EQ-5-02</x:v>
      </x:c>
      <x:c r="F488" s="28" t="str">
        <x:v>Operacional</x:v>
      </x:c>
      <x:c r="G488" s="32" t="n">
        <x:v>8.85</x:v>
      </x:c>
      <x:c r="H488" s="28" t="str">
        <x:v>Troca de ferramenta</x:v>
      </x:c>
      <x:c r="I488" s="28" t="str">
        <x:v>Não</x:v>
      </x:c>
    </x:row>
    <x:row r="489">
      <x:c r="A489" s="34" t="n">
        <x:v>45509</x:v>
      </x:c>
      <x:c r="B489" s="28" t="str">
        <x:v>Grupo Industrial S.A.</x:v>
      </x:c>
      <x:c r="C489" s="28" t="str">
        <x:v>Planta Curitiba</x:v>
      </x:c>
      <x:c r="D489" s="28" t="str">
        <x:v>Linha 6 - Finalização</x:v>
      </x:c>
      <x:c r="E489" s="28" t="str">
        <x:v>EQ-6-01</x:v>
      </x:c>
      <x:c r="F489" s="28" t="str">
        <x:v>Operacional</x:v>
      </x:c>
      <x:c r="G489" s="32" t="n">
        <x:v>6.12</x:v>
      </x:c>
      <x:c r="H489" s="28" t="str">
        <x:v>Troca de ferramenta</x:v>
      </x:c>
      <x:c r="I489" s="28" t="str">
        <x:v>Não</x:v>
      </x:c>
    </x:row>
    <x:row r="490">
      <x:c r="A490" s="34" t="n">
        <x:v>45509</x:v>
      </x:c>
      <x:c r="B490" s="28" t="str">
        <x:v>Grupo Industrial S.A.</x:v>
      </x:c>
      <x:c r="C490" s="28" t="str">
        <x:v>Planta Curitiba</x:v>
      </x:c>
      <x:c r="D490" s="28" t="str">
        <x:v>Linha 6 - Finalização</x:v>
      </x:c>
      <x:c r="E490" s="28" t="str">
        <x:v>EQ-6-02</x:v>
      </x:c>
      <x:c r="F490" s="28" t="str">
        <x:v>Corretiva</x:v>
      </x:c>
      <x:c r="G490" s="32" t="n">
        <x:v>5.7</x:v>
      </x:c>
      <x:c r="H490" s="28" t="str">
        <x:v>Quebras</x:v>
      </x:c>
      <x:c r="I490" s="28" t="str">
        <x:v>Sim</x:v>
      </x:c>
    </x:row>
    <x:row r="491">
      <x:c r="A491" s="34" t="n">
        <x:v>45509</x:v>
      </x:c>
      <x:c r="B491" s="28" t="str">
        <x:v>Grupo Industrial S.A.</x:v>
      </x:c>
      <x:c r="C491" s="28" t="str">
        <x:v>Planta Curitiba</x:v>
      </x:c>
      <x:c r="D491" s="28" t="str">
        <x:v>Linha 6 - Finalização</x:v>
      </x:c>
      <x:c r="E491" s="28" t="str">
        <x:v>EQ-6-03</x:v>
      </x:c>
      <x:c r="F491" s="28" t="str">
        <x:v>Corretiva</x:v>
      </x:c>
      <x:c r="G491" s="32" t="n">
        <x:v>9.19</x:v>
      </x:c>
      <x:c r="H491" s="28" t="str">
        <x:v>Quebras</x:v>
      </x:c>
      <x:c r="I491" s="28" t="str">
        <x:v>Sim</x:v>
      </x:c>
    </x:row>
    <x:row r="492">
      <x:c r="A492" s="34" t="n">
        <x:v>45516</x:v>
      </x:c>
      <x:c r="B492" s="28" t="str">
        <x:v>Grupo Industrial S.A.</x:v>
      </x:c>
      <x:c r="C492" s="28" t="str">
        <x:v>Planta São Paulo</x:v>
      </x:c>
      <x:c r="D492" s="28" t="str">
        <x:v>Linha 1 - Corte</x:v>
      </x:c>
      <x:c r="E492" s="28" t="str">
        <x:v>EQ-1-01</x:v>
      </x:c>
      <x:c r="F492" s="28" t="str">
        <x:v>Operacional</x:v>
      </x:c>
      <x:c r="G492" s="32" t="n">
        <x:v>6.49</x:v>
      </x:c>
      <x:c r="H492" s="28" t="str">
        <x:v>Setup</x:v>
      </x:c>
      <x:c r="I492" s="28" t="str">
        <x:v>Não</x:v>
      </x:c>
    </x:row>
    <x:row r="493">
      <x:c r="A493" s="34" t="n">
        <x:v>45516</x:v>
      </x:c>
      <x:c r="B493" s="28" t="str">
        <x:v>Grupo Industrial S.A.</x:v>
      </x:c>
      <x:c r="C493" s="28" t="str">
        <x:v>Planta São Paulo</x:v>
      </x:c>
      <x:c r="D493" s="28" t="str">
        <x:v>Linha 1 - Corte</x:v>
      </x:c>
      <x:c r="E493" s="28" t="str">
        <x:v>EQ-1-02</x:v>
      </x:c>
      <x:c r="F493" s="28" t="str">
        <x:v>Operacional</x:v>
      </x:c>
      <x:c r="G493" s="32" t="n">
        <x:v>10.12</x:v>
      </x:c>
      <x:c r="H493" s="28" t="str">
        <x:v>Setup</x:v>
      </x:c>
      <x:c r="I493" s="28" t="str">
        <x:v>Não</x:v>
      </x:c>
    </x:row>
    <x:row r="494">
      <x:c r="A494" s="34" t="n">
        <x:v>45516</x:v>
      </x:c>
      <x:c r="B494" s="28" t="str">
        <x:v>Grupo Industrial S.A.</x:v>
      </x:c>
      <x:c r="C494" s="28" t="str">
        <x:v>Planta São Paulo</x:v>
      </x:c>
      <x:c r="D494" s="28" t="str">
        <x:v>Linha 2 - Montagem</x:v>
      </x:c>
      <x:c r="E494" s="28" t="str">
        <x:v>EQ-2-01</x:v>
      </x:c>
      <x:c r="F494" s="28" t="str">
        <x:v>Corretiva</x:v>
      </x:c>
      <x:c r="G494" s="32" t="n">
        <x:v>5.67</x:v>
      </x:c>
      <x:c r="H494" s="28" t="str">
        <x:v>Microparadas</x:v>
      </x:c>
      <x:c r="I494" s="28" t="str">
        <x:v>Não</x:v>
      </x:c>
    </x:row>
    <x:row r="495">
      <x:c r="A495" s="34" t="n">
        <x:v>45516</x:v>
      </x:c>
      <x:c r="B495" s="28" t="str">
        <x:v>Grupo Industrial S.A.</x:v>
      </x:c>
      <x:c r="C495" s="28" t="str">
        <x:v>Planta São Paulo</x:v>
      </x:c>
      <x:c r="D495" s="28" t="str">
        <x:v>Linha 2 - Montagem</x:v>
      </x:c>
      <x:c r="E495" s="28" t="str">
        <x:v>EQ-2-02</x:v>
      </x:c>
      <x:c r="F495" s="28" t="str">
        <x:v>Corretiva</x:v>
      </x:c>
      <x:c r="G495" s="32" t="n">
        <x:v>11.31</x:v>
      </x:c>
      <x:c r="H495" s="28" t="str">
        <x:v>Quebras</x:v>
      </x:c>
      <x:c r="I495" s="28" t="str">
        <x:v>Sim</x:v>
      </x:c>
    </x:row>
    <x:row r="496">
      <x:c r="A496" s="34" t="n">
        <x:v>45516</x:v>
      </x:c>
      <x:c r="B496" s="28" t="str">
        <x:v>Grupo Industrial S.A.</x:v>
      </x:c>
      <x:c r="C496" s="28" t="str">
        <x:v>Planta Campinas</x:v>
      </x:c>
      <x:c r="D496" s="28" t="str">
        <x:v>Linha 3 - Extrusão</x:v>
      </x:c>
      <x:c r="E496" s="28" t="str">
        <x:v>EQ-3-01</x:v>
      </x:c>
      <x:c r="F496" s="28" t="str">
        <x:v>Operacional</x:v>
      </x:c>
      <x:c r="G496" s="32" t="n">
        <x:v>6.89</x:v>
      </x:c>
      <x:c r="H496" s="28" t="str">
        <x:v>Setup</x:v>
      </x:c>
      <x:c r="I496" s="28" t="str">
        <x:v>Não</x:v>
      </x:c>
    </x:row>
    <x:row r="497">
      <x:c r="A497" s="34" t="n">
        <x:v>45516</x:v>
      </x:c>
      <x:c r="B497" s="28" t="str">
        <x:v>Grupo Industrial S.A.</x:v>
      </x:c>
      <x:c r="C497" s="28" t="str">
        <x:v>Planta Campinas</x:v>
      </x:c>
      <x:c r="D497" s="28" t="str">
        <x:v>Linha 3 - Extrusão</x:v>
      </x:c>
      <x:c r="E497" s="28" t="str">
        <x:v>EQ-3-02</x:v>
      </x:c>
      <x:c r="F497" s="28" t="str">
        <x:v>Operacional</x:v>
      </x:c>
      <x:c r="G497" s="32" t="n">
        <x:v>5.86</x:v>
      </x:c>
      <x:c r="H497" s="28" t="str">
        <x:v>Falta de material</x:v>
      </x:c>
      <x:c r="I497" s="28" t="str">
        <x:v>Sim</x:v>
      </x:c>
    </x:row>
    <x:row r="498">
      <x:c r="A498" s="34" t="n">
        <x:v>45516</x:v>
      </x:c>
      <x:c r="B498" s="28" t="str">
        <x:v>Grupo Industrial S.A.</x:v>
      </x:c>
      <x:c r="C498" s="28" t="str">
        <x:v>Planta Campinas</x:v>
      </x:c>
      <x:c r="D498" s="28" t="str">
        <x:v>Linha 3 - Extrusão</x:v>
      </x:c>
      <x:c r="E498" s="28" t="str">
        <x:v>EQ-3-03</x:v>
      </x:c>
      <x:c r="F498" s="28" t="str">
        <x:v>Corretiva</x:v>
      </x:c>
      <x:c r="G498" s="32" t="n">
        <x:v>7.92</x:v>
      </x:c>
      <x:c r="H498" s="28" t="str">
        <x:v>Ajustes</x:v>
      </x:c>
      <x:c r="I498" s="28" t="str">
        <x:v>Não</x:v>
      </x:c>
    </x:row>
    <x:row r="499">
      <x:c r="A499" s="34" t="n">
        <x:v>45516</x:v>
      </x:c>
      <x:c r="B499" s="28" t="str">
        <x:v>Grupo Industrial S.A.</x:v>
      </x:c>
      <x:c r="C499" s="28" t="str">
        <x:v>Planta Campinas</x:v>
      </x:c>
      <x:c r="D499" s="28" t="str">
        <x:v>Linha 4 - Embalagem</x:v>
      </x:c>
      <x:c r="E499" s="28" t="str">
        <x:v>EQ-4-01</x:v>
      </x:c>
      <x:c r="F499" s="28" t="str">
        <x:v>Operacional</x:v>
      </x:c>
      <x:c r="G499" s="32" t="n">
        <x:v>10.09</x:v>
      </x:c>
      <x:c r="H499" s="28" t="str">
        <x:v>Setup</x:v>
      </x:c>
      <x:c r="I499" s="28" t="str">
        <x:v>Não</x:v>
      </x:c>
    </x:row>
    <x:row r="500">
      <x:c r="A500" s="34" t="n">
        <x:v>45516</x:v>
      </x:c>
      <x:c r="B500" s="28" t="str">
        <x:v>Grupo Industrial S.A.</x:v>
      </x:c>
      <x:c r="C500" s="28" t="str">
        <x:v>Planta Campinas</x:v>
      </x:c>
      <x:c r="D500" s="28" t="str">
        <x:v>Linha 4 - Embalagem</x:v>
      </x:c>
      <x:c r="E500" s="28" t="str">
        <x:v>EQ-4-02</x:v>
      </x:c>
      <x:c r="F500" s="28" t="str">
        <x:v>Corretiva</x:v>
      </x:c>
      <x:c r="G500" s="32" t="n">
        <x:v>3.83</x:v>
      </x:c>
      <x:c r="H500" s="28" t="str">
        <x:v>Quebras</x:v>
      </x:c>
      <x:c r="I500" s="28" t="str">
        <x:v>Sim</x:v>
      </x:c>
    </x:row>
    <x:row r="501">
      <x:c r="A501" s="34" t="n">
        <x:v>45516</x:v>
      </x:c>
      <x:c r="B501" s="28" t="str">
        <x:v>Grupo Industrial S.A.</x:v>
      </x:c>
      <x:c r="C501" s="28" t="str">
        <x:v>Planta Campinas</x:v>
      </x:c>
      <x:c r="D501" s="28" t="str">
        <x:v>Linha 4 - Embalagem</x:v>
      </x:c>
      <x:c r="E501" s="28" t="str">
        <x:v>EQ-4-03</x:v>
      </x:c>
      <x:c r="F501" s="28" t="str">
        <x:v>Corretiva</x:v>
      </x:c>
      <x:c r="G501" s="32" t="n">
        <x:v>7.85</x:v>
      </x:c>
      <x:c r="H501" s="28" t="str">
        <x:v>Quebras</x:v>
      </x:c>
      <x:c r="I501" s="28" t="str">
        <x:v>Sim</x:v>
      </x:c>
    </x:row>
    <x:row r="502">
      <x:c r="A502" s="34" t="n">
        <x:v>45516</x:v>
      </x:c>
      <x:c r="B502" s="28" t="str">
        <x:v>Grupo Industrial S.A.</x:v>
      </x:c>
      <x:c r="C502" s="28" t="str">
        <x:v>Planta Curitiba</x:v>
      </x:c>
      <x:c r="D502" s="28" t="str">
        <x:v>Linha 5 - Usinagem</x:v>
      </x:c>
      <x:c r="E502" s="28" t="str">
        <x:v>EQ-5-01</x:v>
      </x:c>
      <x:c r="F502" s="28" t="str">
        <x:v>Corretiva</x:v>
      </x:c>
      <x:c r="G502" s="32" t="n">
        <x:v>5.86</x:v>
      </x:c>
      <x:c r="H502" s="28" t="str">
        <x:v>Quebras</x:v>
      </x:c>
      <x:c r="I502" s="28" t="str">
        <x:v>Sim</x:v>
      </x:c>
    </x:row>
    <x:row r="503">
      <x:c r="A503" s="34" t="n">
        <x:v>45516</x:v>
      </x:c>
      <x:c r="B503" s="28" t="str">
        <x:v>Grupo Industrial S.A.</x:v>
      </x:c>
      <x:c r="C503" s="28" t="str">
        <x:v>Planta Curitiba</x:v>
      </x:c>
      <x:c r="D503" s="28" t="str">
        <x:v>Linha 5 - Usinagem</x:v>
      </x:c>
      <x:c r="E503" s="28" t="str">
        <x:v>EQ-5-02</x:v>
      </x:c>
      <x:c r="F503" s="28" t="str">
        <x:v>Corretiva</x:v>
      </x:c>
      <x:c r="G503" s="32" t="n">
        <x:v>4.13</x:v>
      </x:c>
      <x:c r="H503" s="28" t="str">
        <x:v>Microparadas</x:v>
      </x:c>
      <x:c r="I503" s="28" t="str">
        <x:v>Não</x:v>
      </x:c>
    </x:row>
    <x:row r="504">
      <x:c r="A504" s="34" t="n">
        <x:v>45516</x:v>
      </x:c>
      <x:c r="B504" s="28" t="str">
        <x:v>Grupo Industrial S.A.</x:v>
      </x:c>
      <x:c r="C504" s="28" t="str">
        <x:v>Planta Curitiba</x:v>
      </x:c>
      <x:c r="D504" s="28" t="str">
        <x:v>Linha 5 - Usinagem</x:v>
      </x:c>
      <x:c r="E504" s="28" t="str">
        <x:v>EQ-5-03</x:v>
      </x:c>
      <x:c r="F504" s="28" t="str">
        <x:v>Operacional</x:v>
      </x:c>
      <x:c r="G504" s="32" t="n">
        <x:v>10.08</x:v>
      </x:c>
      <x:c r="H504" s="28" t="str">
        <x:v>Troca de ferramenta</x:v>
      </x:c>
      <x:c r="I504" s="28" t="str">
        <x:v>Não</x:v>
      </x:c>
    </x:row>
    <x:row r="505">
      <x:c r="A505" s="34" t="n">
        <x:v>45516</x:v>
      </x:c>
      <x:c r="B505" s="28" t="str">
        <x:v>Grupo Industrial S.A.</x:v>
      </x:c>
      <x:c r="C505" s="28" t="str">
        <x:v>Planta Curitiba</x:v>
      </x:c>
      <x:c r="D505" s="28" t="str">
        <x:v>Linha 6 - Finalização</x:v>
      </x:c>
      <x:c r="E505" s="28" t="str">
        <x:v>EQ-6-01</x:v>
      </x:c>
      <x:c r="F505" s="28" t="str">
        <x:v>Corretiva</x:v>
      </x:c>
      <x:c r="G505" s="32" t="n">
        <x:v>8.39</x:v>
      </x:c>
      <x:c r="H505" s="28" t="str">
        <x:v>Quebras</x:v>
      </x:c>
      <x:c r="I505" s="28" t="str">
        <x:v>Sim</x:v>
      </x:c>
    </x:row>
    <x:row r="506">
      <x:c r="A506" s="34" t="n">
        <x:v>45516</x:v>
      </x:c>
      <x:c r="B506" s="28" t="str">
        <x:v>Grupo Industrial S.A.</x:v>
      </x:c>
      <x:c r="C506" s="28" t="str">
        <x:v>Planta Curitiba</x:v>
      </x:c>
      <x:c r="D506" s="28" t="str">
        <x:v>Linha 6 - Finalização</x:v>
      </x:c>
      <x:c r="E506" s="28" t="str">
        <x:v>EQ-6-02</x:v>
      </x:c>
      <x:c r="F506" s="28" t="str">
        <x:v>Operacional</x:v>
      </x:c>
      <x:c r="G506" s="32" t="n">
        <x:v>5.87</x:v>
      </x:c>
      <x:c r="H506" s="28" t="str">
        <x:v>Troca de ferramenta</x:v>
      </x:c>
      <x:c r="I506" s="28" t="str">
        <x:v>Não</x:v>
      </x:c>
    </x:row>
    <x:row r="507">
      <x:c r="A507" s="34" t="n">
        <x:v>45516</x:v>
      </x:c>
      <x:c r="B507" s="28" t="str">
        <x:v>Grupo Industrial S.A.</x:v>
      </x:c>
      <x:c r="C507" s="28" t="str">
        <x:v>Planta Curitiba</x:v>
      </x:c>
      <x:c r="D507" s="28" t="str">
        <x:v>Linha 6 - Finalização</x:v>
      </x:c>
      <x:c r="E507" s="28" t="str">
        <x:v>EQ-6-03</x:v>
      </x:c>
      <x:c r="F507" s="28" t="str">
        <x:v>Corretiva</x:v>
      </x:c>
      <x:c r="G507" s="32" t="n">
        <x:v>6.7</x:v>
      </x:c>
      <x:c r="H507" s="28" t="str">
        <x:v>Quebras</x:v>
      </x:c>
      <x:c r="I507" s="28" t="str">
        <x:v>Sim</x:v>
      </x:c>
    </x:row>
    <x:row r="508">
      <x:c r="A508" s="34" t="n">
        <x:v>45523</x:v>
      </x:c>
      <x:c r="B508" s="28" t="str">
        <x:v>Grupo Industrial S.A.</x:v>
      </x:c>
      <x:c r="C508" s="28" t="str">
        <x:v>Planta São Paulo</x:v>
      </x:c>
      <x:c r="D508" s="28" t="str">
        <x:v>Linha 1 - Corte</x:v>
      </x:c>
      <x:c r="E508" s="28" t="str">
        <x:v>EQ-1-01</x:v>
      </x:c>
      <x:c r="F508" s="28" t="str">
        <x:v>Corretiva</x:v>
      </x:c>
      <x:c r="G508" s="32" t="n">
        <x:v>7.03</x:v>
      </x:c>
      <x:c r="H508" s="28" t="str">
        <x:v>Elétrica</x:v>
      </x:c>
      <x:c r="I508" s="28" t="str">
        <x:v>Sim</x:v>
      </x:c>
    </x:row>
    <x:row r="509">
      <x:c r="A509" s="34" t="n">
        <x:v>45523</x:v>
      </x:c>
      <x:c r="B509" s="28" t="str">
        <x:v>Grupo Industrial S.A.</x:v>
      </x:c>
      <x:c r="C509" s="28" t="str">
        <x:v>Planta São Paulo</x:v>
      </x:c>
      <x:c r="D509" s="28" t="str">
        <x:v>Linha 1 - Corte</x:v>
      </x:c>
      <x:c r="E509" s="28" t="str">
        <x:v>EQ-1-02</x:v>
      </x:c>
      <x:c r="F509" s="28" t="str">
        <x:v>Corretiva</x:v>
      </x:c>
      <x:c r="G509" s="32" t="n">
        <x:v>6.57</x:v>
      </x:c>
      <x:c r="H509" s="28" t="str">
        <x:v>Microparadas</x:v>
      </x:c>
      <x:c r="I509" s="28" t="str">
        <x:v>Não</x:v>
      </x:c>
    </x:row>
    <x:row r="510">
      <x:c r="A510" s="34" t="n">
        <x:v>45523</x:v>
      </x:c>
      <x:c r="B510" s="28" t="str">
        <x:v>Grupo Industrial S.A.</x:v>
      </x:c>
      <x:c r="C510" s="28" t="str">
        <x:v>Planta São Paulo</x:v>
      </x:c>
      <x:c r="D510" s="28" t="str">
        <x:v>Linha 2 - Montagem</x:v>
      </x:c>
      <x:c r="E510" s="28" t="str">
        <x:v>EQ-2-01</x:v>
      </x:c>
      <x:c r="F510" s="28" t="str">
        <x:v>Corretiva</x:v>
      </x:c>
      <x:c r="G510" s="32" t="n">
        <x:v>6.76</x:v>
      </x:c>
      <x:c r="H510" s="28" t="str">
        <x:v>Microparadas</x:v>
      </x:c>
      <x:c r="I510" s="28" t="str">
        <x:v>Não</x:v>
      </x:c>
    </x:row>
    <x:row r="511">
      <x:c r="A511" s="34" t="n">
        <x:v>45523</x:v>
      </x:c>
      <x:c r="B511" s="28" t="str">
        <x:v>Grupo Industrial S.A.</x:v>
      </x:c>
      <x:c r="C511" s="28" t="str">
        <x:v>Planta São Paulo</x:v>
      </x:c>
      <x:c r="D511" s="28" t="str">
        <x:v>Linha 2 - Montagem</x:v>
      </x:c>
      <x:c r="E511" s="28" t="str">
        <x:v>EQ-2-02</x:v>
      </x:c>
      <x:c r="F511" s="28" t="str">
        <x:v>Operacional</x:v>
      </x:c>
      <x:c r="G511" s="32" t="n">
        <x:v>10.8</x:v>
      </x:c>
      <x:c r="H511" s="28" t="str">
        <x:v>Setup</x:v>
      </x:c>
      <x:c r="I511" s="28" t="str">
        <x:v>Não</x:v>
      </x:c>
    </x:row>
    <x:row r="512">
      <x:c r="A512" s="34" t="n">
        <x:v>45523</x:v>
      </x:c>
      <x:c r="B512" s="28" t="str">
        <x:v>Grupo Industrial S.A.</x:v>
      </x:c>
      <x:c r="C512" s="28" t="str">
        <x:v>Planta Campinas</x:v>
      </x:c>
      <x:c r="D512" s="28" t="str">
        <x:v>Linha 3 - Extrusão</x:v>
      </x:c>
      <x:c r="E512" s="28" t="str">
        <x:v>EQ-3-01</x:v>
      </x:c>
      <x:c r="F512" s="28" t="str">
        <x:v>Operacional</x:v>
      </x:c>
      <x:c r="G512" s="32" t="n">
        <x:v>9.09</x:v>
      </x:c>
      <x:c r="H512" s="28" t="str">
        <x:v>Falta de material</x:v>
      </x:c>
      <x:c r="I512" s="28" t="str">
        <x:v>Sim</x:v>
      </x:c>
    </x:row>
    <x:row r="513">
      <x:c r="A513" s="34" t="n">
        <x:v>45523</x:v>
      </x:c>
      <x:c r="B513" s="28" t="str">
        <x:v>Grupo Industrial S.A.</x:v>
      </x:c>
      <x:c r="C513" s="28" t="str">
        <x:v>Planta Campinas</x:v>
      </x:c>
      <x:c r="D513" s="28" t="str">
        <x:v>Linha 3 - Extrusão</x:v>
      </x:c>
      <x:c r="E513" s="28" t="str">
        <x:v>EQ-3-02</x:v>
      </x:c>
      <x:c r="F513" s="28" t="str">
        <x:v>Operacional</x:v>
      </x:c>
      <x:c r="G513" s="32" t="n">
        <x:v>6.72</x:v>
      </x:c>
      <x:c r="H513" s="28" t="str">
        <x:v>Falta de material</x:v>
      </x:c>
      <x:c r="I513" s="28" t="str">
        <x:v>Sim</x:v>
      </x:c>
    </x:row>
    <x:row r="514">
      <x:c r="A514" s="34" t="n">
        <x:v>45523</x:v>
      </x:c>
      <x:c r="B514" s="28" t="str">
        <x:v>Grupo Industrial S.A.</x:v>
      </x:c>
      <x:c r="C514" s="28" t="str">
        <x:v>Planta Campinas</x:v>
      </x:c>
      <x:c r="D514" s="28" t="str">
        <x:v>Linha 3 - Extrusão</x:v>
      </x:c>
      <x:c r="E514" s="28" t="str">
        <x:v>EQ-3-03</x:v>
      </x:c>
      <x:c r="F514" s="28" t="str">
        <x:v>Corretiva</x:v>
      </x:c>
      <x:c r="G514" s="32" t="n">
        <x:v>9.76</x:v>
      </x:c>
      <x:c r="H514" s="28" t="str">
        <x:v>Quebras</x:v>
      </x:c>
      <x:c r="I514" s="28" t="str">
        <x:v>Sim</x:v>
      </x:c>
    </x:row>
    <x:row r="515">
      <x:c r="A515" s="34" t="n">
        <x:v>45523</x:v>
      </x:c>
      <x:c r="B515" s="28" t="str">
        <x:v>Grupo Industrial S.A.</x:v>
      </x:c>
      <x:c r="C515" s="28" t="str">
        <x:v>Planta Campinas</x:v>
      </x:c>
      <x:c r="D515" s="28" t="str">
        <x:v>Linha 4 - Embalagem</x:v>
      </x:c>
      <x:c r="E515" s="28" t="str">
        <x:v>EQ-4-01</x:v>
      </x:c>
      <x:c r="F515" s="28" t="str">
        <x:v>Corretiva</x:v>
      </x:c>
      <x:c r="G515" s="32" t="n">
        <x:v>7.85</x:v>
      </x:c>
      <x:c r="H515" s="28" t="str">
        <x:v>Quebras</x:v>
      </x:c>
      <x:c r="I515" s="28" t="str">
        <x:v>Sim</x:v>
      </x:c>
    </x:row>
    <x:row r="516">
      <x:c r="A516" s="34" t="n">
        <x:v>45523</x:v>
      </x:c>
      <x:c r="B516" s="28" t="str">
        <x:v>Grupo Industrial S.A.</x:v>
      </x:c>
      <x:c r="C516" s="28" t="str">
        <x:v>Planta Campinas</x:v>
      </x:c>
      <x:c r="D516" s="28" t="str">
        <x:v>Linha 4 - Embalagem</x:v>
      </x:c>
      <x:c r="E516" s="28" t="str">
        <x:v>EQ-4-02</x:v>
      </x:c>
      <x:c r="F516" s="28" t="str">
        <x:v>Operacional</x:v>
      </x:c>
      <x:c r="G516" s="32" t="n">
        <x:v>7.63</x:v>
      </x:c>
      <x:c r="H516" s="28" t="str">
        <x:v>Setup</x:v>
      </x:c>
      <x:c r="I516" s="28" t="str">
        <x:v>Não</x:v>
      </x:c>
    </x:row>
    <x:row r="517">
      <x:c r="A517" s="34" t="n">
        <x:v>45523</x:v>
      </x:c>
      <x:c r="B517" s="28" t="str">
        <x:v>Grupo Industrial S.A.</x:v>
      </x:c>
      <x:c r="C517" s="28" t="str">
        <x:v>Planta Campinas</x:v>
      </x:c>
      <x:c r="D517" s="28" t="str">
        <x:v>Linha 4 - Embalagem</x:v>
      </x:c>
      <x:c r="E517" s="28" t="str">
        <x:v>EQ-4-03</x:v>
      </x:c>
      <x:c r="F517" s="28" t="str">
        <x:v>Operacional</x:v>
      </x:c>
      <x:c r="G517" s="32" t="n">
        <x:v>9.52</x:v>
      </x:c>
      <x:c r="H517" s="28" t="str">
        <x:v>Setup</x:v>
      </x:c>
      <x:c r="I517" s="28" t="str">
        <x:v>Não</x:v>
      </x:c>
    </x:row>
    <x:row r="518">
      <x:c r="A518" s="34" t="n">
        <x:v>45523</x:v>
      </x:c>
      <x:c r="B518" s="28" t="str">
        <x:v>Grupo Industrial S.A.</x:v>
      </x:c>
      <x:c r="C518" s="28" t="str">
        <x:v>Planta Curitiba</x:v>
      </x:c>
      <x:c r="D518" s="28" t="str">
        <x:v>Linha 5 - Usinagem</x:v>
      </x:c>
      <x:c r="E518" s="28" t="str">
        <x:v>EQ-5-01</x:v>
      </x:c>
      <x:c r="F518" s="28" t="str">
        <x:v>Corretiva</x:v>
      </x:c>
      <x:c r="G518" s="32" t="n">
        <x:v>10.18</x:v>
      </x:c>
      <x:c r="H518" s="28" t="str">
        <x:v>Microparadas</x:v>
      </x:c>
      <x:c r="I518" s="28" t="str">
        <x:v>Não</x:v>
      </x:c>
    </x:row>
    <x:row r="519">
      <x:c r="A519" s="34" t="n">
        <x:v>45523</x:v>
      </x:c>
      <x:c r="B519" s="28" t="str">
        <x:v>Grupo Industrial S.A.</x:v>
      </x:c>
      <x:c r="C519" s="28" t="str">
        <x:v>Planta Curitiba</x:v>
      </x:c>
      <x:c r="D519" s="28" t="str">
        <x:v>Linha 5 - Usinagem</x:v>
      </x:c>
      <x:c r="E519" s="28" t="str">
        <x:v>EQ-5-02</x:v>
      </x:c>
      <x:c r="F519" s="28" t="str">
        <x:v>Corretiva</x:v>
      </x:c>
      <x:c r="G519" s="32" t="n">
        <x:v>4.85</x:v>
      </x:c>
      <x:c r="H519" s="28" t="str">
        <x:v>Quebras</x:v>
      </x:c>
      <x:c r="I519" s="28" t="str">
        <x:v>Sim</x:v>
      </x:c>
    </x:row>
    <x:row r="520">
      <x:c r="A520" s="34" t="n">
        <x:v>45523</x:v>
      </x:c>
      <x:c r="B520" s="28" t="str">
        <x:v>Grupo Industrial S.A.</x:v>
      </x:c>
      <x:c r="C520" s="28" t="str">
        <x:v>Planta Curitiba</x:v>
      </x:c>
      <x:c r="D520" s="28" t="str">
        <x:v>Linha 5 - Usinagem</x:v>
      </x:c>
      <x:c r="E520" s="28" t="str">
        <x:v>EQ-5-03</x:v>
      </x:c>
      <x:c r="F520" s="28" t="str">
        <x:v>Operacional</x:v>
      </x:c>
      <x:c r="G520" s="32" t="n">
        <x:v>5.74</x:v>
      </x:c>
      <x:c r="H520" s="28" t="str">
        <x:v>Setup</x:v>
      </x:c>
      <x:c r="I520" s="28" t="str">
        <x:v>Não</x:v>
      </x:c>
    </x:row>
    <x:row r="521">
      <x:c r="A521" s="34" t="n">
        <x:v>45523</x:v>
      </x:c>
      <x:c r="B521" s="28" t="str">
        <x:v>Grupo Industrial S.A.</x:v>
      </x:c>
      <x:c r="C521" s="28" t="str">
        <x:v>Planta Curitiba</x:v>
      </x:c>
      <x:c r="D521" s="28" t="str">
        <x:v>Linha 6 - Finalização</x:v>
      </x:c>
      <x:c r="E521" s="28" t="str">
        <x:v>EQ-6-01</x:v>
      </x:c>
      <x:c r="F521" s="28" t="str">
        <x:v>Operacional</x:v>
      </x:c>
      <x:c r="G521" s="32" t="n">
        <x:v>7.82</x:v>
      </x:c>
      <x:c r="H521" s="28" t="str">
        <x:v>Setup</x:v>
      </x:c>
      <x:c r="I521" s="28" t="str">
        <x:v>Não</x:v>
      </x:c>
    </x:row>
    <x:row r="522">
      <x:c r="A522" s="34" t="n">
        <x:v>45523</x:v>
      </x:c>
      <x:c r="B522" s="28" t="str">
        <x:v>Grupo Industrial S.A.</x:v>
      </x:c>
      <x:c r="C522" s="28" t="str">
        <x:v>Planta Curitiba</x:v>
      </x:c>
      <x:c r="D522" s="28" t="str">
        <x:v>Linha 6 - Finalização</x:v>
      </x:c>
      <x:c r="E522" s="28" t="str">
        <x:v>EQ-6-02</x:v>
      </x:c>
      <x:c r="F522" s="28" t="str">
        <x:v>Operacional</x:v>
      </x:c>
      <x:c r="G522" s="32" t="n">
        <x:v>9.22</x:v>
      </x:c>
      <x:c r="H522" s="28" t="str">
        <x:v>Troca de ferramenta</x:v>
      </x:c>
      <x:c r="I522" s="28" t="str">
        <x:v>Não</x:v>
      </x:c>
    </x:row>
    <x:row r="523">
      <x:c r="A523" s="34" t="n">
        <x:v>45530</x:v>
      </x:c>
      <x:c r="B523" s="28" t="str">
        <x:v>Grupo Industrial S.A.</x:v>
      </x:c>
      <x:c r="C523" s="28" t="str">
        <x:v>Planta São Paulo</x:v>
      </x:c>
      <x:c r="D523" s="28" t="str">
        <x:v>Linha 1 - Corte</x:v>
      </x:c>
      <x:c r="E523" s="28" t="str">
        <x:v>EQ-1-01</x:v>
      </x:c>
      <x:c r="F523" s="28" t="str">
        <x:v>Corretiva</x:v>
      </x:c>
      <x:c r="G523" s="32" t="n">
        <x:v>8.19</x:v>
      </x:c>
      <x:c r="H523" s="28" t="str">
        <x:v>Quebras</x:v>
      </x:c>
      <x:c r="I523" s="28" t="str">
        <x:v>Sim</x:v>
      </x:c>
    </x:row>
    <x:row r="524">
      <x:c r="A524" s="34" t="n">
        <x:v>45530</x:v>
      </x:c>
      <x:c r="B524" s="28" t="str">
        <x:v>Grupo Industrial S.A.</x:v>
      </x:c>
      <x:c r="C524" s="28" t="str">
        <x:v>Planta São Paulo</x:v>
      </x:c>
      <x:c r="D524" s="28" t="str">
        <x:v>Linha 1 - Corte</x:v>
      </x:c>
      <x:c r="E524" s="28" t="str">
        <x:v>EQ-1-02</x:v>
      </x:c>
      <x:c r="F524" s="28" t="str">
        <x:v>Corretiva</x:v>
      </x:c>
      <x:c r="G524" s="32" t="n">
        <x:v>8.95</x:v>
      </x:c>
      <x:c r="H524" s="28" t="str">
        <x:v>Quebras</x:v>
      </x:c>
      <x:c r="I524" s="28" t="str">
        <x:v>Sim</x:v>
      </x:c>
    </x:row>
    <x:row r="525">
      <x:c r="A525" s="34" t="n">
        <x:v>45530</x:v>
      </x:c>
      <x:c r="B525" s="28" t="str">
        <x:v>Grupo Industrial S.A.</x:v>
      </x:c>
      <x:c r="C525" s="28" t="str">
        <x:v>Planta São Paulo</x:v>
      </x:c>
      <x:c r="D525" s="28" t="str">
        <x:v>Linha 2 - Montagem</x:v>
      </x:c>
      <x:c r="E525" s="28" t="str">
        <x:v>EQ-2-01</x:v>
      </x:c>
      <x:c r="F525" s="28" t="str">
        <x:v>Operacional</x:v>
      </x:c>
      <x:c r="G525" s="32" t="n">
        <x:v>6.13</x:v>
      </x:c>
      <x:c r="H525" s="28" t="str">
        <x:v>Setup</x:v>
      </x:c>
      <x:c r="I525" s="28" t="str">
        <x:v>Não</x:v>
      </x:c>
    </x:row>
    <x:row r="526">
      <x:c r="A526" s="34" t="n">
        <x:v>45530</x:v>
      </x:c>
      <x:c r="B526" s="28" t="str">
        <x:v>Grupo Industrial S.A.</x:v>
      </x:c>
      <x:c r="C526" s="28" t="str">
        <x:v>Planta São Paulo</x:v>
      </x:c>
      <x:c r="D526" s="28" t="str">
        <x:v>Linha 2 - Montagem</x:v>
      </x:c>
      <x:c r="E526" s="28" t="str">
        <x:v>EQ-2-02</x:v>
      </x:c>
      <x:c r="F526" s="28" t="str">
        <x:v>Corretiva</x:v>
      </x:c>
      <x:c r="G526" s="32" t="n">
        <x:v>7.87</x:v>
      </x:c>
      <x:c r="H526" s="28" t="str">
        <x:v>Quebras</x:v>
      </x:c>
      <x:c r="I526" s="28" t="str">
        <x:v>Sim</x:v>
      </x:c>
    </x:row>
    <x:row r="527">
      <x:c r="A527" s="34" t="n">
        <x:v>45530</x:v>
      </x:c>
      <x:c r="B527" s="28" t="str">
        <x:v>Grupo Industrial S.A.</x:v>
      </x:c>
      <x:c r="C527" s="28" t="str">
        <x:v>Planta Campinas</x:v>
      </x:c>
      <x:c r="D527" s="28" t="str">
        <x:v>Linha 3 - Extrusão</x:v>
      </x:c>
      <x:c r="E527" s="28" t="str">
        <x:v>EQ-3-01</x:v>
      </x:c>
      <x:c r="F527" s="28" t="str">
        <x:v>Operacional</x:v>
      </x:c>
      <x:c r="G527" s="32" t="n">
        <x:v>8.53</x:v>
      </x:c>
      <x:c r="H527" s="28" t="str">
        <x:v>Falta de material</x:v>
      </x:c>
      <x:c r="I527" s="28" t="str">
        <x:v>Sim</x:v>
      </x:c>
    </x:row>
    <x:row r="528">
      <x:c r="A528" s="34" t="n">
        <x:v>45530</x:v>
      </x:c>
      <x:c r="B528" s="28" t="str">
        <x:v>Grupo Industrial S.A.</x:v>
      </x:c>
      <x:c r="C528" s="28" t="str">
        <x:v>Planta Campinas</x:v>
      </x:c>
      <x:c r="D528" s="28" t="str">
        <x:v>Linha 3 - Extrusão</x:v>
      </x:c>
      <x:c r="E528" s="28" t="str">
        <x:v>EQ-3-02</x:v>
      </x:c>
      <x:c r="F528" s="28" t="str">
        <x:v>Operacional</x:v>
      </x:c>
      <x:c r="G528" s="32" t="n">
        <x:v>6.83</x:v>
      </x:c>
      <x:c r="H528" s="28" t="str">
        <x:v>Falta de material</x:v>
      </x:c>
      <x:c r="I528" s="28" t="str">
        <x:v>Sim</x:v>
      </x:c>
    </x:row>
    <x:row r="529">
      <x:c r="A529" s="34" t="n">
        <x:v>45530</x:v>
      </x:c>
      <x:c r="B529" s="28" t="str">
        <x:v>Grupo Industrial S.A.</x:v>
      </x:c>
      <x:c r="C529" s="28" t="str">
        <x:v>Planta Campinas</x:v>
      </x:c>
      <x:c r="D529" s="28" t="str">
        <x:v>Linha 3 - Extrusão</x:v>
      </x:c>
      <x:c r="E529" s="28" t="str">
        <x:v>EQ-3-03</x:v>
      </x:c>
      <x:c r="F529" s="28" t="str">
        <x:v>Corretiva</x:v>
      </x:c>
      <x:c r="G529" s="32" t="n">
        <x:v>8.57</x:v>
      </x:c>
      <x:c r="H529" s="28" t="str">
        <x:v>Ajustes</x:v>
      </x:c>
      <x:c r="I529" s="28" t="str">
        <x:v>Não</x:v>
      </x:c>
    </x:row>
    <x:row r="530">
      <x:c r="A530" s="34" t="n">
        <x:v>45530</x:v>
      </x:c>
      <x:c r="B530" s="28" t="str">
        <x:v>Grupo Industrial S.A.</x:v>
      </x:c>
      <x:c r="C530" s="28" t="str">
        <x:v>Planta Campinas</x:v>
      </x:c>
      <x:c r="D530" s="28" t="str">
        <x:v>Linha 4 - Embalagem</x:v>
      </x:c>
      <x:c r="E530" s="28" t="str">
        <x:v>EQ-4-01</x:v>
      </x:c>
      <x:c r="F530" s="28" t="str">
        <x:v>Operacional</x:v>
      </x:c>
      <x:c r="G530" s="32" t="n">
        <x:v>7.35</x:v>
      </x:c>
      <x:c r="H530" s="28" t="str">
        <x:v>Setup</x:v>
      </x:c>
      <x:c r="I530" s="28" t="str">
        <x:v>Não</x:v>
      </x:c>
    </x:row>
    <x:row r="531">
      <x:c r="A531" s="34" t="n">
        <x:v>45530</x:v>
      </x:c>
      <x:c r="B531" s="28" t="str">
        <x:v>Grupo Industrial S.A.</x:v>
      </x:c>
      <x:c r="C531" s="28" t="str">
        <x:v>Planta Campinas</x:v>
      </x:c>
      <x:c r="D531" s="28" t="str">
        <x:v>Linha 4 - Embalagem</x:v>
      </x:c>
      <x:c r="E531" s="28" t="str">
        <x:v>EQ-4-02</x:v>
      </x:c>
      <x:c r="F531" s="28" t="str">
        <x:v>Operacional</x:v>
      </x:c>
      <x:c r="G531" s="32" t="n">
        <x:v>6.35</x:v>
      </x:c>
      <x:c r="H531" s="28" t="str">
        <x:v>Falta de material</x:v>
      </x:c>
      <x:c r="I531" s="28" t="str">
        <x:v>Sim</x:v>
      </x:c>
    </x:row>
    <x:row r="532">
      <x:c r="A532" s="34" t="n">
        <x:v>45530</x:v>
      </x:c>
      <x:c r="B532" s="28" t="str">
        <x:v>Grupo Industrial S.A.</x:v>
      </x:c>
      <x:c r="C532" s="28" t="str">
        <x:v>Planta Campinas</x:v>
      </x:c>
      <x:c r="D532" s="28" t="str">
        <x:v>Linha 4 - Embalagem</x:v>
      </x:c>
      <x:c r="E532" s="28" t="str">
        <x:v>EQ-4-03</x:v>
      </x:c>
      <x:c r="F532" s="28" t="str">
        <x:v>Operacional</x:v>
      </x:c>
      <x:c r="G532" s="32" t="n">
        <x:v>7.8</x:v>
      </x:c>
      <x:c r="H532" s="28" t="str">
        <x:v>Falta de material</x:v>
      </x:c>
      <x:c r="I532" s="28" t="str">
        <x:v>Sim</x:v>
      </x:c>
    </x:row>
    <x:row r="533">
      <x:c r="A533" s="34" t="n">
        <x:v>45530</x:v>
      </x:c>
      <x:c r="B533" s="28" t="str">
        <x:v>Grupo Industrial S.A.</x:v>
      </x:c>
      <x:c r="C533" s="28" t="str">
        <x:v>Planta Curitiba</x:v>
      </x:c>
      <x:c r="D533" s="28" t="str">
        <x:v>Linha 5 - Usinagem</x:v>
      </x:c>
      <x:c r="E533" s="28" t="str">
        <x:v>EQ-5-01</x:v>
      </x:c>
      <x:c r="F533" s="28" t="str">
        <x:v>Corretiva</x:v>
      </x:c>
      <x:c r="G533" s="32" t="n">
        <x:v>8.96</x:v>
      </x:c>
      <x:c r="H533" s="28" t="str">
        <x:v>Microparadas</x:v>
      </x:c>
      <x:c r="I533" s="28" t="str">
        <x:v>Não</x:v>
      </x:c>
    </x:row>
    <x:row r="534">
      <x:c r="A534" s="34" t="n">
        <x:v>45530</x:v>
      </x:c>
      <x:c r="B534" s="28" t="str">
        <x:v>Grupo Industrial S.A.</x:v>
      </x:c>
      <x:c r="C534" s="28" t="str">
        <x:v>Planta Curitiba</x:v>
      </x:c>
      <x:c r="D534" s="28" t="str">
        <x:v>Linha 5 - Usinagem</x:v>
      </x:c>
      <x:c r="E534" s="28" t="str">
        <x:v>EQ-5-02</x:v>
      </x:c>
      <x:c r="F534" s="28" t="str">
        <x:v>Operacional</x:v>
      </x:c>
      <x:c r="G534" s="32" t="n">
        <x:v>3.27</x:v>
      </x:c>
      <x:c r="H534" s="28" t="str">
        <x:v>Troca de ferramenta</x:v>
      </x:c>
      <x:c r="I534" s="28" t="str">
        <x:v>Não</x:v>
      </x:c>
    </x:row>
    <x:row r="535">
      <x:c r="A535" s="34" t="n">
        <x:v>45530</x:v>
      </x:c>
      <x:c r="B535" s="28" t="str">
        <x:v>Grupo Industrial S.A.</x:v>
      </x:c>
      <x:c r="C535" s="28" t="str">
        <x:v>Planta Curitiba</x:v>
      </x:c>
      <x:c r="D535" s="28" t="str">
        <x:v>Linha 5 - Usinagem</x:v>
      </x:c>
      <x:c r="E535" s="28" t="str">
        <x:v>EQ-5-03</x:v>
      </x:c>
      <x:c r="F535" s="28" t="str">
        <x:v>Corretiva</x:v>
      </x:c>
      <x:c r="G535" s="32" t="n">
        <x:v>5.86</x:v>
      </x:c>
      <x:c r="H535" s="28" t="str">
        <x:v>Quebras</x:v>
      </x:c>
      <x:c r="I535" s="28" t="str">
        <x:v>Sim</x:v>
      </x:c>
    </x:row>
    <x:row r="536">
      <x:c r="A536" s="34" t="n">
        <x:v>45530</x:v>
      </x:c>
      <x:c r="B536" s="28" t="str">
        <x:v>Grupo Industrial S.A.</x:v>
      </x:c>
      <x:c r="C536" s="28" t="str">
        <x:v>Planta Curitiba</x:v>
      </x:c>
      <x:c r="D536" s="28" t="str">
        <x:v>Linha 6 - Finalização</x:v>
      </x:c>
      <x:c r="E536" s="28" t="str">
        <x:v>EQ-6-01</x:v>
      </x:c>
      <x:c r="F536" s="28" t="str">
        <x:v>Operacional</x:v>
      </x:c>
      <x:c r="G536" s="32" t="n">
        <x:v>8.53</x:v>
      </x:c>
      <x:c r="H536" s="28" t="str">
        <x:v>Setup</x:v>
      </x:c>
      <x:c r="I536" s="28" t="str">
        <x:v>Não</x:v>
      </x:c>
    </x:row>
    <x:row r="537">
      <x:c r="A537" s="34" t="n">
        <x:v>45530</x:v>
      </x:c>
      <x:c r="B537" s="28" t="str">
        <x:v>Grupo Industrial S.A.</x:v>
      </x:c>
      <x:c r="C537" s="28" t="str">
        <x:v>Planta Curitiba</x:v>
      </x:c>
      <x:c r="D537" s="28" t="str">
        <x:v>Linha 6 - Finalização</x:v>
      </x:c>
      <x:c r="E537" s="28" t="str">
        <x:v>EQ-6-02</x:v>
      </x:c>
      <x:c r="F537" s="28" t="str">
        <x:v>Corretiva</x:v>
      </x:c>
      <x:c r="G537" s="32" t="n">
        <x:v>4.58</x:v>
      </x:c>
      <x:c r="H537" s="28" t="str">
        <x:v>Microparadas</x:v>
      </x:c>
      <x:c r="I537" s="28" t="str">
        <x:v>Não</x:v>
      </x:c>
    </x:row>
    <x:row r="538">
      <x:c r="A538" s="34" t="n">
        <x:v>45530</x:v>
      </x:c>
      <x:c r="B538" s="28" t="str">
        <x:v>Grupo Industrial S.A.</x:v>
      </x:c>
      <x:c r="C538" s="28" t="str">
        <x:v>Planta Curitiba</x:v>
      </x:c>
      <x:c r="D538" s="28" t="str">
        <x:v>Linha 6 - Finalização</x:v>
      </x:c>
      <x:c r="E538" s="28" t="str">
        <x:v>EQ-6-03</x:v>
      </x:c>
      <x:c r="F538" s="28" t="str">
        <x:v>Operacional</x:v>
      </x:c>
      <x:c r="G538" s="32" t="n">
        <x:v>4.95</x:v>
      </x:c>
      <x:c r="H538" s="28" t="str">
        <x:v>Setup</x:v>
      </x:c>
      <x:c r="I538" s="28" t="str">
        <x:v>Não</x:v>
      </x:c>
    </x:row>
    <x:row r="539">
      <x:c r="A539" s="34" t="n">
        <x:v>45537</x:v>
      </x:c>
      <x:c r="B539" s="28" t="str">
        <x:v>Grupo Industrial S.A.</x:v>
      </x:c>
      <x:c r="C539" s="28" t="str">
        <x:v>Planta São Paulo</x:v>
      </x:c>
      <x:c r="D539" s="28" t="str">
        <x:v>Linha 1 - Corte</x:v>
      </x:c>
      <x:c r="E539" s="28" t="str">
        <x:v>EQ-1-01</x:v>
      </x:c>
      <x:c r="F539" s="28" t="str">
        <x:v>Corretiva</x:v>
      </x:c>
      <x:c r="G539" s="32" t="n">
        <x:v>7.62</x:v>
      </x:c>
      <x:c r="H539" s="28" t="str">
        <x:v>Elétrica</x:v>
      </x:c>
      <x:c r="I539" s="28" t="str">
        <x:v>Sim</x:v>
      </x:c>
    </x:row>
    <x:row r="540">
      <x:c r="A540" s="34" t="n">
        <x:v>45537</x:v>
      </x:c>
      <x:c r="B540" s="28" t="str">
        <x:v>Grupo Industrial S.A.</x:v>
      </x:c>
      <x:c r="C540" s="28" t="str">
        <x:v>Planta São Paulo</x:v>
      </x:c>
      <x:c r="D540" s="28" t="str">
        <x:v>Linha 1 - Corte</x:v>
      </x:c>
      <x:c r="E540" s="28" t="str">
        <x:v>EQ-1-02</x:v>
      </x:c>
      <x:c r="F540" s="28" t="str">
        <x:v>Corretiva</x:v>
      </x:c>
      <x:c r="G540" s="32" t="n">
        <x:v>9.51</x:v>
      </x:c>
      <x:c r="H540" s="28" t="str">
        <x:v>Quebras</x:v>
      </x:c>
      <x:c r="I540" s="28" t="str">
        <x:v>Sim</x:v>
      </x:c>
    </x:row>
    <x:row r="541">
      <x:c r="A541" s="34" t="n">
        <x:v>45537</x:v>
      </x:c>
      <x:c r="B541" s="28" t="str">
        <x:v>Grupo Industrial S.A.</x:v>
      </x:c>
      <x:c r="C541" s="28" t="str">
        <x:v>Planta São Paulo</x:v>
      </x:c>
      <x:c r="D541" s="28" t="str">
        <x:v>Linha 2 - Montagem</x:v>
      </x:c>
      <x:c r="E541" s="28" t="str">
        <x:v>EQ-2-01</x:v>
      </x:c>
      <x:c r="F541" s="28" t="str">
        <x:v>Corretiva</x:v>
      </x:c>
      <x:c r="G541" s="32" t="n">
        <x:v>5.5</x:v>
      </x:c>
      <x:c r="H541" s="28" t="str">
        <x:v>Quebras</x:v>
      </x:c>
      <x:c r="I541" s="28" t="str">
        <x:v>Sim</x:v>
      </x:c>
    </x:row>
    <x:row r="542">
      <x:c r="A542" s="34" t="n">
        <x:v>45537</x:v>
      </x:c>
      <x:c r="B542" s="28" t="str">
        <x:v>Grupo Industrial S.A.</x:v>
      </x:c>
      <x:c r="C542" s="28" t="str">
        <x:v>Planta São Paulo</x:v>
      </x:c>
      <x:c r="D542" s="28" t="str">
        <x:v>Linha 2 - Montagem</x:v>
      </x:c>
      <x:c r="E542" s="28" t="str">
        <x:v>EQ-2-02</x:v>
      </x:c>
      <x:c r="F542" s="28" t="str">
        <x:v>Corretiva</x:v>
      </x:c>
      <x:c r="G542" s="32" t="n">
        <x:v>7.1</x:v>
      </x:c>
      <x:c r="H542" s="28" t="str">
        <x:v>Microparadas</x:v>
      </x:c>
      <x:c r="I542" s="28" t="str">
        <x:v>Não</x:v>
      </x:c>
    </x:row>
    <x:row r="543">
      <x:c r="A543" s="34" t="n">
        <x:v>45537</x:v>
      </x:c>
      <x:c r="B543" s="28" t="str">
        <x:v>Grupo Industrial S.A.</x:v>
      </x:c>
      <x:c r="C543" s="28" t="str">
        <x:v>Planta Campinas</x:v>
      </x:c>
      <x:c r="D543" s="28" t="str">
        <x:v>Linha 3 - Extrusão</x:v>
      </x:c>
      <x:c r="E543" s="28" t="str">
        <x:v>EQ-3-01</x:v>
      </x:c>
      <x:c r="F543" s="28" t="str">
        <x:v>Operacional</x:v>
      </x:c>
      <x:c r="G543" s="32" t="n">
        <x:v>11.6</x:v>
      </x:c>
      <x:c r="H543" s="28" t="str">
        <x:v>Setup</x:v>
      </x:c>
      <x:c r="I543" s="28" t="str">
        <x:v>Não</x:v>
      </x:c>
    </x:row>
    <x:row r="544">
      <x:c r="A544" s="34" t="n">
        <x:v>45537</x:v>
      </x:c>
      <x:c r="B544" s="28" t="str">
        <x:v>Grupo Industrial S.A.</x:v>
      </x:c>
      <x:c r="C544" s="28" t="str">
        <x:v>Planta Campinas</x:v>
      </x:c>
      <x:c r="D544" s="28" t="str">
        <x:v>Linha 3 - Extrusão</x:v>
      </x:c>
      <x:c r="E544" s="28" t="str">
        <x:v>EQ-3-02</x:v>
      </x:c>
      <x:c r="F544" s="28" t="str">
        <x:v>Operacional</x:v>
      </x:c>
      <x:c r="G544" s="32" t="n">
        <x:v>3.57</x:v>
      </x:c>
      <x:c r="H544" s="28" t="str">
        <x:v>Falta de material</x:v>
      </x:c>
      <x:c r="I544" s="28" t="str">
        <x:v>Sim</x:v>
      </x:c>
    </x:row>
    <x:row r="545">
      <x:c r="A545" s="34" t="n">
        <x:v>45537</x:v>
      </x:c>
      <x:c r="B545" s="28" t="str">
        <x:v>Grupo Industrial S.A.</x:v>
      </x:c>
      <x:c r="C545" s="28" t="str">
        <x:v>Planta Campinas</x:v>
      </x:c>
      <x:c r="D545" s="28" t="str">
        <x:v>Linha 3 - Extrusão</x:v>
      </x:c>
      <x:c r="E545" s="28" t="str">
        <x:v>EQ-3-03</x:v>
      </x:c>
      <x:c r="F545" s="28" t="str">
        <x:v>Operacional</x:v>
      </x:c>
      <x:c r="G545" s="32" t="n">
        <x:v>8.02</x:v>
      </x:c>
      <x:c r="H545" s="28" t="str">
        <x:v>Setup</x:v>
      </x:c>
      <x:c r="I545" s="28" t="str">
        <x:v>Não</x:v>
      </x:c>
    </x:row>
    <x:row r="546">
      <x:c r="A546" s="34" t="n">
        <x:v>45537</x:v>
      </x:c>
      <x:c r="B546" s="28" t="str">
        <x:v>Grupo Industrial S.A.</x:v>
      </x:c>
      <x:c r="C546" s="28" t="str">
        <x:v>Planta Campinas</x:v>
      </x:c>
      <x:c r="D546" s="28" t="str">
        <x:v>Linha 4 - Embalagem</x:v>
      </x:c>
      <x:c r="E546" s="28" t="str">
        <x:v>EQ-4-01</x:v>
      </x:c>
      <x:c r="F546" s="28" t="str">
        <x:v>Corretiva</x:v>
      </x:c>
      <x:c r="G546" s="32" t="n">
        <x:v>11.24</x:v>
      </x:c>
      <x:c r="H546" s="28" t="str">
        <x:v>Quebras</x:v>
      </x:c>
      <x:c r="I546" s="28" t="str">
        <x:v>Sim</x:v>
      </x:c>
    </x:row>
    <x:row r="547">
      <x:c r="A547" s="34" t="n">
        <x:v>45537</x:v>
      </x:c>
      <x:c r="B547" s="28" t="str">
        <x:v>Grupo Industrial S.A.</x:v>
      </x:c>
      <x:c r="C547" s="28" t="str">
        <x:v>Planta Campinas</x:v>
      </x:c>
      <x:c r="D547" s="28" t="str">
        <x:v>Linha 4 - Embalagem</x:v>
      </x:c>
      <x:c r="E547" s="28" t="str">
        <x:v>EQ-4-02</x:v>
      </x:c>
      <x:c r="F547" s="28" t="str">
        <x:v>Operacional</x:v>
      </x:c>
      <x:c r="G547" s="32" t="n">
        <x:v>4.41</x:v>
      </x:c>
      <x:c r="H547" s="28" t="str">
        <x:v>Setup</x:v>
      </x:c>
      <x:c r="I547" s="28" t="str">
        <x:v>Não</x:v>
      </x:c>
    </x:row>
    <x:row r="548">
      <x:c r="A548" s="34" t="n">
        <x:v>45537</x:v>
      </x:c>
      <x:c r="B548" s="28" t="str">
        <x:v>Grupo Industrial S.A.</x:v>
      </x:c>
      <x:c r="C548" s="28" t="str">
        <x:v>Planta Campinas</x:v>
      </x:c>
      <x:c r="D548" s="28" t="str">
        <x:v>Linha 4 - Embalagem</x:v>
      </x:c>
      <x:c r="E548" s="28" t="str">
        <x:v>EQ-4-03</x:v>
      </x:c>
      <x:c r="F548" s="28" t="str">
        <x:v>Operacional</x:v>
      </x:c>
      <x:c r="G548" s="32" t="n">
        <x:v>6.06</x:v>
      </x:c>
      <x:c r="H548" s="28" t="str">
        <x:v>Falta de material</x:v>
      </x:c>
      <x:c r="I548" s="28" t="str">
        <x:v>Sim</x:v>
      </x:c>
    </x:row>
    <x:row r="549">
      <x:c r="A549" s="34" t="n">
        <x:v>45537</x:v>
      </x:c>
      <x:c r="B549" s="28" t="str">
        <x:v>Grupo Industrial S.A.</x:v>
      </x:c>
      <x:c r="C549" s="28" t="str">
        <x:v>Planta Curitiba</x:v>
      </x:c>
      <x:c r="D549" s="28" t="str">
        <x:v>Linha 5 - Usinagem</x:v>
      </x:c>
      <x:c r="E549" s="28" t="str">
        <x:v>EQ-5-01</x:v>
      </x:c>
      <x:c r="F549" s="28" t="str">
        <x:v>Operacional</x:v>
      </x:c>
      <x:c r="G549" s="32" t="n">
        <x:v>7.08</x:v>
      </x:c>
      <x:c r="H549" s="28" t="str">
        <x:v>Troca de ferramenta</x:v>
      </x:c>
      <x:c r="I549" s="28" t="str">
        <x:v>Não</x:v>
      </x:c>
    </x:row>
    <x:row r="550">
      <x:c r="A550" s="34" t="n">
        <x:v>45537</x:v>
      </x:c>
      <x:c r="B550" s="28" t="str">
        <x:v>Grupo Industrial S.A.</x:v>
      </x:c>
      <x:c r="C550" s="28" t="str">
        <x:v>Planta Curitiba</x:v>
      </x:c>
      <x:c r="D550" s="28" t="str">
        <x:v>Linha 5 - Usinagem</x:v>
      </x:c>
      <x:c r="E550" s="28" t="str">
        <x:v>EQ-5-02</x:v>
      </x:c>
      <x:c r="F550" s="28" t="str">
        <x:v>Operacional</x:v>
      </x:c>
      <x:c r="G550" s="32" t="n">
        <x:v>9.61</x:v>
      </x:c>
      <x:c r="H550" s="28" t="str">
        <x:v>Troca de ferramenta</x:v>
      </x:c>
      <x:c r="I550" s="28" t="str">
        <x:v>Não</x:v>
      </x:c>
    </x:row>
    <x:row r="551">
      <x:c r="A551" s="34" t="n">
        <x:v>45537</x:v>
      </x:c>
      <x:c r="B551" s="28" t="str">
        <x:v>Grupo Industrial S.A.</x:v>
      </x:c>
      <x:c r="C551" s="28" t="str">
        <x:v>Planta Curitiba</x:v>
      </x:c>
      <x:c r="D551" s="28" t="str">
        <x:v>Linha 6 - Finalização</x:v>
      </x:c>
      <x:c r="E551" s="28" t="str">
        <x:v>EQ-6-01</x:v>
      </x:c>
      <x:c r="F551" s="28" t="str">
        <x:v>Operacional</x:v>
      </x:c>
      <x:c r="G551" s="32" t="n">
        <x:v>11.07</x:v>
      </x:c>
      <x:c r="H551" s="28" t="str">
        <x:v>Setup</x:v>
      </x:c>
      <x:c r="I551" s="28" t="str">
        <x:v>Não</x:v>
      </x:c>
    </x:row>
    <x:row r="552">
      <x:c r="A552" s="34" t="n">
        <x:v>45537</x:v>
      </x:c>
      <x:c r="B552" s="28" t="str">
        <x:v>Grupo Industrial S.A.</x:v>
      </x:c>
      <x:c r="C552" s="28" t="str">
        <x:v>Planta Curitiba</x:v>
      </x:c>
      <x:c r="D552" s="28" t="str">
        <x:v>Linha 6 - Finalização</x:v>
      </x:c>
      <x:c r="E552" s="28" t="str">
        <x:v>EQ-6-02</x:v>
      </x:c>
      <x:c r="F552" s="28" t="str">
        <x:v>Corretiva</x:v>
      </x:c>
      <x:c r="G552" s="32" t="n">
        <x:v>5.08</x:v>
      </x:c>
      <x:c r="H552" s="28" t="str">
        <x:v>Quebras</x:v>
      </x:c>
      <x:c r="I552" s="28" t="str">
        <x:v>Sim</x:v>
      </x:c>
    </x:row>
    <x:row r="553">
      <x:c r="A553" s="34" t="n">
        <x:v>45537</x:v>
      </x:c>
      <x:c r="B553" s="28" t="str">
        <x:v>Grupo Industrial S.A.</x:v>
      </x:c>
      <x:c r="C553" s="28" t="str">
        <x:v>Planta Curitiba</x:v>
      </x:c>
      <x:c r="D553" s="28" t="str">
        <x:v>Linha 6 - Finalização</x:v>
      </x:c>
      <x:c r="E553" s="28" t="str">
        <x:v>EQ-6-03</x:v>
      </x:c>
      <x:c r="F553" s="28" t="str">
        <x:v>Operacional</x:v>
      </x:c>
      <x:c r="G553" s="32" t="n">
        <x:v>5.15</x:v>
      </x:c>
      <x:c r="H553" s="28" t="str">
        <x:v>Setup</x:v>
      </x:c>
      <x:c r="I553" s="28" t="str">
        <x:v>Não</x:v>
      </x:c>
    </x:row>
    <x:row r="554">
      <x:c r="A554" s="34" t="n">
        <x:v>45544</x:v>
      </x:c>
      <x:c r="B554" s="28" t="str">
        <x:v>Grupo Industrial S.A.</x:v>
      </x:c>
      <x:c r="C554" s="28" t="str">
        <x:v>Planta São Paulo</x:v>
      </x:c>
      <x:c r="D554" s="28" t="str">
        <x:v>Linha 1 - Corte</x:v>
      </x:c>
      <x:c r="E554" s="28" t="str">
        <x:v>EQ-1-01</x:v>
      </x:c>
      <x:c r="F554" s="28" t="str">
        <x:v>Corretiva</x:v>
      </x:c>
      <x:c r="G554" s="32" t="n">
        <x:v>8.27</x:v>
      </x:c>
      <x:c r="H554" s="28" t="str">
        <x:v>Microparadas</x:v>
      </x:c>
      <x:c r="I554" s="28" t="str">
        <x:v>Não</x:v>
      </x:c>
    </x:row>
    <x:row r="555">
      <x:c r="A555" s="34" t="n">
        <x:v>45544</x:v>
      </x:c>
      <x:c r="B555" s="28" t="str">
        <x:v>Grupo Industrial S.A.</x:v>
      </x:c>
      <x:c r="C555" s="28" t="str">
        <x:v>Planta São Paulo</x:v>
      </x:c>
      <x:c r="D555" s="28" t="str">
        <x:v>Linha 1 - Corte</x:v>
      </x:c>
      <x:c r="E555" s="28" t="str">
        <x:v>EQ-1-02</x:v>
      </x:c>
      <x:c r="F555" s="28" t="str">
        <x:v>Corretiva</x:v>
      </x:c>
      <x:c r="G555" s="32" t="n">
        <x:v>8.53</x:v>
      </x:c>
      <x:c r="H555" s="28" t="str">
        <x:v>Microparadas</x:v>
      </x:c>
      <x:c r="I555" s="28" t="str">
        <x:v>Não</x:v>
      </x:c>
    </x:row>
    <x:row r="556">
      <x:c r="A556" s="34" t="n">
        <x:v>45544</x:v>
      </x:c>
      <x:c r="B556" s="28" t="str">
        <x:v>Grupo Industrial S.A.</x:v>
      </x:c>
      <x:c r="C556" s="28" t="str">
        <x:v>Planta São Paulo</x:v>
      </x:c>
      <x:c r="D556" s="28" t="str">
        <x:v>Linha 2 - Montagem</x:v>
      </x:c>
      <x:c r="E556" s="28" t="str">
        <x:v>EQ-2-01</x:v>
      </x:c>
      <x:c r="F556" s="28" t="str">
        <x:v>Corretiva</x:v>
      </x:c>
      <x:c r="G556" s="32" t="n">
        <x:v>4.67</x:v>
      </x:c>
      <x:c r="H556" s="28" t="str">
        <x:v>Microparadas</x:v>
      </x:c>
      <x:c r="I556" s="28" t="str">
        <x:v>Não</x:v>
      </x:c>
    </x:row>
    <x:row r="557">
      <x:c r="A557" s="34" t="n">
        <x:v>45544</x:v>
      </x:c>
      <x:c r="B557" s="28" t="str">
        <x:v>Grupo Industrial S.A.</x:v>
      </x:c>
      <x:c r="C557" s="28" t="str">
        <x:v>Planta São Paulo</x:v>
      </x:c>
      <x:c r="D557" s="28" t="str">
        <x:v>Linha 2 - Montagem</x:v>
      </x:c>
      <x:c r="E557" s="28" t="str">
        <x:v>EQ-2-02</x:v>
      </x:c>
      <x:c r="F557" s="28" t="str">
        <x:v>Operacional</x:v>
      </x:c>
      <x:c r="G557" s="32" t="n">
        <x:v>9.74</x:v>
      </x:c>
      <x:c r="H557" s="28" t="str">
        <x:v>Setup</x:v>
      </x:c>
      <x:c r="I557" s="28" t="str">
        <x:v>Não</x:v>
      </x:c>
    </x:row>
    <x:row r="558">
      <x:c r="A558" s="34" t="n">
        <x:v>45544</x:v>
      </x:c>
      <x:c r="B558" s="28" t="str">
        <x:v>Grupo Industrial S.A.</x:v>
      </x:c>
      <x:c r="C558" s="28" t="str">
        <x:v>Planta Campinas</x:v>
      </x:c>
      <x:c r="D558" s="28" t="str">
        <x:v>Linha 3 - Extrusão</x:v>
      </x:c>
      <x:c r="E558" s="28" t="str">
        <x:v>EQ-3-01</x:v>
      </x:c>
      <x:c r="F558" s="28" t="str">
        <x:v>Corretiva</x:v>
      </x:c>
      <x:c r="G558" s="32" t="n">
        <x:v>8.61</x:v>
      </x:c>
      <x:c r="H558" s="28" t="str">
        <x:v>Quebras</x:v>
      </x:c>
      <x:c r="I558" s="28" t="str">
        <x:v>Sim</x:v>
      </x:c>
    </x:row>
    <x:row r="559">
      <x:c r="A559" s="34" t="n">
        <x:v>45544</x:v>
      </x:c>
      <x:c r="B559" s="28" t="str">
        <x:v>Grupo Industrial S.A.</x:v>
      </x:c>
      <x:c r="C559" s="28" t="str">
        <x:v>Planta Campinas</x:v>
      </x:c>
      <x:c r="D559" s="28" t="str">
        <x:v>Linha 3 - Extrusão</x:v>
      </x:c>
      <x:c r="E559" s="28" t="str">
        <x:v>EQ-3-02</x:v>
      </x:c>
      <x:c r="F559" s="28" t="str">
        <x:v>Corretiva</x:v>
      </x:c>
      <x:c r="G559" s="32" t="n">
        <x:v>4.21</x:v>
      </x:c>
      <x:c r="H559" s="28" t="str">
        <x:v>Quebras</x:v>
      </x:c>
      <x:c r="I559" s="28" t="str">
        <x:v>Sim</x:v>
      </x:c>
    </x:row>
    <x:row r="560">
      <x:c r="A560" s="34" t="n">
        <x:v>45544</x:v>
      </x:c>
      <x:c r="B560" s="28" t="str">
        <x:v>Grupo Industrial S.A.</x:v>
      </x:c>
      <x:c r="C560" s="28" t="str">
        <x:v>Planta Campinas</x:v>
      </x:c>
      <x:c r="D560" s="28" t="str">
        <x:v>Linha 3 - Extrusão</x:v>
      </x:c>
      <x:c r="E560" s="28" t="str">
        <x:v>EQ-3-03</x:v>
      </x:c>
      <x:c r="F560" s="28" t="str">
        <x:v>Operacional</x:v>
      </x:c>
      <x:c r="G560" s="32" t="n">
        <x:v>8.75</x:v>
      </x:c>
      <x:c r="H560" s="28" t="str">
        <x:v>Setup</x:v>
      </x:c>
      <x:c r="I560" s="28" t="str">
        <x:v>Não</x:v>
      </x:c>
    </x:row>
    <x:row r="561">
      <x:c r="A561" s="34" t="n">
        <x:v>45544</x:v>
      </x:c>
      <x:c r="B561" s="28" t="str">
        <x:v>Grupo Industrial S.A.</x:v>
      </x:c>
      <x:c r="C561" s="28" t="str">
        <x:v>Planta Campinas</x:v>
      </x:c>
      <x:c r="D561" s="28" t="str">
        <x:v>Linha 4 - Embalagem</x:v>
      </x:c>
      <x:c r="E561" s="28" t="str">
        <x:v>EQ-4-01</x:v>
      </x:c>
      <x:c r="F561" s="28" t="str">
        <x:v>Operacional</x:v>
      </x:c>
      <x:c r="G561" s="32" t="n">
        <x:v>10.26</x:v>
      </x:c>
      <x:c r="H561" s="28" t="str">
        <x:v>Falta de material</x:v>
      </x:c>
      <x:c r="I561" s="28" t="str">
        <x:v>Sim</x:v>
      </x:c>
    </x:row>
    <x:row r="562">
      <x:c r="A562" s="34" t="n">
        <x:v>45544</x:v>
      </x:c>
      <x:c r="B562" s="28" t="str">
        <x:v>Grupo Industrial S.A.</x:v>
      </x:c>
      <x:c r="C562" s="28" t="str">
        <x:v>Planta Campinas</x:v>
      </x:c>
      <x:c r="D562" s="28" t="str">
        <x:v>Linha 4 - Embalagem</x:v>
      </x:c>
      <x:c r="E562" s="28" t="str">
        <x:v>EQ-4-02</x:v>
      </x:c>
      <x:c r="F562" s="28" t="str">
        <x:v>Corretiva</x:v>
      </x:c>
      <x:c r="G562" s="32" t="n">
        <x:v>5.05</x:v>
      </x:c>
      <x:c r="H562" s="28" t="str">
        <x:v>Ajustes</x:v>
      </x:c>
      <x:c r="I562" s="28" t="str">
        <x:v>Não</x:v>
      </x:c>
    </x:row>
    <x:row r="563">
      <x:c r="A563" s="34" t="n">
        <x:v>45544</x:v>
      </x:c>
      <x:c r="B563" s="28" t="str">
        <x:v>Grupo Industrial S.A.</x:v>
      </x:c>
      <x:c r="C563" s="28" t="str">
        <x:v>Planta Campinas</x:v>
      </x:c>
      <x:c r="D563" s="28" t="str">
        <x:v>Linha 4 - Embalagem</x:v>
      </x:c>
      <x:c r="E563" s="28" t="str">
        <x:v>EQ-4-03</x:v>
      </x:c>
      <x:c r="F563" s="28" t="str">
        <x:v>Corretiva</x:v>
      </x:c>
      <x:c r="G563" s="32" t="n">
        <x:v>6.8</x:v>
      </x:c>
      <x:c r="H563" s="28" t="str">
        <x:v>Quebras</x:v>
      </x:c>
      <x:c r="I563" s="28" t="str">
        <x:v>Sim</x:v>
      </x:c>
    </x:row>
    <x:row r="564">
      <x:c r="A564" s="34" t="n">
        <x:v>45544</x:v>
      </x:c>
      <x:c r="B564" s="28" t="str">
        <x:v>Grupo Industrial S.A.</x:v>
      </x:c>
      <x:c r="C564" s="28" t="str">
        <x:v>Planta Curitiba</x:v>
      </x:c>
      <x:c r="D564" s="28" t="str">
        <x:v>Linha 5 - Usinagem</x:v>
      </x:c>
      <x:c r="E564" s="28" t="str">
        <x:v>EQ-5-01</x:v>
      </x:c>
      <x:c r="F564" s="28" t="str">
        <x:v>Operacional</x:v>
      </x:c>
      <x:c r="G564" s="32" t="n">
        <x:v>9.47</x:v>
      </x:c>
      <x:c r="H564" s="28" t="str">
        <x:v>Troca de ferramenta</x:v>
      </x:c>
      <x:c r="I564" s="28" t="str">
        <x:v>Não</x:v>
      </x:c>
    </x:row>
    <x:row r="565">
      <x:c r="A565" s="34" t="n">
        <x:v>45544</x:v>
      </x:c>
      <x:c r="B565" s="28" t="str">
        <x:v>Grupo Industrial S.A.</x:v>
      </x:c>
      <x:c r="C565" s="28" t="str">
        <x:v>Planta Curitiba</x:v>
      </x:c>
      <x:c r="D565" s="28" t="str">
        <x:v>Linha 5 - Usinagem</x:v>
      </x:c>
      <x:c r="E565" s="28" t="str">
        <x:v>EQ-5-02</x:v>
      </x:c>
      <x:c r="F565" s="28" t="str">
        <x:v>Corretiva</x:v>
      </x:c>
      <x:c r="G565" s="32" t="n">
        <x:v>3.1</x:v>
      </x:c>
      <x:c r="H565" s="28" t="str">
        <x:v>Quebras</x:v>
      </x:c>
      <x:c r="I565" s="28" t="str">
        <x:v>Sim</x:v>
      </x:c>
    </x:row>
    <x:row r="566">
      <x:c r="A566" s="34" t="n">
        <x:v>45544</x:v>
      </x:c>
      <x:c r="B566" s="28" t="str">
        <x:v>Grupo Industrial S.A.</x:v>
      </x:c>
      <x:c r="C566" s="28" t="str">
        <x:v>Planta Curitiba</x:v>
      </x:c>
      <x:c r="D566" s="28" t="str">
        <x:v>Linha 5 - Usinagem</x:v>
      </x:c>
      <x:c r="E566" s="28" t="str">
        <x:v>EQ-5-03</x:v>
      </x:c>
      <x:c r="F566" s="28" t="str">
        <x:v>Operacional</x:v>
      </x:c>
      <x:c r="G566" s="32" t="n">
        <x:v>6.94</x:v>
      </x:c>
      <x:c r="H566" s="28" t="str">
        <x:v>Setup</x:v>
      </x:c>
      <x:c r="I566" s="28" t="str">
        <x:v>Não</x:v>
      </x:c>
    </x:row>
    <x:row r="567">
      <x:c r="A567" s="34" t="n">
        <x:v>45544</x:v>
      </x:c>
      <x:c r="B567" s="28" t="str">
        <x:v>Grupo Industrial S.A.</x:v>
      </x:c>
      <x:c r="C567" s="28" t="str">
        <x:v>Planta Curitiba</x:v>
      </x:c>
      <x:c r="D567" s="28" t="str">
        <x:v>Linha 6 - Finalização</x:v>
      </x:c>
      <x:c r="E567" s="28" t="str">
        <x:v>EQ-6-01</x:v>
      </x:c>
      <x:c r="F567" s="28" t="str">
        <x:v>Corretiva</x:v>
      </x:c>
      <x:c r="G567" s="32" t="n">
        <x:v>6.01</x:v>
      </x:c>
      <x:c r="H567" s="28" t="str">
        <x:v>Quebras</x:v>
      </x:c>
      <x:c r="I567" s="28" t="str">
        <x:v>Sim</x:v>
      </x:c>
    </x:row>
    <x:row r="568">
      <x:c r="A568" s="34" t="n">
        <x:v>45544</x:v>
      </x:c>
      <x:c r="B568" s="28" t="str">
        <x:v>Grupo Industrial S.A.</x:v>
      </x:c>
      <x:c r="C568" s="28" t="str">
        <x:v>Planta Curitiba</x:v>
      </x:c>
      <x:c r="D568" s="28" t="str">
        <x:v>Linha 6 - Finalização</x:v>
      </x:c>
      <x:c r="E568" s="28" t="str">
        <x:v>EQ-6-02</x:v>
      </x:c>
      <x:c r="F568" s="28" t="str">
        <x:v>Operacional</x:v>
      </x:c>
      <x:c r="G568" s="32" t="n">
        <x:v>5.61</x:v>
      </x:c>
      <x:c r="H568" s="28" t="str">
        <x:v>Setup</x:v>
      </x:c>
      <x:c r="I568" s="28" t="str">
        <x:v>Não</x:v>
      </x:c>
    </x:row>
    <x:row r="569">
      <x:c r="A569" s="34" t="n">
        <x:v>45544</x:v>
      </x:c>
      <x:c r="B569" s="28" t="str">
        <x:v>Grupo Industrial S.A.</x:v>
      </x:c>
      <x:c r="C569" s="28" t="str">
        <x:v>Planta Curitiba</x:v>
      </x:c>
      <x:c r="D569" s="28" t="str">
        <x:v>Linha 6 - Finalização</x:v>
      </x:c>
      <x:c r="E569" s="28" t="str">
        <x:v>EQ-6-03</x:v>
      </x:c>
      <x:c r="F569" s="28" t="str">
        <x:v>Corretiva</x:v>
      </x:c>
      <x:c r="G569" s="32" t="n">
        <x:v>8.96</x:v>
      </x:c>
      <x:c r="H569" s="28" t="str">
        <x:v>Quebras</x:v>
      </x:c>
      <x:c r="I569" s="28" t="str">
        <x:v>Sim</x:v>
      </x:c>
    </x:row>
    <x:row r="570">
      <x:c r="A570" s="34" t="n">
        <x:v>45551</x:v>
      </x:c>
      <x:c r="B570" s="28" t="str">
        <x:v>Grupo Industrial S.A.</x:v>
      </x:c>
      <x:c r="C570" s="28" t="str">
        <x:v>Planta São Paulo</x:v>
      </x:c>
      <x:c r="D570" s="28" t="str">
        <x:v>Linha 1 - Corte</x:v>
      </x:c>
      <x:c r="E570" s="28" t="str">
        <x:v>EQ-1-01</x:v>
      </x:c>
      <x:c r="F570" s="28" t="str">
        <x:v>Corretiva</x:v>
      </x:c>
      <x:c r="G570" s="32" t="n">
        <x:v>7.15</x:v>
      </x:c>
      <x:c r="H570" s="28" t="str">
        <x:v>Elétrica</x:v>
      </x:c>
      <x:c r="I570" s="28" t="str">
        <x:v>Sim</x:v>
      </x:c>
    </x:row>
    <x:row r="571">
      <x:c r="A571" s="34" t="n">
        <x:v>45551</x:v>
      </x:c>
      <x:c r="B571" s="28" t="str">
        <x:v>Grupo Industrial S.A.</x:v>
      </x:c>
      <x:c r="C571" s="28" t="str">
        <x:v>Planta São Paulo</x:v>
      </x:c>
      <x:c r="D571" s="28" t="str">
        <x:v>Linha 1 - Corte</x:v>
      </x:c>
      <x:c r="E571" s="28" t="str">
        <x:v>EQ-1-02</x:v>
      </x:c>
      <x:c r="F571" s="28" t="str">
        <x:v>Corretiva</x:v>
      </x:c>
      <x:c r="G571" s="32" t="n">
        <x:v>6.91</x:v>
      </x:c>
      <x:c r="H571" s="28" t="str">
        <x:v>Quebras</x:v>
      </x:c>
      <x:c r="I571" s="28" t="str">
        <x:v>Sim</x:v>
      </x:c>
    </x:row>
    <x:row r="572">
      <x:c r="A572" s="34" t="n">
        <x:v>45551</x:v>
      </x:c>
      <x:c r="B572" s="28" t="str">
        <x:v>Grupo Industrial S.A.</x:v>
      </x:c>
      <x:c r="C572" s="28" t="str">
        <x:v>Planta São Paulo</x:v>
      </x:c>
      <x:c r="D572" s="28" t="str">
        <x:v>Linha 2 - Montagem</x:v>
      </x:c>
      <x:c r="E572" s="28" t="str">
        <x:v>EQ-2-01</x:v>
      </x:c>
      <x:c r="F572" s="28" t="str">
        <x:v>Corretiva</x:v>
      </x:c>
      <x:c r="G572" s="32" t="n">
        <x:v>4.99</x:v>
      </x:c>
      <x:c r="H572" s="28" t="str">
        <x:v>Quebras</x:v>
      </x:c>
      <x:c r="I572" s="28" t="str">
        <x:v>Sim</x:v>
      </x:c>
    </x:row>
    <x:row r="573">
      <x:c r="A573" s="34" t="n">
        <x:v>45551</x:v>
      </x:c>
      <x:c r="B573" s="28" t="str">
        <x:v>Grupo Industrial S.A.</x:v>
      </x:c>
      <x:c r="C573" s="28" t="str">
        <x:v>Planta São Paulo</x:v>
      </x:c>
      <x:c r="D573" s="28" t="str">
        <x:v>Linha 2 - Montagem</x:v>
      </x:c>
      <x:c r="E573" s="28" t="str">
        <x:v>EQ-2-02</x:v>
      </x:c>
      <x:c r="F573" s="28" t="str">
        <x:v>Operacional</x:v>
      </x:c>
      <x:c r="G573" s="32" t="n">
        <x:v>11.32</x:v>
      </x:c>
      <x:c r="H573" s="28" t="str">
        <x:v>Setup</x:v>
      </x:c>
      <x:c r="I573" s="28" t="str">
        <x:v>Não</x:v>
      </x:c>
    </x:row>
    <x:row r="574">
      <x:c r="A574" s="34" t="n">
        <x:v>45551</x:v>
      </x:c>
      <x:c r="B574" s="28" t="str">
        <x:v>Grupo Industrial S.A.</x:v>
      </x:c>
      <x:c r="C574" s="28" t="str">
        <x:v>Planta Campinas</x:v>
      </x:c>
      <x:c r="D574" s="28" t="str">
        <x:v>Linha 3 - Extrusão</x:v>
      </x:c>
      <x:c r="E574" s="28" t="str">
        <x:v>EQ-3-01</x:v>
      </x:c>
      <x:c r="F574" s="28" t="str">
        <x:v>Corretiva</x:v>
      </x:c>
      <x:c r="G574" s="32" t="n">
        <x:v>7.31</x:v>
      </x:c>
      <x:c r="H574" s="28" t="str">
        <x:v>Ajustes</x:v>
      </x:c>
      <x:c r="I574" s="28" t="str">
        <x:v>Não</x:v>
      </x:c>
    </x:row>
    <x:row r="575">
      <x:c r="A575" s="34" t="n">
        <x:v>45551</x:v>
      </x:c>
      <x:c r="B575" s="28" t="str">
        <x:v>Grupo Industrial S.A.</x:v>
      </x:c>
      <x:c r="C575" s="28" t="str">
        <x:v>Planta Campinas</x:v>
      </x:c>
      <x:c r="D575" s="28" t="str">
        <x:v>Linha 3 - Extrusão</x:v>
      </x:c>
      <x:c r="E575" s="28" t="str">
        <x:v>EQ-3-02</x:v>
      </x:c>
      <x:c r="F575" s="28" t="str">
        <x:v>Operacional</x:v>
      </x:c>
      <x:c r="G575" s="32" t="n">
        <x:v>8.28</x:v>
      </x:c>
      <x:c r="H575" s="28" t="str">
        <x:v>Falta de material</x:v>
      </x:c>
      <x:c r="I575" s="28" t="str">
        <x:v>Sim</x:v>
      </x:c>
    </x:row>
    <x:row r="576">
      <x:c r="A576" s="34" t="n">
        <x:v>45551</x:v>
      </x:c>
      <x:c r="B576" s="28" t="str">
        <x:v>Grupo Industrial S.A.</x:v>
      </x:c>
      <x:c r="C576" s="28" t="str">
        <x:v>Planta Campinas</x:v>
      </x:c>
      <x:c r="D576" s="28" t="str">
        <x:v>Linha 3 - Extrusão</x:v>
      </x:c>
      <x:c r="E576" s="28" t="str">
        <x:v>EQ-3-03</x:v>
      </x:c>
      <x:c r="F576" s="28" t="str">
        <x:v>Corretiva</x:v>
      </x:c>
      <x:c r="G576" s="32" t="n">
        <x:v>10.24</x:v>
      </x:c>
      <x:c r="H576" s="28" t="str">
        <x:v>Quebras</x:v>
      </x:c>
      <x:c r="I576" s="28" t="str">
        <x:v>Sim</x:v>
      </x:c>
    </x:row>
    <x:row r="577">
      <x:c r="A577" s="34" t="n">
        <x:v>45551</x:v>
      </x:c>
      <x:c r="B577" s="28" t="str">
        <x:v>Grupo Industrial S.A.</x:v>
      </x:c>
      <x:c r="C577" s="28" t="str">
        <x:v>Planta Campinas</x:v>
      </x:c>
      <x:c r="D577" s="28" t="str">
        <x:v>Linha 4 - Embalagem</x:v>
      </x:c>
      <x:c r="E577" s="28" t="str">
        <x:v>EQ-4-01</x:v>
      </x:c>
      <x:c r="F577" s="28" t="str">
        <x:v>Corretiva</x:v>
      </x:c>
      <x:c r="G577" s="32" t="n">
        <x:v>7.24</x:v>
      </x:c>
      <x:c r="H577" s="28" t="str">
        <x:v>Ajustes</x:v>
      </x:c>
      <x:c r="I577" s="28" t="str">
        <x:v>Não</x:v>
      </x:c>
    </x:row>
    <x:row r="578">
      <x:c r="A578" s="34" t="n">
        <x:v>45551</x:v>
      </x:c>
      <x:c r="B578" s="28" t="str">
        <x:v>Grupo Industrial S.A.</x:v>
      </x:c>
      <x:c r="C578" s="28" t="str">
        <x:v>Planta Campinas</x:v>
      </x:c>
      <x:c r="D578" s="28" t="str">
        <x:v>Linha 4 - Embalagem</x:v>
      </x:c>
      <x:c r="E578" s="28" t="str">
        <x:v>EQ-4-02</x:v>
      </x:c>
      <x:c r="F578" s="28" t="str">
        <x:v>Operacional</x:v>
      </x:c>
      <x:c r="G578" s="32" t="n">
        <x:v>6.77</x:v>
      </x:c>
      <x:c r="H578" s="28" t="str">
        <x:v>Falta de material</x:v>
      </x:c>
      <x:c r="I578" s="28" t="str">
        <x:v>Sim</x:v>
      </x:c>
    </x:row>
    <x:row r="579">
      <x:c r="A579" s="34" t="n">
        <x:v>45551</x:v>
      </x:c>
      <x:c r="B579" s="28" t="str">
        <x:v>Grupo Industrial S.A.</x:v>
      </x:c>
      <x:c r="C579" s="28" t="str">
        <x:v>Planta Campinas</x:v>
      </x:c>
      <x:c r="D579" s="28" t="str">
        <x:v>Linha 4 - Embalagem</x:v>
      </x:c>
      <x:c r="E579" s="28" t="str">
        <x:v>EQ-4-03</x:v>
      </x:c>
      <x:c r="F579" s="28" t="str">
        <x:v>Operacional</x:v>
      </x:c>
      <x:c r="G579" s="32" t="n">
        <x:v>7.18</x:v>
      </x:c>
      <x:c r="H579" s="28" t="str">
        <x:v>Setup</x:v>
      </x:c>
      <x:c r="I579" s="28" t="str">
        <x:v>Não</x:v>
      </x:c>
    </x:row>
    <x:row r="580">
      <x:c r="A580" s="34" t="n">
        <x:v>45551</x:v>
      </x:c>
      <x:c r="B580" s="28" t="str">
        <x:v>Grupo Industrial S.A.</x:v>
      </x:c>
      <x:c r="C580" s="28" t="str">
        <x:v>Planta Curitiba</x:v>
      </x:c>
      <x:c r="D580" s="28" t="str">
        <x:v>Linha 5 - Usinagem</x:v>
      </x:c>
      <x:c r="E580" s="28" t="str">
        <x:v>EQ-5-01</x:v>
      </x:c>
      <x:c r="F580" s="28" t="str">
        <x:v>Operacional</x:v>
      </x:c>
      <x:c r="G580" s="32" t="n">
        <x:v>7.32</x:v>
      </x:c>
      <x:c r="H580" s="28" t="str">
        <x:v>Troca de ferramenta</x:v>
      </x:c>
      <x:c r="I580" s="28" t="str">
        <x:v>Não</x:v>
      </x:c>
    </x:row>
    <x:row r="581">
      <x:c r="A581" s="34" t="n">
        <x:v>45551</x:v>
      </x:c>
      <x:c r="B581" s="28" t="str">
        <x:v>Grupo Industrial S.A.</x:v>
      </x:c>
      <x:c r="C581" s="28" t="str">
        <x:v>Planta Curitiba</x:v>
      </x:c>
      <x:c r="D581" s="28" t="str">
        <x:v>Linha 5 - Usinagem</x:v>
      </x:c>
      <x:c r="E581" s="28" t="str">
        <x:v>EQ-5-02</x:v>
      </x:c>
      <x:c r="F581" s="28" t="str">
        <x:v>Operacional</x:v>
      </x:c>
      <x:c r="G581" s="32" t="n">
        <x:v>10.24</x:v>
      </x:c>
      <x:c r="H581" s="28" t="str">
        <x:v>Troca de ferramenta</x:v>
      </x:c>
      <x:c r="I581" s="28" t="str">
        <x:v>Não</x:v>
      </x:c>
    </x:row>
    <x:row r="582">
      <x:c r="A582" s="34" t="n">
        <x:v>45551</x:v>
      </x:c>
      <x:c r="B582" s="28" t="str">
        <x:v>Grupo Industrial S.A.</x:v>
      </x:c>
      <x:c r="C582" s="28" t="str">
        <x:v>Planta Curitiba</x:v>
      </x:c>
      <x:c r="D582" s="28" t="str">
        <x:v>Linha 6 - Finalização</x:v>
      </x:c>
      <x:c r="E582" s="28" t="str">
        <x:v>EQ-6-01</x:v>
      </x:c>
      <x:c r="F582" s="28" t="str">
        <x:v>Operacional</x:v>
      </x:c>
      <x:c r="G582" s="32" t="n">
        <x:v>6.71</x:v>
      </x:c>
      <x:c r="H582" s="28" t="str">
        <x:v>Setup</x:v>
      </x:c>
      <x:c r="I582" s="28" t="str">
        <x:v>Não</x:v>
      </x:c>
    </x:row>
    <x:row r="583">
      <x:c r="A583" s="34" t="n">
        <x:v>45551</x:v>
      </x:c>
      <x:c r="B583" s="28" t="str">
        <x:v>Grupo Industrial S.A.</x:v>
      </x:c>
      <x:c r="C583" s="28" t="str">
        <x:v>Planta Curitiba</x:v>
      </x:c>
      <x:c r="D583" s="28" t="str">
        <x:v>Linha 6 - Finalização</x:v>
      </x:c>
      <x:c r="E583" s="28" t="str">
        <x:v>EQ-6-02</x:v>
      </x:c>
      <x:c r="F583" s="28" t="str">
        <x:v>Operacional</x:v>
      </x:c>
      <x:c r="G583" s="32" t="n">
        <x:v>5.25</x:v>
      </x:c>
      <x:c r="H583" s="28" t="str">
        <x:v>Setup</x:v>
      </x:c>
      <x:c r="I583" s="28" t="str">
        <x:v>Não</x:v>
      </x:c>
    </x:row>
    <x:row r="584">
      <x:c r="A584" s="34" t="n">
        <x:v>45551</x:v>
      </x:c>
      <x:c r="B584" s="28" t="str">
        <x:v>Grupo Industrial S.A.</x:v>
      </x:c>
      <x:c r="C584" s="28" t="str">
        <x:v>Planta Curitiba</x:v>
      </x:c>
      <x:c r="D584" s="28" t="str">
        <x:v>Linha 6 - Finalização</x:v>
      </x:c>
      <x:c r="E584" s="28" t="str">
        <x:v>EQ-6-03</x:v>
      </x:c>
      <x:c r="F584" s="28" t="str">
        <x:v>Operacional</x:v>
      </x:c>
      <x:c r="G584" s="32" t="n">
        <x:v>8.68</x:v>
      </x:c>
      <x:c r="H584" s="28" t="str">
        <x:v>Troca de ferramenta</x:v>
      </x:c>
      <x:c r="I584" s="28" t="str">
        <x:v>Não</x:v>
      </x:c>
    </x:row>
    <x:row r="585">
      <x:c r="A585" s="34" t="n">
        <x:v>45558</x:v>
      </x:c>
      <x:c r="B585" s="28" t="str">
        <x:v>Grupo Industrial S.A.</x:v>
      </x:c>
      <x:c r="C585" s="28" t="str">
        <x:v>Planta São Paulo</x:v>
      </x:c>
      <x:c r="D585" s="28" t="str">
        <x:v>Linha 1 - Corte</x:v>
      </x:c>
      <x:c r="E585" s="28" t="str">
        <x:v>EQ-1-01</x:v>
      </x:c>
      <x:c r="F585" s="28" t="str">
        <x:v>Corretiva</x:v>
      </x:c>
      <x:c r="G585" s="32" t="n">
        <x:v>5.71</x:v>
      </x:c>
      <x:c r="H585" s="28" t="str">
        <x:v>Quebras</x:v>
      </x:c>
      <x:c r="I585" s="28" t="str">
        <x:v>Sim</x:v>
      </x:c>
    </x:row>
    <x:row r="586">
      <x:c r="A586" s="34" t="n">
        <x:v>45558</x:v>
      </x:c>
      <x:c r="B586" s="28" t="str">
        <x:v>Grupo Industrial S.A.</x:v>
      </x:c>
      <x:c r="C586" s="28" t="str">
        <x:v>Planta São Paulo</x:v>
      </x:c>
      <x:c r="D586" s="28" t="str">
        <x:v>Linha 1 - Corte</x:v>
      </x:c>
      <x:c r="E586" s="28" t="str">
        <x:v>EQ-1-02</x:v>
      </x:c>
      <x:c r="F586" s="28" t="str">
        <x:v>Corretiva</x:v>
      </x:c>
      <x:c r="G586" s="32" t="n">
        <x:v>6.32</x:v>
      </x:c>
      <x:c r="H586" s="28" t="str">
        <x:v>Elétrica</x:v>
      </x:c>
      <x:c r="I586" s="28" t="str">
        <x:v>Sim</x:v>
      </x:c>
    </x:row>
    <x:row r="587">
      <x:c r="A587" s="34" t="n">
        <x:v>45558</x:v>
      </x:c>
      <x:c r="B587" s="28" t="str">
        <x:v>Grupo Industrial S.A.</x:v>
      </x:c>
      <x:c r="C587" s="28" t="str">
        <x:v>Planta São Paulo</x:v>
      </x:c>
      <x:c r="D587" s="28" t="str">
        <x:v>Linha 2 - Montagem</x:v>
      </x:c>
      <x:c r="E587" s="28" t="str">
        <x:v>EQ-2-01</x:v>
      </x:c>
      <x:c r="F587" s="28" t="str">
        <x:v>Corretiva</x:v>
      </x:c>
      <x:c r="G587" s="32" t="n">
        <x:v>4.51</x:v>
      </x:c>
      <x:c r="H587" s="28" t="str">
        <x:v>Quebras</x:v>
      </x:c>
      <x:c r="I587" s="28" t="str">
        <x:v>Sim</x:v>
      </x:c>
    </x:row>
    <x:row r="588">
      <x:c r="A588" s="34" t="n">
        <x:v>45558</x:v>
      </x:c>
      <x:c r="B588" s="28" t="str">
        <x:v>Grupo Industrial S.A.</x:v>
      </x:c>
      <x:c r="C588" s="28" t="str">
        <x:v>Planta São Paulo</x:v>
      </x:c>
      <x:c r="D588" s="28" t="str">
        <x:v>Linha 2 - Montagem</x:v>
      </x:c>
      <x:c r="E588" s="28" t="str">
        <x:v>EQ-2-02</x:v>
      </x:c>
      <x:c r="F588" s="28" t="str">
        <x:v>Corretiva</x:v>
      </x:c>
      <x:c r="G588" s="32" t="n">
        <x:v>8.01</x:v>
      </x:c>
      <x:c r="H588" s="28" t="str">
        <x:v>Quebras</x:v>
      </x:c>
      <x:c r="I588" s="28" t="str">
        <x:v>Sim</x:v>
      </x:c>
    </x:row>
    <x:row r="589">
      <x:c r="A589" s="34" t="n">
        <x:v>45558</x:v>
      </x:c>
      <x:c r="B589" s="28" t="str">
        <x:v>Grupo Industrial S.A.</x:v>
      </x:c>
      <x:c r="C589" s="28" t="str">
        <x:v>Planta Campinas</x:v>
      </x:c>
      <x:c r="D589" s="28" t="str">
        <x:v>Linha 3 - Extrusão</x:v>
      </x:c>
      <x:c r="E589" s="28" t="str">
        <x:v>EQ-3-01</x:v>
      </x:c>
      <x:c r="F589" s="28" t="str">
        <x:v>Operacional</x:v>
      </x:c>
      <x:c r="G589" s="32" t="n">
        <x:v>8.68</x:v>
      </x:c>
      <x:c r="H589" s="28" t="str">
        <x:v>Falta de material</x:v>
      </x:c>
      <x:c r="I589" s="28" t="str">
        <x:v>Sim</x:v>
      </x:c>
    </x:row>
    <x:row r="590">
      <x:c r="A590" s="34" t="n">
        <x:v>45558</x:v>
      </x:c>
      <x:c r="B590" s="28" t="str">
        <x:v>Grupo Industrial S.A.</x:v>
      </x:c>
      <x:c r="C590" s="28" t="str">
        <x:v>Planta Campinas</x:v>
      </x:c>
      <x:c r="D590" s="28" t="str">
        <x:v>Linha 3 - Extrusão</x:v>
      </x:c>
      <x:c r="E590" s="28" t="str">
        <x:v>EQ-3-02</x:v>
      </x:c>
      <x:c r="F590" s="28" t="str">
        <x:v>Corretiva</x:v>
      </x:c>
      <x:c r="G590" s="32" t="n">
        <x:v>5.54</x:v>
      </x:c>
      <x:c r="H590" s="28" t="str">
        <x:v>Ajustes</x:v>
      </x:c>
      <x:c r="I590" s="28" t="str">
        <x:v>Não</x:v>
      </x:c>
    </x:row>
    <x:row r="591">
      <x:c r="A591" s="34" t="n">
        <x:v>45558</x:v>
      </x:c>
      <x:c r="B591" s="28" t="str">
        <x:v>Grupo Industrial S.A.</x:v>
      </x:c>
      <x:c r="C591" s="28" t="str">
        <x:v>Planta Campinas</x:v>
      </x:c>
      <x:c r="D591" s="28" t="str">
        <x:v>Linha 3 - Extrusão</x:v>
      </x:c>
      <x:c r="E591" s="28" t="str">
        <x:v>EQ-3-03</x:v>
      </x:c>
      <x:c r="F591" s="28" t="str">
        <x:v>Operacional</x:v>
      </x:c>
      <x:c r="G591" s="32" t="n">
        <x:v>7.39</x:v>
      </x:c>
      <x:c r="H591" s="28" t="str">
        <x:v>Falta de material</x:v>
      </x:c>
      <x:c r="I591" s="28" t="str">
        <x:v>Sim</x:v>
      </x:c>
    </x:row>
    <x:row r="592">
      <x:c r="A592" s="34" t="n">
        <x:v>45558</x:v>
      </x:c>
      <x:c r="B592" s="28" t="str">
        <x:v>Grupo Industrial S.A.</x:v>
      </x:c>
      <x:c r="C592" s="28" t="str">
        <x:v>Planta Campinas</x:v>
      </x:c>
      <x:c r="D592" s="28" t="str">
        <x:v>Linha 4 - Embalagem</x:v>
      </x:c>
      <x:c r="E592" s="28" t="str">
        <x:v>EQ-4-01</x:v>
      </x:c>
      <x:c r="F592" s="28" t="str">
        <x:v>Corretiva</x:v>
      </x:c>
      <x:c r="G592" s="32" t="n">
        <x:v>6.56</x:v>
      </x:c>
      <x:c r="H592" s="28" t="str">
        <x:v>Quebras</x:v>
      </x:c>
      <x:c r="I592" s="28" t="str">
        <x:v>Sim</x:v>
      </x:c>
    </x:row>
    <x:row r="593">
      <x:c r="A593" s="34" t="n">
        <x:v>45558</x:v>
      </x:c>
      <x:c r="B593" s="28" t="str">
        <x:v>Grupo Industrial S.A.</x:v>
      </x:c>
      <x:c r="C593" s="28" t="str">
        <x:v>Planta Campinas</x:v>
      </x:c>
      <x:c r="D593" s="28" t="str">
        <x:v>Linha 4 - Embalagem</x:v>
      </x:c>
      <x:c r="E593" s="28" t="str">
        <x:v>EQ-4-02</x:v>
      </x:c>
      <x:c r="F593" s="28" t="str">
        <x:v>Corretiva</x:v>
      </x:c>
      <x:c r="G593" s="32" t="n">
        <x:v>4.78</x:v>
      </x:c>
      <x:c r="H593" s="28" t="str">
        <x:v>Quebras</x:v>
      </x:c>
      <x:c r="I593" s="28" t="str">
        <x:v>Sim</x:v>
      </x:c>
    </x:row>
    <x:row r="594">
      <x:c r="A594" s="34" t="n">
        <x:v>45558</x:v>
      </x:c>
      <x:c r="B594" s="28" t="str">
        <x:v>Grupo Industrial S.A.</x:v>
      </x:c>
      <x:c r="C594" s="28" t="str">
        <x:v>Planta Campinas</x:v>
      </x:c>
      <x:c r="D594" s="28" t="str">
        <x:v>Linha 4 - Embalagem</x:v>
      </x:c>
      <x:c r="E594" s="28" t="str">
        <x:v>EQ-4-03</x:v>
      </x:c>
      <x:c r="F594" s="28" t="str">
        <x:v>Operacional</x:v>
      </x:c>
      <x:c r="G594" s="32" t="n">
        <x:v>9.76</x:v>
      </x:c>
      <x:c r="H594" s="28" t="str">
        <x:v>Setup</x:v>
      </x:c>
      <x:c r="I594" s="28" t="str">
        <x:v>Não</x:v>
      </x:c>
    </x:row>
    <x:row r="595">
      <x:c r="A595" s="34" t="n">
        <x:v>45558</x:v>
      </x:c>
      <x:c r="B595" s="28" t="str">
        <x:v>Grupo Industrial S.A.</x:v>
      </x:c>
      <x:c r="C595" s="28" t="str">
        <x:v>Planta Curitiba</x:v>
      </x:c>
      <x:c r="D595" s="28" t="str">
        <x:v>Linha 5 - Usinagem</x:v>
      </x:c>
      <x:c r="E595" s="28" t="str">
        <x:v>EQ-5-01</x:v>
      </x:c>
      <x:c r="F595" s="28" t="str">
        <x:v>Operacional</x:v>
      </x:c>
      <x:c r="G595" s="32" t="n">
        <x:v>8.48</x:v>
      </x:c>
      <x:c r="H595" s="28" t="str">
        <x:v>Troca de ferramenta</x:v>
      </x:c>
      <x:c r="I595" s="28" t="str">
        <x:v>Não</x:v>
      </x:c>
    </x:row>
    <x:row r="596">
      <x:c r="A596" s="34" t="n">
        <x:v>45558</x:v>
      </x:c>
      <x:c r="B596" s="28" t="str">
        <x:v>Grupo Industrial S.A.</x:v>
      </x:c>
      <x:c r="C596" s="28" t="str">
        <x:v>Planta Curitiba</x:v>
      </x:c>
      <x:c r="D596" s="28" t="str">
        <x:v>Linha 5 - Usinagem</x:v>
      </x:c>
      <x:c r="E596" s="28" t="str">
        <x:v>EQ-5-02</x:v>
      </x:c>
      <x:c r="F596" s="28" t="str">
        <x:v>Operacional</x:v>
      </x:c>
      <x:c r="G596" s="32" t="n">
        <x:v>3.13</x:v>
      </x:c>
      <x:c r="H596" s="28" t="str">
        <x:v>Troca de ferramenta</x:v>
      </x:c>
      <x:c r="I596" s="28" t="str">
        <x:v>Não</x:v>
      </x:c>
    </x:row>
    <x:row r="597">
      <x:c r="A597" s="34" t="n">
        <x:v>45558</x:v>
      </x:c>
      <x:c r="B597" s="28" t="str">
        <x:v>Grupo Industrial S.A.</x:v>
      </x:c>
      <x:c r="C597" s="28" t="str">
        <x:v>Planta Curitiba</x:v>
      </x:c>
      <x:c r="D597" s="28" t="str">
        <x:v>Linha 5 - Usinagem</x:v>
      </x:c>
      <x:c r="E597" s="28" t="str">
        <x:v>EQ-5-03</x:v>
      </x:c>
      <x:c r="F597" s="28" t="str">
        <x:v>Operacional</x:v>
      </x:c>
      <x:c r="G597" s="32" t="n">
        <x:v>7.1</x:v>
      </x:c>
      <x:c r="H597" s="28" t="str">
        <x:v>Troca de ferramenta</x:v>
      </x:c>
      <x:c r="I597" s="28" t="str">
        <x:v>Não</x:v>
      </x:c>
    </x:row>
    <x:row r="598">
      <x:c r="A598" s="34" t="n">
        <x:v>45558</x:v>
      </x:c>
      <x:c r="B598" s="28" t="str">
        <x:v>Grupo Industrial S.A.</x:v>
      </x:c>
      <x:c r="C598" s="28" t="str">
        <x:v>Planta Curitiba</x:v>
      </x:c>
      <x:c r="D598" s="28" t="str">
        <x:v>Linha 6 - Finalização</x:v>
      </x:c>
      <x:c r="E598" s="28" t="str">
        <x:v>EQ-6-01</x:v>
      </x:c>
      <x:c r="F598" s="28" t="str">
        <x:v>Operacional</x:v>
      </x:c>
      <x:c r="G598" s="32" t="n">
        <x:v>6.18</x:v>
      </x:c>
      <x:c r="H598" s="28" t="str">
        <x:v>Setup</x:v>
      </x:c>
      <x:c r="I598" s="28" t="str">
        <x:v>Não</x:v>
      </x:c>
    </x:row>
    <x:row r="599">
      <x:c r="A599" s="34" t="n">
        <x:v>45558</x:v>
      </x:c>
      <x:c r="B599" s="28" t="str">
        <x:v>Grupo Industrial S.A.</x:v>
      </x:c>
      <x:c r="C599" s="28" t="str">
        <x:v>Planta Curitiba</x:v>
      </x:c>
      <x:c r="D599" s="28" t="str">
        <x:v>Linha 6 - Finalização</x:v>
      </x:c>
      <x:c r="E599" s="28" t="str">
        <x:v>EQ-6-02</x:v>
      </x:c>
      <x:c r="F599" s="28" t="str">
        <x:v>Corretiva</x:v>
      </x:c>
      <x:c r="G599" s="32" t="n">
        <x:v>10.19</x:v>
      </x:c>
      <x:c r="H599" s="28" t="str">
        <x:v>Microparadas</x:v>
      </x:c>
      <x:c r="I599" s="28" t="str">
        <x:v>Não</x:v>
      </x:c>
    </x:row>
    <x:row r="600">
      <x:c r="A600" s="34" t="n">
        <x:v>45565</x:v>
      </x:c>
      <x:c r="B600" s="28" t="str">
        <x:v>Grupo Industrial S.A.</x:v>
      </x:c>
      <x:c r="C600" s="28" t="str">
        <x:v>Planta São Paulo</x:v>
      </x:c>
      <x:c r="D600" s="28" t="str">
        <x:v>Linha 1 - Corte</x:v>
      </x:c>
      <x:c r="E600" s="28" t="str">
        <x:v>EQ-1-01</x:v>
      </x:c>
      <x:c r="F600" s="28" t="str">
        <x:v>Corretiva</x:v>
      </x:c>
      <x:c r="G600" s="32" t="n">
        <x:v>8.76</x:v>
      </x:c>
      <x:c r="H600" s="28" t="str">
        <x:v>Quebras</x:v>
      </x:c>
      <x:c r="I600" s="28" t="str">
        <x:v>Sim</x:v>
      </x:c>
    </x:row>
    <x:row r="601">
      <x:c r="A601" s="34" t="n">
        <x:v>45565</x:v>
      </x:c>
      <x:c r="B601" s="28" t="str">
        <x:v>Grupo Industrial S.A.</x:v>
      </x:c>
      <x:c r="C601" s="28" t="str">
        <x:v>Planta São Paulo</x:v>
      </x:c>
      <x:c r="D601" s="28" t="str">
        <x:v>Linha 1 - Corte</x:v>
      </x:c>
      <x:c r="E601" s="28" t="str">
        <x:v>EQ-1-02</x:v>
      </x:c>
      <x:c r="F601" s="28" t="str">
        <x:v>Corretiva</x:v>
      </x:c>
      <x:c r="G601" s="32" t="n">
        <x:v>8.12</x:v>
      </x:c>
      <x:c r="H601" s="28" t="str">
        <x:v>Elétrica</x:v>
      </x:c>
      <x:c r="I601" s="28" t="str">
        <x:v>Sim</x:v>
      </x:c>
    </x:row>
    <x:row r="602">
      <x:c r="A602" s="34" t="n">
        <x:v>45565</x:v>
      </x:c>
      <x:c r="B602" s="28" t="str">
        <x:v>Grupo Industrial S.A.</x:v>
      </x:c>
      <x:c r="C602" s="28" t="str">
        <x:v>Planta São Paulo</x:v>
      </x:c>
      <x:c r="D602" s="28" t="str">
        <x:v>Linha 2 - Montagem</x:v>
      </x:c>
      <x:c r="E602" s="28" t="str">
        <x:v>EQ-2-01</x:v>
      </x:c>
      <x:c r="F602" s="28" t="str">
        <x:v>Operacional</x:v>
      </x:c>
      <x:c r="G602" s="32" t="n">
        <x:v>5.58</x:v>
      </x:c>
      <x:c r="H602" s="28" t="str">
        <x:v>Setup</x:v>
      </x:c>
      <x:c r="I602" s="28" t="str">
        <x:v>Não</x:v>
      </x:c>
    </x:row>
    <x:row r="603">
      <x:c r="A603" s="34" t="n">
        <x:v>45565</x:v>
      </x:c>
      <x:c r="B603" s="28" t="str">
        <x:v>Grupo Industrial S.A.</x:v>
      </x:c>
      <x:c r="C603" s="28" t="str">
        <x:v>Planta São Paulo</x:v>
      </x:c>
      <x:c r="D603" s="28" t="str">
        <x:v>Linha 2 - Montagem</x:v>
      </x:c>
      <x:c r="E603" s="28" t="str">
        <x:v>EQ-2-02</x:v>
      </x:c>
      <x:c r="F603" s="28" t="str">
        <x:v>Operacional</x:v>
      </x:c>
      <x:c r="G603" s="32" t="n">
        <x:v>7.83</x:v>
      </x:c>
      <x:c r="H603" s="28" t="str">
        <x:v>Setup</x:v>
      </x:c>
      <x:c r="I603" s="28" t="str">
        <x:v>Não</x:v>
      </x:c>
    </x:row>
    <x:row r="604">
      <x:c r="A604" s="34" t="n">
        <x:v>45565</x:v>
      </x:c>
      <x:c r="B604" s="28" t="str">
        <x:v>Grupo Industrial S.A.</x:v>
      </x:c>
      <x:c r="C604" s="28" t="str">
        <x:v>Planta Campinas</x:v>
      </x:c>
      <x:c r="D604" s="28" t="str">
        <x:v>Linha 3 - Extrusão</x:v>
      </x:c>
      <x:c r="E604" s="28" t="str">
        <x:v>EQ-3-01</x:v>
      </x:c>
      <x:c r="F604" s="28" t="str">
        <x:v>Corretiva</x:v>
      </x:c>
      <x:c r="G604" s="32" t="n">
        <x:v>8.97</x:v>
      </x:c>
      <x:c r="H604" s="28" t="str">
        <x:v>Quebras</x:v>
      </x:c>
      <x:c r="I604" s="28" t="str">
        <x:v>Sim</x:v>
      </x:c>
    </x:row>
    <x:row r="605">
      <x:c r="A605" s="34" t="n">
        <x:v>45565</x:v>
      </x:c>
      <x:c r="B605" s="28" t="str">
        <x:v>Grupo Industrial S.A.</x:v>
      </x:c>
      <x:c r="C605" s="28" t="str">
        <x:v>Planta Campinas</x:v>
      </x:c>
      <x:c r="D605" s="28" t="str">
        <x:v>Linha 3 - Extrusão</x:v>
      </x:c>
      <x:c r="E605" s="28" t="str">
        <x:v>EQ-3-02</x:v>
      </x:c>
      <x:c r="F605" s="28" t="str">
        <x:v>Operacional</x:v>
      </x:c>
      <x:c r="G605" s="32" t="n">
        <x:v>7.6</x:v>
      </x:c>
      <x:c r="H605" s="28" t="str">
        <x:v>Falta de material</x:v>
      </x:c>
      <x:c r="I605" s="28" t="str">
        <x:v>Sim</x:v>
      </x:c>
    </x:row>
    <x:row r="606">
      <x:c r="A606" s="34" t="n">
        <x:v>45565</x:v>
      </x:c>
      <x:c r="B606" s="28" t="str">
        <x:v>Grupo Industrial S.A.</x:v>
      </x:c>
      <x:c r="C606" s="28" t="str">
        <x:v>Planta Campinas</x:v>
      </x:c>
      <x:c r="D606" s="28" t="str">
        <x:v>Linha 3 - Extrusão</x:v>
      </x:c>
      <x:c r="E606" s="28" t="str">
        <x:v>EQ-3-03</x:v>
      </x:c>
      <x:c r="F606" s="28" t="str">
        <x:v>Operacional</x:v>
      </x:c>
      <x:c r="G606" s="32" t="n">
        <x:v>7.62</x:v>
      </x:c>
      <x:c r="H606" s="28" t="str">
        <x:v>Falta de material</x:v>
      </x:c>
      <x:c r="I606" s="28" t="str">
        <x:v>Sim</x:v>
      </x:c>
    </x:row>
    <x:row r="607">
      <x:c r="A607" s="34" t="n">
        <x:v>45565</x:v>
      </x:c>
      <x:c r="B607" s="28" t="str">
        <x:v>Grupo Industrial S.A.</x:v>
      </x:c>
      <x:c r="C607" s="28" t="str">
        <x:v>Planta Campinas</x:v>
      </x:c>
      <x:c r="D607" s="28" t="str">
        <x:v>Linha 4 - Embalagem</x:v>
      </x:c>
      <x:c r="E607" s="28" t="str">
        <x:v>EQ-4-01</x:v>
      </x:c>
      <x:c r="F607" s="28" t="str">
        <x:v>Operacional</x:v>
      </x:c>
      <x:c r="G607" s="32" t="n">
        <x:v>10.44</x:v>
      </x:c>
      <x:c r="H607" s="28" t="str">
        <x:v>Falta de material</x:v>
      </x:c>
      <x:c r="I607" s="28" t="str">
        <x:v>Sim</x:v>
      </x:c>
    </x:row>
    <x:row r="608">
      <x:c r="A608" s="34" t="n">
        <x:v>45565</x:v>
      </x:c>
      <x:c r="B608" s="28" t="str">
        <x:v>Grupo Industrial S.A.</x:v>
      </x:c>
      <x:c r="C608" s="28" t="str">
        <x:v>Planta Campinas</x:v>
      </x:c>
      <x:c r="D608" s="28" t="str">
        <x:v>Linha 4 - Embalagem</x:v>
      </x:c>
      <x:c r="E608" s="28" t="str">
        <x:v>EQ-4-02</x:v>
      </x:c>
      <x:c r="F608" s="28" t="str">
        <x:v>Corretiva</x:v>
      </x:c>
      <x:c r="G608" s="32" t="n">
        <x:v>4.25</x:v>
      </x:c>
      <x:c r="H608" s="28" t="str">
        <x:v>Ajustes</x:v>
      </x:c>
      <x:c r="I608" s="28" t="str">
        <x:v>Não</x:v>
      </x:c>
    </x:row>
    <x:row r="609">
      <x:c r="A609" s="34" t="n">
        <x:v>45565</x:v>
      </x:c>
      <x:c r="B609" s="28" t="str">
        <x:v>Grupo Industrial S.A.</x:v>
      </x:c>
      <x:c r="C609" s="28" t="str">
        <x:v>Planta Campinas</x:v>
      </x:c>
      <x:c r="D609" s="28" t="str">
        <x:v>Linha 4 - Embalagem</x:v>
      </x:c>
      <x:c r="E609" s="28" t="str">
        <x:v>EQ-4-03</x:v>
      </x:c>
      <x:c r="F609" s="28" t="str">
        <x:v>Operacional</x:v>
      </x:c>
      <x:c r="G609" s="32" t="n">
        <x:v>9.19</x:v>
      </x:c>
      <x:c r="H609" s="28" t="str">
        <x:v>Falta de material</x:v>
      </x:c>
      <x:c r="I609" s="28" t="str">
        <x:v>Sim</x:v>
      </x:c>
    </x:row>
    <x:row r="610">
      <x:c r="A610" s="34" t="n">
        <x:v>45565</x:v>
      </x:c>
      <x:c r="B610" s="28" t="str">
        <x:v>Grupo Industrial S.A.</x:v>
      </x:c>
      <x:c r="C610" s="28" t="str">
        <x:v>Planta Curitiba</x:v>
      </x:c>
      <x:c r="D610" s="28" t="str">
        <x:v>Linha 5 - Usinagem</x:v>
      </x:c>
      <x:c r="E610" s="28" t="str">
        <x:v>EQ-5-01</x:v>
      </x:c>
      <x:c r="F610" s="28" t="str">
        <x:v>Corretiva</x:v>
      </x:c>
      <x:c r="G610" s="32" t="n">
        <x:v>9.49</x:v>
      </x:c>
      <x:c r="H610" s="28" t="str">
        <x:v>Microparadas</x:v>
      </x:c>
      <x:c r="I610" s="28" t="str">
        <x:v>Não</x:v>
      </x:c>
    </x:row>
    <x:row r="611">
      <x:c r="A611" s="34" t="n">
        <x:v>45565</x:v>
      </x:c>
      <x:c r="B611" s="28" t="str">
        <x:v>Grupo Industrial S.A.</x:v>
      </x:c>
      <x:c r="C611" s="28" t="str">
        <x:v>Planta Curitiba</x:v>
      </x:c>
      <x:c r="D611" s="28" t="str">
        <x:v>Linha 5 - Usinagem</x:v>
      </x:c>
      <x:c r="E611" s="28" t="str">
        <x:v>EQ-5-02</x:v>
      </x:c>
      <x:c r="F611" s="28" t="str">
        <x:v>Operacional</x:v>
      </x:c>
      <x:c r="G611" s="32" t="n">
        <x:v>4.87</x:v>
      </x:c>
      <x:c r="H611" s="28" t="str">
        <x:v>Troca de ferramenta</x:v>
      </x:c>
      <x:c r="I611" s="28" t="str">
        <x:v>Não</x:v>
      </x:c>
    </x:row>
    <x:row r="612">
      <x:c r="A612" s="34" t="n">
        <x:v>45565</x:v>
      </x:c>
      <x:c r="B612" s="28" t="str">
        <x:v>Grupo Industrial S.A.</x:v>
      </x:c>
      <x:c r="C612" s="28" t="str">
        <x:v>Planta Curitiba</x:v>
      </x:c>
      <x:c r="D612" s="28" t="str">
        <x:v>Linha 5 - Usinagem</x:v>
      </x:c>
      <x:c r="E612" s="28" t="str">
        <x:v>EQ-5-03</x:v>
      </x:c>
      <x:c r="F612" s="28" t="str">
        <x:v>Operacional</x:v>
      </x:c>
      <x:c r="G612" s="32" t="n">
        <x:v>5.26</x:v>
      </x:c>
      <x:c r="H612" s="28" t="str">
        <x:v>Troca de ferramenta</x:v>
      </x:c>
      <x:c r="I612" s="28" t="str">
        <x:v>Não</x:v>
      </x:c>
    </x:row>
    <x:row r="613">
      <x:c r="A613" s="34" t="n">
        <x:v>45565</x:v>
      </x:c>
      <x:c r="B613" s="28" t="str">
        <x:v>Grupo Industrial S.A.</x:v>
      </x:c>
      <x:c r="C613" s="28" t="str">
        <x:v>Planta Curitiba</x:v>
      </x:c>
      <x:c r="D613" s="28" t="str">
        <x:v>Linha 6 - Finalização</x:v>
      </x:c>
      <x:c r="E613" s="28" t="str">
        <x:v>EQ-6-01</x:v>
      </x:c>
      <x:c r="F613" s="28" t="str">
        <x:v>Operacional</x:v>
      </x:c>
      <x:c r="G613" s="32" t="n">
        <x:v>8.32</x:v>
      </x:c>
      <x:c r="H613" s="28" t="str">
        <x:v>Troca de ferramenta</x:v>
      </x:c>
      <x:c r="I613" s="28" t="str">
        <x:v>Não</x:v>
      </x:c>
    </x:row>
    <x:row r="614">
      <x:c r="A614" s="34" t="n">
        <x:v>45565</x:v>
      </x:c>
      <x:c r="B614" s="28" t="str">
        <x:v>Grupo Industrial S.A.</x:v>
      </x:c>
      <x:c r="C614" s="28" t="str">
        <x:v>Planta Curitiba</x:v>
      </x:c>
      <x:c r="D614" s="28" t="str">
        <x:v>Linha 6 - Finalização</x:v>
      </x:c>
      <x:c r="E614" s="28" t="str">
        <x:v>EQ-6-02</x:v>
      </x:c>
      <x:c r="F614" s="28" t="str">
        <x:v>Corretiva</x:v>
      </x:c>
      <x:c r="G614" s="32" t="n">
        <x:v>8.07</x:v>
      </x:c>
      <x:c r="H614" s="28" t="str">
        <x:v>Microparadas</x:v>
      </x:c>
      <x:c r="I614" s="28" t="str">
        <x:v>Não</x:v>
      </x:c>
    </x:row>
    <x:row r="615">
      <x:c r="A615" s="34" t="n">
        <x:v>45572</x:v>
      </x:c>
      <x:c r="B615" s="28" t="str">
        <x:v>Grupo Industrial S.A.</x:v>
      </x:c>
      <x:c r="C615" s="28" t="str">
        <x:v>Planta São Paulo</x:v>
      </x:c>
      <x:c r="D615" s="28" t="str">
        <x:v>Linha 1 - Corte</x:v>
      </x:c>
      <x:c r="E615" s="28" t="str">
        <x:v>EQ-1-01</x:v>
      </x:c>
      <x:c r="F615" s="28" t="str">
        <x:v>Corretiva</x:v>
      </x:c>
      <x:c r="G615" s="32" t="n">
        <x:v>7.47</x:v>
      </x:c>
      <x:c r="H615" s="28" t="str">
        <x:v>Quebras</x:v>
      </x:c>
      <x:c r="I615" s="28" t="str">
        <x:v>Sim</x:v>
      </x:c>
    </x:row>
    <x:row r="616">
      <x:c r="A616" s="34" t="n">
        <x:v>45572</x:v>
      </x:c>
      <x:c r="B616" s="28" t="str">
        <x:v>Grupo Industrial S.A.</x:v>
      </x:c>
      <x:c r="C616" s="28" t="str">
        <x:v>Planta São Paulo</x:v>
      </x:c>
      <x:c r="D616" s="28" t="str">
        <x:v>Linha 1 - Corte</x:v>
      </x:c>
      <x:c r="E616" s="28" t="str">
        <x:v>EQ-1-02</x:v>
      </x:c>
      <x:c r="F616" s="28" t="str">
        <x:v>Operacional</x:v>
      </x:c>
      <x:c r="G616" s="32" t="n">
        <x:v>8.76</x:v>
      </x:c>
      <x:c r="H616" s="28" t="str">
        <x:v>Setup</x:v>
      </x:c>
      <x:c r="I616" s="28" t="str">
        <x:v>Não</x:v>
      </x:c>
    </x:row>
    <x:row r="617">
      <x:c r="A617" s="34" t="n">
        <x:v>45572</x:v>
      </x:c>
      <x:c r="B617" s="28" t="str">
        <x:v>Grupo Industrial S.A.</x:v>
      </x:c>
      <x:c r="C617" s="28" t="str">
        <x:v>Planta São Paulo</x:v>
      </x:c>
      <x:c r="D617" s="28" t="str">
        <x:v>Linha 2 - Montagem</x:v>
      </x:c>
      <x:c r="E617" s="28" t="str">
        <x:v>EQ-2-01</x:v>
      </x:c>
      <x:c r="F617" s="28" t="str">
        <x:v>Corretiva</x:v>
      </x:c>
      <x:c r="G617" s="32" t="n">
        <x:v>4.66</x:v>
      </x:c>
      <x:c r="H617" s="28" t="str">
        <x:v>Microparadas</x:v>
      </x:c>
      <x:c r="I617" s="28" t="str">
        <x:v>Não</x:v>
      </x:c>
    </x:row>
    <x:row r="618">
      <x:c r="A618" s="34" t="n">
        <x:v>45572</x:v>
      </x:c>
      <x:c r="B618" s="28" t="str">
        <x:v>Grupo Industrial S.A.</x:v>
      </x:c>
      <x:c r="C618" s="28" t="str">
        <x:v>Planta São Paulo</x:v>
      </x:c>
      <x:c r="D618" s="28" t="str">
        <x:v>Linha 2 - Montagem</x:v>
      </x:c>
      <x:c r="E618" s="28" t="str">
        <x:v>EQ-2-02</x:v>
      </x:c>
      <x:c r="F618" s="28" t="str">
        <x:v>Corretiva</x:v>
      </x:c>
      <x:c r="G618" s="32" t="n">
        <x:v>7.65</x:v>
      </x:c>
      <x:c r="H618" s="28" t="str">
        <x:v>Microparadas</x:v>
      </x:c>
      <x:c r="I618" s="28" t="str">
        <x:v>Não</x:v>
      </x:c>
    </x:row>
    <x:row r="619">
      <x:c r="A619" s="34" t="n">
        <x:v>45572</x:v>
      </x:c>
      <x:c r="B619" s="28" t="str">
        <x:v>Grupo Industrial S.A.</x:v>
      </x:c>
      <x:c r="C619" s="28" t="str">
        <x:v>Planta Campinas</x:v>
      </x:c>
      <x:c r="D619" s="28" t="str">
        <x:v>Linha 3 - Extrusão</x:v>
      </x:c>
      <x:c r="E619" s="28" t="str">
        <x:v>EQ-3-01</x:v>
      </x:c>
      <x:c r="F619" s="28" t="str">
        <x:v>Corretiva</x:v>
      </x:c>
      <x:c r="G619" s="32" t="n">
        <x:v>9.61</x:v>
      </x:c>
      <x:c r="H619" s="28" t="str">
        <x:v>Quebras</x:v>
      </x:c>
      <x:c r="I619" s="28" t="str">
        <x:v>Sim</x:v>
      </x:c>
    </x:row>
    <x:row r="620">
      <x:c r="A620" s="34" t="n">
        <x:v>45572</x:v>
      </x:c>
      <x:c r="B620" s="28" t="str">
        <x:v>Grupo Industrial S.A.</x:v>
      </x:c>
      <x:c r="C620" s="28" t="str">
        <x:v>Planta Campinas</x:v>
      </x:c>
      <x:c r="D620" s="28" t="str">
        <x:v>Linha 3 - Extrusão</x:v>
      </x:c>
      <x:c r="E620" s="28" t="str">
        <x:v>EQ-3-02</x:v>
      </x:c>
      <x:c r="F620" s="28" t="str">
        <x:v>Operacional</x:v>
      </x:c>
      <x:c r="G620" s="32" t="n">
        <x:v>3.42</x:v>
      </x:c>
      <x:c r="H620" s="28" t="str">
        <x:v>Setup</x:v>
      </x:c>
      <x:c r="I620" s="28" t="str">
        <x:v>Não</x:v>
      </x:c>
    </x:row>
    <x:row r="621">
      <x:c r="A621" s="34" t="n">
        <x:v>45572</x:v>
      </x:c>
      <x:c r="B621" s="28" t="str">
        <x:v>Grupo Industrial S.A.</x:v>
      </x:c>
      <x:c r="C621" s="28" t="str">
        <x:v>Planta Campinas</x:v>
      </x:c>
      <x:c r="D621" s="28" t="str">
        <x:v>Linha 3 - Extrusão</x:v>
      </x:c>
      <x:c r="E621" s="28" t="str">
        <x:v>EQ-3-03</x:v>
      </x:c>
      <x:c r="F621" s="28" t="str">
        <x:v>Operacional</x:v>
      </x:c>
      <x:c r="G621" s="32" t="n">
        <x:v>8.57</x:v>
      </x:c>
      <x:c r="H621" s="28" t="str">
        <x:v>Setup</x:v>
      </x:c>
      <x:c r="I621" s="28" t="str">
        <x:v>Não</x:v>
      </x:c>
    </x:row>
    <x:row r="622">
      <x:c r="A622" s="34" t="n">
        <x:v>45572</x:v>
      </x:c>
      <x:c r="B622" s="28" t="str">
        <x:v>Grupo Industrial S.A.</x:v>
      </x:c>
      <x:c r="C622" s="28" t="str">
        <x:v>Planta Campinas</x:v>
      </x:c>
      <x:c r="D622" s="28" t="str">
        <x:v>Linha 4 - Embalagem</x:v>
      </x:c>
      <x:c r="E622" s="28" t="str">
        <x:v>EQ-4-01</x:v>
      </x:c>
      <x:c r="F622" s="28" t="str">
        <x:v>Operacional</x:v>
      </x:c>
      <x:c r="G622" s="32" t="n">
        <x:v>11.66</x:v>
      </x:c>
      <x:c r="H622" s="28" t="str">
        <x:v>Setup</x:v>
      </x:c>
      <x:c r="I622" s="28" t="str">
        <x:v>Não</x:v>
      </x:c>
    </x:row>
    <x:row r="623">
      <x:c r="A623" s="34" t="n">
        <x:v>45572</x:v>
      </x:c>
      <x:c r="B623" s="28" t="str">
        <x:v>Grupo Industrial S.A.</x:v>
      </x:c>
      <x:c r="C623" s="28" t="str">
        <x:v>Planta Campinas</x:v>
      </x:c>
      <x:c r="D623" s="28" t="str">
        <x:v>Linha 4 - Embalagem</x:v>
      </x:c>
      <x:c r="E623" s="28" t="str">
        <x:v>EQ-4-02</x:v>
      </x:c>
      <x:c r="F623" s="28" t="str">
        <x:v>Operacional</x:v>
      </x:c>
      <x:c r="G623" s="32" t="n">
        <x:v>5.25</x:v>
      </x:c>
      <x:c r="H623" s="28" t="str">
        <x:v>Falta de material</x:v>
      </x:c>
      <x:c r="I623" s="28" t="str">
        <x:v>Sim</x:v>
      </x:c>
    </x:row>
    <x:row r="624">
      <x:c r="A624" s="34" t="n">
        <x:v>45572</x:v>
      </x:c>
      <x:c r="B624" s="28" t="str">
        <x:v>Grupo Industrial S.A.</x:v>
      </x:c>
      <x:c r="C624" s="28" t="str">
        <x:v>Planta Campinas</x:v>
      </x:c>
      <x:c r="D624" s="28" t="str">
        <x:v>Linha 4 - Embalagem</x:v>
      </x:c>
      <x:c r="E624" s="28" t="str">
        <x:v>EQ-4-03</x:v>
      </x:c>
      <x:c r="F624" s="28" t="str">
        <x:v>Corretiva</x:v>
      </x:c>
      <x:c r="G624" s="32" t="n">
        <x:v>5.65</x:v>
      </x:c>
      <x:c r="H624" s="28" t="str">
        <x:v>Quebras</x:v>
      </x:c>
      <x:c r="I624" s="28" t="str">
        <x:v>Sim</x:v>
      </x:c>
    </x:row>
    <x:row r="625">
      <x:c r="A625" s="34" t="n">
        <x:v>45572</x:v>
      </x:c>
      <x:c r="B625" s="28" t="str">
        <x:v>Grupo Industrial S.A.</x:v>
      </x:c>
      <x:c r="C625" s="28" t="str">
        <x:v>Planta Curitiba</x:v>
      </x:c>
      <x:c r="D625" s="28" t="str">
        <x:v>Linha 5 - Usinagem</x:v>
      </x:c>
      <x:c r="E625" s="28" t="str">
        <x:v>EQ-5-01</x:v>
      </x:c>
      <x:c r="F625" s="28" t="str">
        <x:v>Operacional</x:v>
      </x:c>
      <x:c r="G625" s="32" t="n">
        <x:v>9.62</x:v>
      </x:c>
      <x:c r="H625" s="28" t="str">
        <x:v>Troca de ferramenta</x:v>
      </x:c>
      <x:c r="I625" s="28" t="str">
        <x:v>Não</x:v>
      </x:c>
    </x:row>
    <x:row r="626">
      <x:c r="A626" s="34" t="n">
        <x:v>45572</x:v>
      </x:c>
      <x:c r="B626" s="28" t="str">
        <x:v>Grupo Industrial S.A.</x:v>
      </x:c>
      <x:c r="C626" s="28" t="str">
        <x:v>Planta Curitiba</x:v>
      </x:c>
      <x:c r="D626" s="28" t="str">
        <x:v>Linha 5 - Usinagem</x:v>
      </x:c>
      <x:c r="E626" s="28" t="str">
        <x:v>EQ-5-02</x:v>
      </x:c>
      <x:c r="F626" s="28" t="str">
        <x:v>Corretiva</x:v>
      </x:c>
      <x:c r="G626" s="32" t="n">
        <x:v>4.67</x:v>
      </x:c>
      <x:c r="H626" s="28" t="str">
        <x:v>Microparadas</x:v>
      </x:c>
      <x:c r="I626" s="28" t="str">
        <x:v>Não</x:v>
      </x:c>
    </x:row>
    <x:row r="627">
      <x:c r="A627" s="34" t="n">
        <x:v>45572</x:v>
      </x:c>
      <x:c r="B627" s="28" t="str">
        <x:v>Grupo Industrial S.A.</x:v>
      </x:c>
      <x:c r="C627" s="28" t="str">
        <x:v>Planta Curitiba</x:v>
      </x:c>
      <x:c r="D627" s="28" t="str">
        <x:v>Linha 5 - Usinagem</x:v>
      </x:c>
      <x:c r="E627" s="28" t="str">
        <x:v>EQ-5-03</x:v>
      </x:c>
      <x:c r="F627" s="28" t="str">
        <x:v>Operacional</x:v>
      </x:c>
      <x:c r="G627" s="32" t="n">
        <x:v>5.53</x:v>
      </x:c>
      <x:c r="H627" s="28" t="str">
        <x:v>Troca de ferramenta</x:v>
      </x:c>
      <x:c r="I627" s="28" t="str">
        <x:v>Não</x:v>
      </x:c>
    </x:row>
    <x:row r="628">
      <x:c r="A628" s="34" t="n">
        <x:v>45572</x:v>
      </x:c>
      <x:c r="B628" s="28" t="str">
        <x:v>Grupo Industrial S.A.</x:v>
      </x:c>
      <x:c r="C628" s="28" t="str">
        <x:v>Planta Curitiba</x:v>
      </x:c>
      <x:c r="D628" s="28" t="str">
        <x:v>Linha 6 - Finalização</x:v>
      </x:c>
      <x:c r="E628" s="28" t="str">
        <x:v>EQ-6-01</x:v>
      </x:c>
      <x:c r="F628" s="28" t="str">
        <x:v>Corretiva</x:v>
      </x:c>
      <x:c r="G628" s="32" t="n">
        <x:v>6.58</x:v>
      </x:c>
      <x:c r="H628" s="28" t="str">
        <x:v>Microparadas</x:v>
      </x:c>
      <x:c r="I628" s="28" t="str">
        <x:v>Não</x:v>
      </x:c>
    </x:row>
    <x:row r="629">
      <x:c r="A629" s="34" t="n">
        <x:v>45572</x:v>
      </x:c>
      <x:c r="B629" s="28" t="str">
        <x:v>Grupo Industrial S.A.</x:v>
      </x:c>
      <x:c r="C629" s="28" t="str">
        <x:v>Planta Curitiba</x:v>
      </x:c>
      <x:c r="D629" s="28" t="str">
        <x:v>Linha 6 - Finalização</x:v>
      </x:c>
      <x:c r="E629" s="28" t="str">
        <x:v>EQ-6-02</x:v>
      </x:c>
      <x:c r="F629" s="28" t="str">
        <x:v>Corretiva</x:v>
      </x:c>
      <x:c r="G629" s="32" t="n">
        <x:v>11.02</x:v>
      </x:c>
      <x:c r="H629" s="28" t="str">
        <x:v>Microparadas</x:v>
      </x:c>
      <x:c r="I629" s="28" t="str">
        <x:v>Não</x:v>
      </x:c>
    </x:row>
    <x:row r="630">
      <x:c r="A630" s="34" t="n">
        <x:v>45579</x:v>
      </x:c>
      <x:c r="B630" s="28" t="str">
        <x:v>Grupo Industrial S.A.</x:v>
      </x:c>
      <x:c r="C630" s="28" t="str">
        <x:v>Planta São Paulo</x:v>
      </x:c>
      <x:c r="D630" s="28" t="str">
        <x:v>Linha 1 - Corte</x:v>
      </x:c>
      <x:c r="E630" s="28" t="str">
        <x:v>EQ-1-01</x:v>
      </x:c>
      <x:c r="F630" s="28" t="str">
        <x:v>Corretiva</x:v>
      </x:c>
      <x:c r="G630" s="32" t="n">
        <x:v>4.55</x:v>
      </x:c>
      <x:c r="H630" s="28" t="str">
        <x:v>Quebras</x:v>
      </x:c>
      <x:c r="I630" s="28" t="str">
        <x:v>Sim</x:v>
      </x:c>
    </x:row>
    <x:row r="631">
      <x:c r="A631" s="34" t="n">
        <x:v>45579</x:v>
      </x:c>
      <x:c r="B631" s="28" t="str">
        <x:v>Grupo Industrial S.A.</x:v>
      </x:c>
      <x:c r="C631" s="28" t="str">
        <x:v>Planta São Paulo</x:v>
      </x:c>
      <x:c r="D631" s="28" t="str">
        <x:v>Linha 1 - Corte</x:v>
      </x:c>
      <x:c r="E631" s="28" t="str">
        <x:v>EQ-1-02</x:v>
      </x:c>
      <x:c r="F631" s="28" t="str">
        <x:v>Corretiva</x:v>
      </x:c>
      <x:c r="G631" s="32" t="n">
        <x:v>10.82</x:v>
      </x:c>
      <x:c r="H631" s="28" t="str">
        <x:v>Elétrica</x:v>
      </x:c>
      <x:c r="I631" s="28" t="str">
        <x:v>Sim</x:v>
      </x:c>
    </x:row>
    <x:row r="632">
      <x:c r="A632" s="34" t="n">
        <x:v>45579</x:v>
      </x:c>
      <x:c r="B632" s="28" t="str">
        <x:v>Grupo Industrial S.A.</x:v>
      </x:c>
      <x:c r="C632" s="28" t="str">
        <x:v>Planta São Paulo</x:v>
      </x:c>
      <x:c r="D632" s="28" t="str">
        <x:v>Linha 2 - Montagem</x:v>
      </x:c>
      <x:c r="E632" s="28" t="str">
        <x:v>EQ-2-01</x:v>
      </x:c>
      <x:c r="F632" s="28" t="str">
        <x:v>Corretiva</x:v>
      </x:c>
      <x:c r="G632" s="32" t="n">
        <x:v>8.8</x:v>
      </x:c>
      <x:c r="H632" s="28" t="str">
        <x:v>Elétrica</x:v>
      </x:c>
      <x:c r="I632" s="28" t="str">
        <x:v>Sim</x:v>
      </x:c>
    </x:row>
    <x:row r="633">
      <x:c r="A633" s="34" t="n">
        <x:v>45579</x:v>
      </x:c>
      <x:c r="B633" s="28" t="str">
        <x:v>Grupo Industrial S.A.</x:v>
      </x:c>
      <x:c r="C633" s="28" t="str">
        <x:v>Planta São Paulo</x:v>
      </x:c>
      <x:c r="D633" s="28" t="str">
        <x:v>Linha 2 - Montagem</x:v>
      </x:c>
      <x:c r="E633" s="28" t="str">
        <x:v>EQ-2-02</x:v>
      </x:c>
      <x:c r="F633" s="28" t="str">
        <x:v>Corretiva</x:v>
      </x:c>
      <x:c r="G633" s="32" t="n">
        <x:v>8.29</x:v>
      </x:c>
      <x:c r="H633" s="28" t="str">
        <x:v>Quebras</x:v>
      </x:c>
      <x:c r="I633" s="28" t="str">
        <x:v>Sim</x:v>
      </x:c>
    </x:row>
    <x:row r="634">
      <x:c r="A634" s="34" t="n">
        <x:v>45579</x:v>
      </x:c>
      <x:c r="B634" s="28" t="str">
        <x:v>Grupo Industrial S.A.</x:v>
      </x:c>
      <x:c r="C634" s="28" t="str">
        <x:v>Planta Campinas</x:v>
      </x:c>
      <x:c r="D634" s="28" t="str">
        <x:v>Linha 3 - Extrusão</x:v>
      </x:c>
      <x:c r="E634" s="28" t="str">
        <x:v>EQ-3-01</x:v>
      </x:c>
      <x:c r="F634" s="28" t="str">
        <x:v>Corretiva</x:v>
      </x:c>
      <x:c r="G634" s="32" t="n">
        <x:v>9.43</x:v>
      </x:c>
      <x:c r="H634" s="28" t="str">
        <x:v>Ajustes</x:v>
      </x:c>
      <x:c r="I634" s="28" t="str">
        <x:v>Não</x:v>
      </x:c>
    </x:row>
    <x:row r="635">
      <x:c r="A635" s="34" t="n">
        <x:v>45579</x:v>
      </x:c>
      <x:c r="B635" s="28" t="str">
        <x:v>Grupo Industrial S.A.</x:v>
      </x:c>
      <x:c r="C635" s="28" t="str">
        <x:v>Planta Campinas</x:v>
      </x:c>
      <x:c r="D635" s="28" t="str">
        <x:v>Linha 3 - Extrusão</x:v>
      </x:c>
      <x:c r="E635" s="28" t="str">
        <x:v>EQ-3-02</x:v>
      </x:c>
      <x:c r="F635" s="28" t="str">
        <x:v>Corretiva</x:v>
      </x:c>
      <x:c r="G635" s="32" t="n">
        <x:v>7.48</x:v>
      </x:c>
      <x:c r="H635" s="28" t="str">
        <x:v>Quebras</x:v>
      </x:c>
      <x:c r="I635" s="28" t="str">
        <x:v>Sim</x:v>
      </x:c>
    </x:row>
    <x:row r="636">
      <x:c r="A636" s="34" t="n">
        <x:v>45579</x:v>
      </x:c>
      <x:c r="B636" s="28" t="str">
        <x:v>Grupo Industrial S.A.</x:v>
      </x:c>
      <x:c r="C636" s="28" t="str">
        <x:v>Planta Campinas</x:v>
      </x:c>
      <x:c r="D636" s="28" t="str">
        <x:v>Linha 3 - Extrusão</x:v>
      </x:c>
      <x:c r="E636" s="28" t="str">
        <x:v>EQ-3-03</x:v>
      </x:c>
      <x:c r="F636" s="28" t="str">
        <x:v>Operacional</x:v>
      </x:c>
      <x:c r="G636" s="32" t="n">
        <x:v>8.55</x:v>
      </x:c>
      <x:c r="H636" s="28" t="str">
        <x:v>Setup</x:v>
      </x:c>
      <x:c r="I636" s="28" t="str">
        <x:v>Não</x:v>
      </x:c>
    </x:row>
    <x:row r="637">
      <x:c r="A637" s="34" t="n">
        <x:v>45579</x:v>
      </x:c>
      <x:c r="B637" s="28" t="str">
        <x:v>Grupo Industrial S.A.</x:v>
      </x:c>
      <x:c r="C637" s="28" t="str">
        <x:v>Planta Campinas</x:v>
      </x:c>
      <x:c r="D637" s="28" t="str">
        <x:v>Linha 4 - Embalagem</x:v>
      </x:c>
      <x:c r="E637" s="28" t="str">
        <x:v>EQ-4-01</x:v>
      </x:c>
      <x:c r="F637" s="28" t="str">
        <x:v>Corretiva</x:v>
      </x:c>
      <x:c r="G637" s="32" t="n">
        <x:v>8.82</x:v>
      </x:c>
      <x:c r="H637" s="28" t="str">
        <x:v>Ajustes</x:v>
      </x:c>
      <x:c r="I637" s="28" t="str">
        <x:v>Não</x:v>
      </x:c>
    </x:row>
    <x:row r="638">
      <x:c r="A638" s="34" t="n">
        <x:v>45579</x:v>
      </x:c>
      <x:c r="B638" s="28" t="str">
        <x:v>Grupo Industrial S.A.</x:v>
      </x:c>
      <x:c r="C638" s="28" t="str">
        <x:v>Planta Campinas</x:v>
      </x:c>
      <x:c r="D638" s="28" t="str">
        <x:v>Linha 4 - Embalagem</x:v>
      </x:c>
      <x:c r="E638" s="28" t="str">
        <x:v>EQ-4-02</x:v>
      </x:c>
      <x:c r="F638" s="28" t="str">
        <x:v>Corretiva</x:v>
      </x:c>
      <x:c r="G638" s="32" t="n">
        <x:v>4.36</x:v>
      </x:c>
      <x:c r="H638" s="28" t="str">
        <x:v>Ajustes</x:v>
      </x:c>
      <x:c r="I638" s="28" t="str">
        <x:v>Não</x:v>
      </x:c>
    </x:row>
    <x:row r="639">
      <x:c r="A639" s="34" t="n">
        <x:v>45579</x:v>
      </x:c>
      <x:c r="B639" s="28" t="str">
        <x:v>Grupo Industrial S.A.</x:v>
      </x:c>
      <x:c r="C639" s="28" t="str">
        <x:v>Planta Campinas</x:v>
      </x:c>
      <x:c r="D639" s="28" t="str">
        <x:v>Linha 4 - Embalagem</x:v>
      </x:c>
      <x:c r="E639" s="28" t="str">
        <x:v>EQ-4-03</x:v>
      </x:c>
      <x:c r="F639" s="28" t="str">
        <x:v>Corretiva</x:v>
      </x:c>
      <x:c r="G639" s="32" t="n">
        <x:v>8.36</x:v>
      </x:c>
      <x:c r="H639" s="28" t="str">
        <x:v>Ajustes</x:v>
      </x:c>
      <x:c r="I639" s="28" t="str">
        <x:v>Não</x:v>
      </x:c>
    </x:row>
    <x:row r="640">
      <x:c r="A640" s="34" t="n">
        <x:v>45579</x:v>
      </x:c>
      <x:c r="B640" s="28" t="str">
        <x:v>Grupo Industrial S.A.</x:v>
      </x:c>
      <x:c r="C640" s="28" t="str">
        <x:v>Planta Curitiba</x:v>
      </x:c>
      <x:c r="D640" s="28" t="str">
        <x:v>Linha 5 - Usinagem</x:v>
      </x:c>
      <x:c r="E640" s="28" t="str">
        <x:v>EQ-5-01</x:v>
      </x:c>
      <x:c r="F640" s="28" t="str">
        <x:v>Corretiva</x:v>
      </x:c>
      <x:c r="G640" s="32" t="n">
        <x:v>8.72</x:v>
      </x:c>
      <x:c r="H640" s="28" t="str">
        <x:v>Quebras</x:v>
      </x:c>
      <x:c r="I640" s="28" t="str">
        <x:v>Sim</x:v>
      </x:c>
    </x:row>
    <x:row r="641">
      <x:c r="A641" s="34" t="n">
        <x:v>45579</x:v>
      </x:c>
      <x:c r="B641" s="28" t="str">
        <x:v>Grupo Industrial S.A.</x:v>
      </x:c>
      <x:c r="C641" s="28" t="str">
        <x:v>Planta Curitiba</x:v>
      </x:c>
      <x:c r="D641" s="28" t="str">
        <x:v>Linha 5 - Usinagem</x:v>
      </x:c>
      <x:c r="E641" s="28" t="str">
        <x:v>EQ-5-02</x:v>
      </x:c>
      <x:c r="F641" s="28" t="str">
        <x:v>Corretiva</x:v>
      </x:c>
      <x:c r="G641" s="32" t="n">
        <x:v>8.24</x:v>
      </x:c>
      <x:c r="H641" s="28" t="str">
        <x:v>Quebras</x:v>
      </x:c>
      <x:c r="I641" s="28" t="str">
        <x:v>Sim</x:v>
      </x:c>
    </x:row>
    <x:row r="642">
      <x:c r="A642" s="34" t="n">
        <x:v>45579</x:v>
      </x:c>
      <x:c r="B642" s="28" t="str">
        <x:v>Grupo Industrial S.A.</x:v>
      </x:c>
      <x:c r="C642" s="28" t="str">
        <x:v>Planta Curitiba</x:v>
      </x:c>
      <x:c r="D642" s="28" t="str">
        <x:v>Linha 6 - Finalização</x:v>
      </x:c>
      <x:c r="E642" s="28" t="str">
        <x:v>EQ-6-01</x:v>
      </x:c>
      <x:c r="F642" s="28" t="str">
        <x:v>Operacional</x:v>
      </x:c>
      <x:c r="G642" s="32" t="n">
        <x:v>9.49</x:v>
      </x:c>
      <x:c r="H642" s="28" t="str">
        <x:v>Setup</x:v>
      </x:c>
      <x:c r="I642" s="28" t="str">
        <x:v>Não</x:v>
      </x:c>
    </x:row>
    <x:row r="643">
      <x:c r="A643" s="34" t="n">
        <x:v>45579</x:v>
      </x:c>
      <x:c r="B643" s="28" t="str">
        <x:v>Grupo Industrial S.A.</x:v>
      </x:c>
      <x:c r="C643" s="28" t="str">
        <x:v>Planta Curitiba</x:v>
      </x:c>
      <x:c r="D643" s="28" t="str">
        <x:v>Linha 6 - Finalização</x:v>
      </x:c>
      <x:c r="E643" s="28" t="str">
        <x:v>EQ-6-02</x:v>
      </x:c>
      <x:c r="F643" s="28" t="str">
        <x:v>Operacional</x:v>
      </x:c>
      <x:c r="G643" s="32" t="n">
        <x:v>5.55</x:v>
      </x:c>
      <x:c r="H643" s="28" t="str">
        <x:v>Troca de ferramenta</x:v>
      </x:c>
      <x:c r="I643" s="28" t="str">
        <x:v>Não</x:v>
      </x:c>
    </x:row>
    <x:row r="644">
      <x:c r="A644" s="34" t="n">
        <x:v>45579</x:v>
      </x:c>
      <x:c r="B644" s="28" t="str">
        <x:v>Grupo Industrial S.A.</x:v>
      </x:c>
      <x:c r="C644" s="28" t="str">
        <x:v>Planta Curitiba</x:v>
      </x:c>
      <x:c r="D644" s="28" t="str">
        <x:v>Linha 6 - Finalização</x:v>
      </x:c>
      <x:c r="E644" s="28" t="str">
        <x:v>EQ-6-03</x:v>
      </x:c>
      <x:c r="F644" s="28" t="str">
        <x:v>Operacional</x:v>
      </x:c>
      <x:c r="G644" s="32" t="n">
        <x:v>5.23</x:v>
      </x:c>
      <x:c r="H644" s="28" t="str">
        <x:v>Troca de ferramenta</x:v>
      </x:c>
      <x:c r="I644" s="28" t="str">
        <x:v>Não</x:v>
      </x:c>
    </x:row>
    <x:row r="645">
      <x:c r="A645" s="34" t="n">
        <x:v>45586</x:v>
      </x:c>
      <x:c r="B645" s="28" t="str">
        <x:v>Grupo Industrial S.A.</x:v>
      </x:c>
      <x:c r="C645" s="28" t="str">
        <x:v>Planta São Paulo</x:v>
      </x:c>
      <x:c r="D645" s="28" t="str">
        <x:v>Linha 1 - Corte</x:v>
      </x:c>
      <x:c r="E645" s="28" t="str">
        <x:v>EQ-1-01</x:v>
      </x:c>
      <x:c r="F645" s="28" t="str">
        <x:v>Corretiva</x:v>
      </x:c>
      <x:c r="G645" s="32" t="n">
        <x:v>4.42</x:v>
      </x:c>
      <x:c r="H645" s="28" t="str">
        <x:v>Elétrica</x:v>
      </x:c>
      <x:c r="I645" s="28" t="str">
        <x:v>Sim</x:v>
      </x:c>
    </x:row>
    <x:row r="646">
      <x:c r="A646" s="34" t="n">
        <x:v>45586</x:v>
      </x:c>
      <x:c r="B646" s="28" t="str">
        <x:v>Grupo Industrial S.A.</x:v>
      </x:c>
      <x:c r="C646" s="28" t="str">
        <x:v>Planta São Paulo</x:v>
      </x:c>
      <x:c r="D646" s="28" t="str">
        <x:v>Linha 1 - Corte</x:v>
      </x:c>
      <x:c r="E646" s="28" t="str">
        <x:v>EQ-1-02</x:v>
      </x:c>
      <x:c r="F646" s="28" t="str">
        <x:v>Corretiva</x:v>
      </x:c>
      <x:c r="G646" s="32" t="n">
        <x:v>8.4</x:v>
      </x:c>
      <x:c r="H646" s="28" t="str">
        <x:v>Elétrica</x:v>
      </x:c>
      <x:c r="I646" s="28" t="str">
        <x:v>Sim</x:v>
      </x:c>
    </x:row>
    <x:row r="647">
      <x:c r="A647" s="34" t="n">
        <x:v>45586</x:v>
      </x:c>
      <x:c r="B647" s="28" t="str">
        <x:v>Grupo Industrial S.A.</x:v>
      </x:c>
      <x:c r="C647" s="28" t="str">
        <x:v>Planta São Paulo</x:v>
      </x:c>
      <x:c r="D647" s="28" t="str">
        <x:v>Linha 2 - Montagem</x:v>
      </x:c>
      <x:c r="E647" s="28" t="str">
        <x:v>EQ-2-01</x:v>
      </x:c>
      <x:c r="F647" s="28" t="str">
        <x:v>Operacional</x:v>
      </x:c>
      <x:c r="G647" s="32" t="n">
        <x:v>6.78</x:v>
      </x:c>
      <x:c r="H647" s="28" t="str">
        <x:v>Setup</x:v>
      </x:c>
      <x:c r="I647" s="28" t="str">
        <x:v>Não</x:v>
      </x:c>
    </x:row>
    <x:row r="648">
      <x:c r="A648" s="34" t="n">
        <x:v>45586</x:v>
      </x:c>
      <x:c r="B648" s="28" t="str">
        <x:v>Grupo Industrial S.A.</x:v>
      </x:c>
      <x:c r="C648" s="28" t="str">
        <x:v>Planta São Paulo</x:v>
      </x:c>
      <x:c r="D648" s="28" t="str">
        <x:v>Linha 2 - Montagem</x:v>
      </x:c>
      <x:c r="E648" s="28" t="str">
        <x:v>EQ-2-02</x:v>
      </x:c>
      <x:c r="F648" s="28" t="str">
        <x:v>Corretiva</x:v>
      </x:c>
      <x:c r="G648" s="32" t="n">
        <x:v>7.81</x:v>
      </x:c>
      <x:c r="H648" s="28" t="str">
        <x:v>Quebras</x:v>
      </x:c>
      <x:c r="I648" s="28" t="str">
        <x:v>Sim</x:v>
      </x:c>
    </x:row>
    <x:row r="649">
      <x:c r="A649" s="34" t="n">
        <x:v>45586</x:v>
      </x:c>
      <x:c r="B649" s="28" t="str">
        <x:v>Grupo Industrial S.A.</x:v>
      </x:c>
      <x:c r="C649" s="28" t="str">
        <x:v>Planta Campinas</x:v>
      </x:c>
      <x:c r="D649" s="28" t="str">
        <x:v>Linha 3 - Extrusão</x:v>
      </x:c>
      <x:c r="E649" s="28" t="str">
        <x:v>EQ-3-01</x:v>
      </x:c>
      <x:c r="F649" s="28" t="str">
        <x:v>Corretiva</x:v>
      </x:c>
      <x:c r="G649" s="32" t="n">
        <x:v>7.61</x:v>
      </x:c>
      <x:c r="H649" s="28" t="str">
        <x:v>Ajustes</x:v>
      </x:c>
      <x:c r="I649" s="28" t="str">
        <x:v>Não</x:v>
      </x:c>
    </x:row>
    <x:row r="650">
      <x:c r="A650" s="34" t="n">
        <x:v>45586</x:v>
      </x:c>
      <x:c r="B650" s="28" t="str">
        <x:v>Grupo Industrial S.A.</x:v>
      </x:c>
      <x:c r="C650" s="28" t="str">
        <x:v>Planta Campinas</x:v>
      </x:c>
      <x:c r="D650" s="28" t="str">
        <x:v>Linha 3 - Extrusão</x:v>
      </x:c>
      <x:c r="E650" s="28" t="str">
        <x:v>EQ-3-02</x:v>
      </x:c>
      <x:c r="F650" s="28" t="str">
        <x:v>Operacional</x:v>
      </x:c>
      <x:c r="G650" s="32" t="n">
        <x:v>7.9</x:v>
      </x:c>
      <x:c r="H650" s="28" t="str">
        <x:v>Falta de material</x:v>
      </x:c>
      <x:c r="I650" s="28" t="str">
        <x:v>Sim</x:v>
      </x:c>
    </x:row>
    <x:row r="651">
      <x:c r="A651" s="34" t="n">
        <x:v>45586</x:v>
      </x:c>
      <x:c r="B651" s="28" t="str">
        <x:v>Grupo Industrial S.A.</x:v>
      </x:c>
      <x:c r="C651" s="28" t="str">
        <x:v>Planta Campinas</x:v>
      </x:c>
      <x:c r="D651" s="28" t="str">
        <x:v>Linha 3 - Extrusão</x:v>
      </x:c>
      <x:c r="E651" s="28" t="str">
        <x:v>EQ-3-03</x:v>
      </x:c>
      <x:c r="F651" s="28" t="str">
        <x:v>Corretiva</x:v>
      </x:c>
      <x:c r="G651" s="32" t="n">
        <x:v>9.9</x:v>
      </x:c>
      <x:c r="H651" s="28" t="str">
        <x:v>Quebras</x:v>
      </x:c>
      <x:c r="I651" s="28" t="str">
        <x:v>Sim</x:v>
      </x:c>
    </x:row>
    <x:row r="652">
      <x:c r="A652" s="34" t="n">
        <x:v>45586</x:v>
      </x:c>
      <x:c r="B652" s="28" t="str">
        <x:v>Grupo Industrial S.A.</x:v>
      </x:c>
      <x:c r="C652" s="28" t="str">
        <x:v>Planta Campinas</x:v>
      </x:c>
      <x:c r="D652" s="28" t="str">
        <x:v>Linha 4 - Embalagem</x:v>
      </x:c>
      <x:c r="E652" s="28" t="str">
        <x:v>EQ-4-01</x:v>
      </x:c>
      <x:c r="F652" s="28" t="str">
        <x:v>Corretiva</x:v>
      </x:c>
      <x:c r="G652" s="32" t="n">
        <x:v>8.89</x:v>
      </x:c>
      <x:c r="H652" s="28" t="str">
        <x:v>Ajustes</x:v>
      </x:c>
      <x:c r="I652" s="28" t="str">
        <x:v>Não</x:v>
      </x:c>
    </x:row>
    <x:row r="653">
      <x:c r="A653" s="34" t="n">
        <x:v>45586</x:v>
      </x:c>
      <x:c r="B653" s="28" t="str">
        <x:v>Grupo Industrial S.A.</x:v>
      </x:c>
      <x:c r="C653" s="28" t="str">
        <x:v>Planta Campinas</x:v>
      </x:c>
      <x:c r="D653" s="28" t="str">
        <x:v>Linha 4 - Embalagem</x:v>
      </x:c>
      <x:c r="E653" s="28" t="str">
        <x:v>EQ-4-02</x:v>
      </x:c>
      <x:c r="F653" s="28" t="str">
        <x:v>Operacional</x:v>
      </x:c>
      <x:c r="G653" s="32" t="n">
        <x:v>3.87</x:v>
      </x:c>
      <x:c r="H653" s="28" t="str">
        <x:v>Falta de material</x:v>
      </x:c>
      <x:c r="I653" s="28" t="str">
        <x:v>Sim</x:v>
      </x:c>
    </x:row>
    <x:row r="654">
      <x:c r="A654" s="34" t="n">
        <x:v>45586</x:v>
      </x:c>
      <x:c r="B654" s="28" t="str">
        <x:v>Grupo Industrial S.A.</x:v>
      </x:c>
      <x:c r="C654" s="28" t="str">
        <x:v>Planta Campinas</x:v>
      </x:c>
      <x:c r="D654" s="28" t="str">
        <x:v>Linha 4 - Embalagem</x:v>
      </x:c>
      <x:c r="E654" s="28" t="str">
        <x:v>EQ-4-03</x:v>
      </x:c>
      <x:c r="F654" s="28" t="str">
        <x:v>Corretiva</x:v>
      </x:c>
      <x:c r="G654" s="32" t="n">
        <x:v>7.87</x:v>
      </x:c>
      <x:c r="H654" s="28" t="str">
        <x:v>Quebras</x:v>
      </x:c>
      <x:c r="I654" s="28" t="str">
        <x:v>Sim</x:v>
      </x:c>
    </x:row>
    <x:row r="655">
      <x:c r="A655" s="34" t="n">
        <x:v>45586</x:v>
      </x:c>
      <x:c r="B655" s="28" t="str">
        <x:v>Grupo Industrial S.A.</x:v>
      </x:c>
      <x:c r="C655" s="28" t="str">
        <x:v>Planta Curitiba</x:v>
      </x:c>
      <x:c r="D655" s="28" t="str">
        <x:v>Linha 5 - Usinagem</x:v>
      </x:c>
      <x:c r="E655" s="28" t="str">
        <x:v>EQ-5-01</x:v>
      </x:c>
      <x:c r="F655" s="28" t="str">
        <x:v>Corretiva</x:v>
      </x:c>
      <x:c r="G655" s="32" t="n">
        <x:v>8.69</x:v>
      </x:c>
      <x:c r="H655" s="28" t="str">
        <x:v>Microparadas</x:v>
      </x:c>
      <x:c r="I655" s="28" t="str">
        <x:v>Não</x:v>
      </x:c>
    </x:row>
    <x:row r="656">
      <x:c r="A656" s="34" t="n">
        <x:v>45586</x:v>
      </x:c>
      <x:c r="B656" s="28" t="str">
        <x:v>Grupo Industrial S.A.</x:v>
      </x:c>
      <x:c r="C656" s="28" t="str">
        <x:v>Planta Curitiba</x:v>
      </x:c>
      <x:c r="D656" s="28" t="str">
        <x:v>Linha 5 - Usinagem</x:v>
      </x:c>
      <x:c r="E656" s="28" t="str">
        <x:v>EQ-5-02</x:v>
      </x:c>
      <x:c r="F656" s="28" t="str">
        <x:v>Operacional</x:v>
      </x:c>
      <x:c r="G656" s="32" t="n">
        <x:v>3.35</x:v>
      </x:c>
      <x:c r="H656" s="28" t="str">
        <x:v>Troca de ferramenta</x:v>
      </x:c>
      <x:c r="I656" s="28" t="str">
        <x:v>Não</x:v>
      </x:c>
    </x:row>
    <x:row r="657">
      <x:c r="A657" s="34" t="n">
        <x:v>45586</x:v>
      </x:c>
      <x:c r="B657" s="28" t="str">
        <x:v>Grupo Industrial S.A.</x:v>
      </x:c>
      <x:c r="C657" s="28" t="str">
        <x:v>Planta Curitiba</x:v>
      </x:c>
      <x:c r="D657" s="28" t="str">
        <x:v>Linha 5 - Usinagem</x:v>
      </x:c>
      <x:c r="E657" s="28" t="str">
        <x:v>EQ-5-03</x:v>
      </x:c>
      <x:c r="F657" s="28" t="str">
        <x:v>Operacional</x:v>
      </x:c>
      <x:c r="G657" s="32" t="n">
        <x:v>7.25</x:v>
      </x:c>
      <x:c r="H657" s="28" t="str">
        <x:v>Troca de ferramenta</x:v>
      </x:c>
      <x:c r="I657" s="28" t="str">
        <x:v>Não</x:v>
      </x:c>
    </x:row>
    <x:row r="658">
      <x:c r="A658" s="34" t="n">
        <x:v>45586</x:v>
      </x:c>
      <x:c r="B658" s="28" t="str">
        <x:v>Grupo Industrial S.A.</x:v>
      </x:c>
      <x:c r="C658" s="28" t="str">
        <x:v>Planta Curitiba</x:v>
      </x:c>
      <x:c r="D658" s="28" t="str">
        <x:v>Linha 6 - Finalização</x:v>
      </x:c>
      <x:c r="E658" s="28" t="str">
        <x:v>EQ-6-01</x:v>
      </x:c>
      <x:c r="F658" s="28" t="str">
        <x:v>Corretiva</x:v>
      </x:c>
      <x:c r="G658" s="32" t="n">
        <x:v>5.45</x:v>
      </x:c>
      <x:c r="H658" s="28" t="str">
        <x:v>Microparadas</x:v>
      </x:c>
      <x:c r="I658" s="28" t="str">
        <x:v>Não</x:v>
      </x:c>
    </x:row>
    <x:row r="659">
      <x:c r="A659" s="34" t="n">
        <x:v>45586</x:v>
      </x:c>
      <x:c r="B659" s="28" t="str">
        <x:v>Grupo Industrial S.A.</x:v>
      </x:c>
      <x:c r="C659" s="28" t="str">
        <x:v>Planta Curitiba</x:v>
      </x:c>
      <x:c r="D659" s="28" t="str">
        <x:v>Linha 6 - Finalização</x:v>
      </x:c>
      <x:c r="E659" s="28" t="str">
        <x:v>EQ-6-02</x:v>
      </x:c>
      <x:c r="F659" s="28" t="str">
        <x:v>Corretiva</x:v>
      </x:c>
      <x:c r="G659" s="32" t="n">
        <x:v>5.51</x:v>
      </x:c>
      <x:c r="H659" s="28" t="str">
        <x:v>Microparadas</x:v>
      </x:c>
      <x:c r="I659" s="28" t="str">
        <x:v>Não</x:v>
      </x:c>
    </x:row>
    <x:row r="660">
      <x:c r="A660" s="34" t="n">
        <x:v>45586</x:v>
      </x:c>
      <x:c r="B660" s="28" t="str">
        <x:v>Grupo Industrial S.A.</x:v>
      </x:c>
      <x:c r="C660" s="28" t="str">
        <x:v>Planta Curitiba</x:v>
      </x:c>
      <x:c r="D660" s="28" t="str">
        <x:v>Linha 6 - Finalização</x:v>
      </x:c>
      <x:c r="E660" s="28" t="str">
        <x:v>EQ-6-03</x:v>
      </x:c>
      <x:c r="F660" s="28" t="str">
        <x:v>Corretiva</x:v>
      </x:c>
      <x:c r="G660" s="32" t="n">
        <x:v>7.36</x:v>
      </x:c>
      <x:c r="H660" s="28" t="str">
        <x:v>Quebras</x:v>
      </x:c>
      <x:c r="I660" s="28" t="str">
        <x:v>Sim</x:v>
      </x:c>
    </x:row>
    <x:row r="661">
      <x:c r="A661" s="34" t="n">
        <x:v>45593</x:v>
      </x:c>
      <x:c r="B661" s="28" t="str">
        <x:v>Grupo Industrial S.A.</x:v>
      </x:c>
      <x:c r="C661" s="28" t="str">
        <x:v>Planta São Paulo</x:v>
      </x:c>
      <x:c r="D661" s="28" t="str">
        <x:v>Linha 1 - Corte</x:v>
      </x:c>
      <x:c r="E661" s="28" t="str">
        <x:v>EQ-1-01</x:v>
      </x:c>
      <x:c r="F661" s="28" t="str">
        <x:v>Corretiva</x:v>
      </x:c>
      <x:c r="G661" s="32" t="n">
        <x:v>4.6</x:v>
      </x:c>
      <x:c r="H661" s="28" t="str">
        <x:v>Elétrica</x:v>
      </x:c>
      <x:c r="I661" s="28" t="str">
        <x:v>Sim</x:v>
      </x:c>
    </x:row>
    <x:row r="662">
      <x:c r="A662" s="34" t="n">
        <x:v>45593</x:v>
      </x:c>
      <x:c r="B662" s="28" t="str">
        <x:v>Grupo Industrial S.A.</x:v>
      </x:c>
      <x:c r="C662" s="28" t="str">
        <x:v>Planta São Paulo</x:v>
      </x:c>
      <x:c r="D662" s="28" t="str">
        <x:v>Linha 1 - Corte</x:v>
      </x:c>
      <x:c r="E662" s="28" t="str">
        <x:v>EQ-1-02</x:v>
      </x:c>
      <x:c r="F662" s="28" t="str">
        <x:v>Corretiva</x:v>
      </x:c>
      <x:c r="G662" s="32" t="n">
        <x:v>11.12</x:v>
      </x:c>
      <x:c r="H662" s="28" t="str">
        <x:v>Elétrica</x:v>
      </x:c>
      <x:c r="I662" s="28" t="str">
        <x:v>Sim</x:v>
      </x:c>
    </x:row>
    <x:row r="663">
      <x:c r="A663" s="34" t="n">
        <x:v>45593</x:v>
      </x:c>
      <x:c r="B663" s="28" t="str">
        <x:v>Grupo Industrial S.A.</x:v>
      </x:c>
      <x:c r="C663" s="28" t="str">
        <x:v>Planta São Paulo</x:v>
      </x:c>
      <x:c r="D663" s="28" t="str">
        <x:v>Linha 2 - Montagem</x:v>
      </x:c>
      <x:c r="E663" s="28" t="str">
        <x:v>EQ-2-01</x:v>
      </x:c>
      <x:c r="F663" s="28" t="str">
        <x:v>Operacional</x:v>
      </x:c>
      <x:c r="G663" s="32" t="n">
        <x:v>6</x:v>
      </x:c>
      <x:c r="H663" s="28" t="str">
        <x:v>Setup</x:v>
      </x:c>
      <x:c r="I663" s="28" t="str">
        <x:v>Não</x:v>
      </x:c>
    </x:row>
    <x:row r="664">
      <x:c r="A664" s="34" t="n">
        <x:v>45593</x:v>
      </x:c>
      <x:c r="B664" s="28" t="str">
        <x:v>Grupo Industrial S.A.</x:v>
      </x:c>
      <x:c r="C664" s="28" t="str">
        <x:v>Planta São Paulo</x:v>
      </x:c>
      <x:c r="D664" s="28" t="str">
        <x:v>Linha 2 - Montagem</x:v>
      </x:c>
      <x:c r="E664" s="28" t="str">
        <x:v>EQ-2-02</x:v>
      </x:c>
      <x:c r="F664" s="28" t="str">
        <x:v>Corretiva</x:v>
      </x:c>
      <x:c r="G664" s="32" t="n">
        <x:v>10.14</x:v>
      </x:c>
      <x:c r="H664" s="28" t="str">
        <x:v>Elétrica</x:v>
      </x:c>
      <x:c r="I664" s="28" t="str">
        <x:v>Sim</x:v>
      </x:c>
    </x:row>
    <x:row r="665">
      <x:c r="A665" s="34" t="n">
        <x:v>45593</x:v>
      </x:c>
      <x:c r="B665" s="28" t="str">
        <x:v>Grupo Industrial S.A.</x:v>
      </x:c>
      <x:c r="C665" s="28" t="str">
        <x:v>Planta Campinas</x:v>
      </x:c>
      <x:c r="D665" s="28" t="str">
        <x:v>Linha 3 - Extrusão</x:v>
      </x:c>
      <x:c r="E665" s="28" t="str">
        <x:v>EQ-3-01</x:v>
      </x:c>
      <x:c r="F665" s="28" t="str">
        <x:v>Operacional</x:v>
      </x:c>
      <x:c r="G665" s="32" t="n">
        <x:v>9.6</x:v>
      </x:c>
      <x:c r="H665" s="28" t="str">
        <x:v>Setup</x:v>
      </x:c>
      <x:c r="I665" s="28" t="str">
        <x:v>Não</x:v>
      </x:c>
    </x:row>
    <x:row r="666">
      <x:c r="A666" s="34" t="n">
        <x:v>45593</x:v>
      </x:c>
      <x:c r="B666" s="28" t="str">
        <x:v>Grupo Industrial S.A.</x:v>
      </x:c>
      <x:c r="C666" s="28" t="str">
        <x:v>Planta Campinas</x:v>
      </x:c>
      <x:c r="D666" s="28" t="str">
        <x:v>Linha 3 - Extrusão</x:v>
      </x:c>
      <x:c r="E666" s="28" t="str">
        <x:v>EQ-3-02</x:v>
      </x:c>
      <x:c r="F666" s="28" t="str">
        <x:v>Corretiva</x:v>
      </x:c>
      <x:c r="G666" s="32" t="n">
        <x:v>7.18</x:v>
      </x:c>
      <x:c r="H666" s="28" t="str">
        <x:v>Ajustes</x:v>
      </x:c>
      <x:c r="I666" s="28" t="str">
        <x:v>Não</x:v>
      </x:c>
    </x:row>
    <x:row r="667">
      <x:c r="A667" s="34" t="n">
        <x:v>45593</x:v>
      </x:c>
      <x:c r="B667" s="28" t="str">
        <x:v>Grupo Industrial S.A.</x:v>
      </x:c>
      <x:c r="C667" s="28" t="str">
        <x:v>Planta Campinas</x:v>
      </x:c>
      <x:c r="D667" s="28" t="str">
        <x:v>Linha 3 - Extrusão</x:v>
      </x:c>
      <x:c r="E667" s="28" t="str">
        <x:v>EQ-3-03</x:v>
      </x:c>
      <x:c r="F667" s="28" t="str">
        <x:v>Operacional</x:v>
      </x:c>
      <x:c r="G667" s="32" t="n">
        <x:v>7.33</x:v>
      </x:c>
      <x:c r="H667" s="28" t="str">
        <x:v>Setup</x:v>
      </x:c>
      <x:c r="I667" s="28" t="str">
        <x:v>Não</x:v>
      </x:c>
    </x:row>
    <x:row r="668">
      <x:c r="A668" s="34" t="n">
        <x:v>45593</x:v>
      </x:c>
      <x:c r="B668" s="28" t="str">
        <x:v>Grupo Industrial S.A.</x:v>
      </x:c>
      <x:c r="C668" s="28" t="str">
        <x:v>Planta Campinas</x:v>
      </x:c>
      <x:c r="D668" s="28" t="str">
        <x:v>Linha 4 - Embalagem</x:v>
      </x:c>
      <x:c r="E668" s="28" t="str">
        <x:v>EQ-4-01</x:v>
      </x:c>
      <x:c r="F668" s="28" t="str">
        <x:v>Operacional</x:v>
      </x:c>
      <x:c r="G668" s="32" t="n">
        <x:v>10.02</x:v>
      </x:c>
      <x:c r="H668" s="28" t="str">
        <x:v>Setup</x:v>
      </x:c>
      <x:c r="I668" s="28" t="str">
        <x:v>Não</x:v>
      </x:c>
    </x:row>
    <x:row r="669">
      <x:c r="A669" s="34" t="n">
        <x:v>45593</x:v>
      </x:c>
      <x:c r="B669" s="28" t="str">
        <x:v>Grupo Industrial S.A.</x:v>
      </x:c>
      <x:c r="C669" s="28" t="str">
        <x:v>Planta Campinas</x:v>
      </x:c>
      <x:c r="D669" s="28" t="str">
        <x:v>Linha 4 - Embalagem</x:v>
      </x:c>
      <x:c r="E669" s="28" t="str">
        <x:v>EQ-4-02</x:v>
      </x:c>
      <x:c r="F669" s="28" t="str">
        <x:v>Corretiva</x:v>
      </x:c>
      <x:c r="G669" s="32" t="n">
        <x:v>5.46</x:v>
      </x:c>
      <x:c r="H669" s="28" t="str">
        <x:v>Ajustes</x:v>
      </x:c>
      <x:c r="I669" s="28" t="str">
        <x:v>Não</x:v>
      </x:c>
    </x:row>
    <x:row r="670">
      <x:c r="A670" s="34" t="n">
        <x:v>45593</x:v>
      </x:c>
      <x:c r="B670" s="28" t="str">
        <x:v>Grupo Industrial S.A.</x:v>
      </x:c>
      <x:c r="C670" s="28" t="str">
        <x:v>Planta Campinas</x:v>
      </x:c>
      <x:c r="D670" s="28" t="str">
        <x:v>Linha 4 - Embalagem</x:v>
      </x:c>
      <x:c r="E670" s="28" t="str">
        <x:v>EQ-4-03</x:v>
      </x:c>
      <x:c r="F670" s="28" t="str">
        <x:v>Operacional</x:v>
      </x:c>
      <x:c r="G670" s="32" t="n">
        <x:v>6.4</x:v>
      </x:c>
      <x:c r="H670" s="28" t="str">
        <x:v>Falta de material</x:v>
      </x:c>
      <x:c r="I670" s="28" t="str">
        <x:v>Sim</x:v>
      </x:c>
    </x:row>
    <x:row r="671">
      <x:c r="A671" s="34" t="n">
        <x:v>45593</x:v>
      </x:c>
      <x:c r="B671" s="28" t="str">
        <x:v>Grupo Industrial S.A.</x:v>
      </x:c>
      <x:c r="C671" s="28" t="str">
        <x:v>Planta Curitiba</x:v>
      </x:c>
      <x:c r="D671" s="28" t="str">
        <x:v>Linha 5 - Usinagem</x:v>
      </x:c>
      <x:c r="E671" s="28" t="str">
        <x:v>EQ-5-01</x:v>
      </x:c>
      <x:c r="F671" s="28" t="str">
        <x:v>Operacional</x:v>
      </x:c>
      <x:c r="G671" s="32" t="n">
        <x:v>7.79</x:v>
      </x:c>
      <x:c r="H671" s="28" t="str">
        <x:v>Setup</x:v>
      </x:c>
      <x:c r="I671" s="28" t="str">
        <x:v>Não</x:v>
      </x:c>
    </x:row>
    <x:row r="672">
      <x:c r="A672" s="34" t="n">
        <x:v>45593</x:v>
      </x:c>
      <x:c r="B672" s="28" t="str">
        <x:v>Grupo Industrial S.A.</x:v>
      </x:c>
      <x:c r="C672" s="28" t="str">
        <x:v>Planta Curitiba</x:v>
      </x:c>
      <x:c r="D672" s="28" t="str">
        <x:v>Linha 5 - Usinagem</x:v>
      </x:c>
      <x:c r="E672" s="28" t="str">
        <x:v>EQ-5-02</x:v>
      </x:c>
      <x:c r="F672" s="28" t="str">
        <x:v>Operacional</x:v>
      </x:c>
      <x:c r="G672" s="32" t="n">
        <x:v>5</x:v>
      </x:c>
      <x:c r="H672" s="28" t="str">
        <x:v>Troca de ferramenta</x:v>
      </x:c>
      <x:c r="I672" s="28" t="str">
        <x:v>Não</x:v>
      </x:c>
    </x:row>
    <x:row r="673">
      <x:c r="A673" s="34" t="n">
        <x:v>45593</x:v>
      </x:c>
      <x:c r="B673" s="28" t="str">
        <x:v>Grupo Industrial S.A.</x:v>
      </x:c>
      <x:c r="C673" s="28" t="str">
        <x:v>Planta Curitiba</x:v>
      </x:c>
      <x:c r="D673" s="28" t="str">
        <x:v>Linha 5 - Usinagem</x:v>
      </x:c>
      <x:c r="E673" s="28" t="str">
        <x:v>EQ-5-03</x:v>
      </x:c>
      <x:c r="F673" s="28" t="str">
        <x:v>Corretiva</x:v>
      </x:c>
      <x:c r="G673" s="32" t="n">
        <x:v>6.48</x:v>
      </x:c>
      <x:c r="H673" s="28" t="str">
        <x:v>Quebras</x:v>
      </x:c>
      <x:c r="I673" s="28" t="str">
        <x:v>Sim</x:v>
      </x:c>
    </x:row>
    <x:row r="674">
      <x:c r="A674" s="34" t="n">
        <x:v>45593</x:v>
      </x:c>
      <x:c r="B674" s="28" t="str">
        <x:v>Grupo Industrial S.A.</x:v>
      </x:c>
      <x:c r="C674" s="28" t="str">
        <x:v>Planta Curitiba</x:v>
      </x:c>
      <x:c r="D674" s="28" t="str">
        <x:v>Linha 6 - Finalização</x:v>
      </x:c>
      <x:c r="E674" s="28" t="str">
        <x:v>EQ-6-01</x:v>
      </x:c>
      <x:c r="F674" s="28" t="str">
        <x:v>Corretiva</x:v>
      </x:c>
      <x:c r="G674" s="32" t="n">
        <x:v>5.21</x:v>
      </x:c>
      <x:c r="H674" s="28" t="str">
        <x:v>Quebras</x:v>
      </x:c>
      <x:c r="I674" s="28" t="str">
        <x:v>Sim</x:v>
      </x:c>
    </x:row>
    <x:row r="675">
      <x:c r="A675" s="34" t="n">
        <x:v>45593</x:v>
      </x:c>
      <x:c r="B675" s="28" t="str">
        <x:v>Grupo Industrial S.A.</x:v>
      </x:c>
      <x:c r="C675" s="28" t="str">
        <x:v>Planta Curitiba</x:v>
      </x:c>
      <x:c r="D675" s="28" t="str">
        <x:v>Linha 6 - Finalização</x:v>
      </x:c>
      <x:c r="E675" s="28" t="str">
        <x:v>EQ-6-02</x:v>
      </x:c>
      <x:c r="F675" s="28" t="str">
        <x:v>Operacional</x:v>
      </x:c>
      <x:c r="G675" s="32" t="n">
        <x:v>11.93</x:v>
      </x:c>
      <x:c r="H675" s="28" t="str">
        <x:v>Troca de ferramenta</x:v>
      </x:c>
      <x:c r="I675" s="28" t="str">
        <x:v>Não</x:v>
      </x:c>
    </x:row>
    <x:row r="676">
      <x:c r="A676" s="34" t="n">
        <x:v>45600</x:v>
      </x:c>
      <x:c r="B676" s="28" t="str">
        <x:v>Grupo Industrial S.A.</x:v>
      </x:c>
      <x:c r="C676" s="28" t="str">
        <x:v>Planta São Paulo</x:v>
      </x:c>
      <x:c r="D676" s="28" t="str">
        <x:v>Linha 1 - Corte</x:v>
      </x:c>
      <x:c r="E676" s="28" t="str">
        <x:v>EQ-1-01</x:v>
      </x:c>
      <x:c r="F676" s="28" t="str">
        <x:v>Corretiva</x:v>
      </x:c>
      <x:c r="G676" s="32" t="n">
        <x:v>4.77</x:v>
      </x:c>
      <x:c r="H676" s="28" t="str">
        <x:v>Quebras</x:v>
      </x:c>
      <x:c r="I676" s="28" t="str">
        <x:v>Sim</x:v>
      </x:c>
    </x:row>
    <x:row r="677">
      <x:c r="A677" s="34" t="n">
        <x:v>45600</x:v>
      </x:c>
      <x:c r="B677" s="28" t="str">
        <x:v>Grupo Industrial S.A.</x:v>
      </x:c>
      <x:c r="C677" s="28" t="str">
        <x:v>Planta São Paulo</x:v>
      </x:c>
      <x:c r="D677" s="28" t="str">
        <x:v>Linha 1 - Corte</x:v>
      </x:c>
      <x:c r="E677" s="28" t="str">
        <x:v>EQ-1-02</x:v>
      </x:c>
      <x:c r="F677" s="28" t="str">
        <x:v>Corretiva</x:v>
      </x:c>
      <x:c r="G677" s="32" t="n">
        <x:v>8.1</x:v>
      </x:c>
      <x:c r="H677" s="28" t="str">
        <x:v>Microparadas</x:v>
      </x:c>
      <x:c r="I677" s="28" t="str">
        <x:v>Não</x:v>
      </x:c>
    </x:row>
    <x:row r="678">
      <x:c r="A678" s="34" t="n">
        <x:v>45600</x:v>
      </x:c>
      <x:c r="B678" s="28" t="str">
        <x:v>Grupo Industrial S.A.</x:v>
      </x:c>
      <x:c r="C678" s="28" t="str">
        <x:v>Planta São Paulo</x:v>
      </x:c>
      <x:c r="D678" s="28" t="str">
        <x:v>Linha 2 - Montagem</x:v>
      </x:c>
      <x:c r="E678" s="28" t="str">
        <x:v>EQ-2-01</x:v>
      </x:c>
      <x:c r="F678" s="28" t="str">
        <x:v>Operacional</x:v>
      </x:c>
      <x:c r="G678" s="32" t="n">
        <x:v>5.9</x:v>
      </x:c>
      <x:c r="H678" s="28" t="str">
        <x:v>Setup</x:v>
      </x:c>
      <x:c r="I678" s="28" t="str">
        <x:v>Não</x:v>
      </x:c>
    </x:row>
    <x:row r="679">
      <x:c r="A679" s="34" t="n">
        <x:v>45600</x:v>
      </x:c>
      <x:c r="B679" s="28" t="str">
        <x:v>Grupo Industrial S.A.</x:v>
      </x:c>
      <x:c r="C679" s="28" t="str">
        <x:v>Planta São Paulo</x:v>
      </x:c>
      <x:c r="D679" s="28" t="str">
        <x:v>Linha 2 - Montagem</x:v>
      </x:c>
      <x:c r="E679" s="28" t="str">
        <x:v>EQ-2-02</x:v>
      </x:c>
      <x:c r="F679" s="28" t="str">
        <x:v>Corretiva</x:v>
      </x:c>
      <x:c r="G679" s="32" t="n">
        <x:v>7.67</x:v>
      </x:c>
      <x:c r="H679" s="28" t="str">
        <x:v>Elétrica</x:v>
      </x:c>
      <x:c r="I679" s="28" t="str">
        <x:v>Sim</x:v>
      </x:c>
    </x:row>
    <x:row r="680">
      <x:c r="A680" s="34" t="n">
        <x:v>45600</x:v>
      </x:c>
      <x:c r="B680" s="28" t="str">
        <x:v>Grupo Industrial S.A.</x:v>
      </x:c>
      <x:c r="C680" s="28" t="str">
        <x:v>Planta Campinas</x:v>
      </x:c>
      <x:c r="D680" s="28" t="str">
        <x:v>Linha 3 - Extrusão</x:v>
      </x:c>
      <x:c r="E680" s="28" t="str">
        <x:v>EQ-3-01</x:v>
      </x:c>
      <x:c r="F680" s="28" t="str">
        <x:v>Operacional</x:v>
      </x:c>
      <x:c r="G680" s="32" t="n">
        <x:v>8.53</x:v>
      </x:c>
      <x:c r="H680" s="28" t="str">
        <x:v>Falta de material</x:v>
      </x:c>
      <x:c r="I680" s="28" t="str">
        <x:v>Sim</x:v>
      </x:c>
    </x:row>
    <x:row r="681">
      <x:c r="A681" s="34" t="n">
        <x:v>45600</x:v>
      </x:c>
      <x:c r="B681" s="28" t="str">
        <x:v>Grupo Industrial S.A.</x:v>
      </x:c>
      <x:c r="C681" s="28" t="str">
        <x:v>Planta Campinas</x:v>
      </x:c>
      <x:c r="D681" s="28" t="str">
        <x:v>Linha 3 - Extrusão</x:v>
      </x:c>
      <x:c r="E681" s="28" t="str">
        <x:v>EQ-3-02</x:v>
      </x:c>
      <x:c r="F681" s="28" t="str">
        <x:v>Corretiva</x:v>
      </x:c>
      <x:c r="G681" s="32" t="n">
        <x:v>6.87</x:v>
      </x:c>
      <x:c r="H681" s="28" t="str">
        <x:v>Quebras</x:v>
      </x:c>
      <x:c r="I681" s="28" t="str">
        <x:v>Sim</x:v>
      </x:c>
    </x:row>
    <x:row r="682">
      <x:c r="A682" s="34" t="n">
        <x:v>45600</x:v>
      </x:c>
      <x:c r="B682" s="28" t="str">
        <x:v>Grupo Industrial S.A.</x:v>
      </x:c>
      <x:c r="C682" s="28" t="str">
        <x:v>Planta Campinas</x:v>
      </x:c>
      <x:c r="D682" s="28" t="str">
        <x:v>Linha 3 - Extrusão</x:v>
      </x:c>
      <x:c r="E682" s="28" t="str">
        <x:v>EQ-3-03</x:v>
      </x:c>
      <x:c r="F682" s="28" t="str">
        <x:v>Corretiva</x:v>
      </x:c>
      <x:c r="G682" s="32" t="n">
        <x:v>9.03</x:v>
      </x:c>
      <x:c r="H682" s="28" t="str">
        <x:v>Ajustes</x:v>
      </x:c>
      <x:c r="I682" s="28" t="str">
        <x:v>Não</x:v>
      </x:c>
    </x:row>
    <x:row r="683">
      <x:c r="A683" s="34" t="n">
        <x:v>45600</x:v>
      </x:c>
      <x:c r="B683" s="28" t="str">
        <x:v>Grupo Industrial S.A.</x:v>
      </x:c>
      <x:c r="C683" s="28" t="str">
        <x:v>Planta Campinas</x:v>
      </x:c>
      <x:c r="D683" s="28" t="str">
        <x:v>Linha 4 - Embalagem</x:v>
      </x:c>
      <x:c r="E683" s="28" t="str">
        <x:v>EQ-4-01</x:v>
      </x:c>
      <x:c r="F683" s="28" t="str">
        <x:v>Corretiva</x:v>
      </x:c>
      <x:c r="G683" s="32" t="n">
        <x:v>6.26</x:v>
      </x:c>
      <x:c r="H683" s="28" t="str">
        <x:v>Ajustes</x:v>
      </x:c>
      <x:c r="I683" s="28" t="str">
        <x:v>Não</x:v>
      </x:c>
    </x:row>
    <x:row r="684">
      <x:c r="A684" s="34" t="n">
        <x:v>45600</x:v>
      </x:c>
      <x:c r="B684" s="28" t="str">
        <x:v>Grupo Industrial S.A.</x:v>
      </x:c>
      <x:c r="C684" s="28" t="str">
        <x:v>Planta Campinas</x:v>
      </x:c>
      <x:c r="D684" s="28" t="str">
        <x:v>Linha 4 - Embalagem</x:v>
      </x:c>
      <x:c r="E684" s="28" t="str">
        <x:v>EQ-4-02</x:v>
      </x:c>
      <x:c r="F684" s="28" t="str">
        <x:v>Operacional</x:v>
      </x:c>
      <x:c r="G684" s="32" t="n">
        <x:v>5.71</x:v>
      </x:c>
      <x:c r="H684" s="28" t="str">
        <x:v>Falta de material</x:v>
      </x:c>
      <x:c r="I684" s="28" t="str">
        <x:v>Sim</x:v>
      </x:c>
    </x:row>
    <x:row r="685">
      <x:c r="A685" s="34" t="n">
        <x:v>45600</x:v>
      </x:c>
      <x:c r="B685" s="28" t="str">
        <x:v>Grupo Industrial S.A.</x:v>
      </x:c>
      <x:c r="C685" s="28" t="str">
        <x:v>Planta Campinas</x:v>
      </x:c>
      <x:c r="D685" s="28" t="str">
        <x:v>Linha 4 - Embalagem</x:v>
      </x:c>
      <x:c r="E685" s="28" t="str">
        <x:v>EQ-4-03</x:v>
      </x:c>
      <x:c r="F685" s="28" t="str">
        <x:v>Operacional</x:v>
      </x:c>
      <x:c r="G685" s="32" t="n">
        <x:v>9.24</x:v>
      </x:c>
      <x:c r="H685" s="28" t="str">
        <x:v>Falta de material</x:v>
      </x:c>
      <x:c r="I685" s="28" t="str">
        <x:v>Sim</x:v>
      </x:c>
    </x:row>
    <x:row r="686">
      <x:c r="A686" s="34" t="n">
        <x:v>45600</x:v>
      </x:c>
      <x:c r="B686" s="28" t="str">
        <x:v>Grupo Industrial S.A.</x:v>
      </x:c>
      <x:c r="C686" s="28" t="str">
        <x:v>Planta Curitiba</x:v>
      </x:c>
      <x:c r="D686" s="28" t="str">
        <x:v>Linha 5 - Usinagem</x:v>
      </x:c>
      <x:c r="E686" s="28" t="str">
        <x:v>EQ-5-01</x:v>
      </x:c>
      <x:c r="F686" s="28" t="str">
        <x:v>Corretiva</x:v>
      </x:c>
      <x:c r="G686" s="32" t="n">
        <x:v>5.62</x:v>
      </x:c>
      <x:c r="H686" s="28" t="str">
        <x:v>Quebras</x:v>
      </x:c>
      <x:c r="I686" s="28" t="str">
        <x:v>Sim</x:v>
      </x:c>
    </x:row>
    <x:row r="687">
      <x:c r="A687" s="34" t="n">
        <x:v>45600</x:v>
      </x:c>
      <x:c r="B687" s="28" t="str">
        <x:v>Grupo Industrial S.A.</x:v>
      </x:c>
      <x:c r="C687" s="28" t="str">
        <x:v>Planta Curitiba</x:v>
      </x:c>
      <x:c r="D687" s="28" t="str">
        <x:v>Linha 5 - Usinagem</x:v>
      </x:c>
      <x:c r="E687" s="28" t="str">
        <x:v>EQ-5-02</x:v>
      </x:c>
      <x:c r="F687" s="28" t="str">
        <x:v>Operacional</x:v>
      </x:c>
      <x:c r="G687" s="32" t="n">
        <x:v>5.33</x:v>
      </x:c>
      <x:c r="H687" s="28" t="str">
        <x:v>Setup</x:v>
      </x:c>
      <x:c r="I687" s="28" t="str">
        <x:v>Não</x:v>
      </x:c>
    </x:row>
    <x:row r="688">
      <x:c r="A688" s="34" t="n">
        <x:v>45600</x:v>
      </x:c>
      <x:c r="B688" s="28" t="str">
        <x:v>Grupo Industrial S.A.</x:v>
      </x:c>
      <x:c r="C688" s="28" t="str">
        <x:v>Planta Curitiba</x:v>
      </x:c>
      <x:c r="D688" s="28" t="str">
        <x:v>Linha 5 - Usinagem</x:v>
      </x:c>
      <x:c r="E688" s="28" t="str">
        <x:v>EQ-5-03</x:v>
      </x:c>
      <x:c r="F688" s="28" t="str">
        <x:v>Corretiva</x:v>
      </x:c>
      <x:c r="G688" s="32" t="n">
        <x:v>8.99</x:v>
      </x:c>
      <x:c r="H688" s="28" t="str">
        <x:v>Microparadas</x:v>
      </x:c>
      <x:c r="I688" s="28" t="str">
        <x:v>Não</x:v>
      </x:c>
    </x:row>
    <x:row r="689">
      <x:c r="A689" s="34" t="n">
        <x:v>45600</x:v>
      </x:c>
      <x:c r="B689" s="28" t="str">
        <x:v>Grupo Industrial S.A.</x:v>
      </x:c>
      <x:c r="C689" s="28" t="str">
        <x:v>Planta Curitiba</x:v>
      </x:c>
      <x:c r="D689" s="28" t="str">
        <x:v>Linha 6 - Finalização</x:v>
      </x:c>
      <x:c r="E689" s="28" t="str">
        <x:v>EQ-6-01</x:v>
      </x:c>
      <x:c r="F689" s="28" t="str">
        <x:v>Operacional</x:v>
      </x:c>
      <x:c r="G689" s="32" t="n">
        <x:v>7.61</x:v>
      </x:c>
      <x:c r="H689" s="28" t="str">
        <x:v>Setup</x:v>
      </x:c>
      <x:c r="I689" s="28" t="str">
        <x:v>Não</x:v>
      </x:c>
    </x:row>
    <x:row r="690">
      <x:c r="A690" s="34" t="n">
        <x:v>45600</x:v>
      </x:c>
      <x:c r="B690" s="28" t="str">
        <x:v>Grupo Industrial S.A.</x:v>
      </x:c>
      <x:c r="C690" s="28" t="str">
        <x:v>Planta Curitiba</x:v>
      </x:c>
      <x:c r="D690" s="28" t="str">
        <x:v>Linha 6 - Finalização</x:v>
      </x:c>
      <x:c r="E690" s="28" t="str">
        <x:v>EQ-6-02</x:v>
      </x:c>
      <x:c r="F690" s="28" t="str">
        <x:v>Corretiva</x:v>
      </x:c>
      <x:c r="G690" s="32" t="n">
        <x:v>5.43</x:v>
      </x:c>
      <x:c r="H690" s="28" t="str">
        <x:v>Microparadas</x:v>
      </x:c>
      <x:c r="I690" s="28" t="str">
        <x:v>Não</x:v>
      </x:c>
    </x:row>
    <x:row r="691">
      <x:c r="A691" s="34" t="n">
        <x:v>45600</x:v>
      </x:c>
      <x:c r="B691" s="28" t="str">
        <x:v>Grupo Industrial S.A.</x:v>
      </x:c>
      <x:c r="C691" s="28" t="str">
        <x:v>Planta Curitiba</x:v>
      </x:c>
      <x:c r="D691" s="28" t="str">
        <x:v>Linha 6 - Finalização</x:v>
      </x:c>
      <x:c r="E691" s="28" t="str">
        <x:v>EQ-6-03</x:v>
      </x:c>
      <x:c r="F691" s="28" t="str">
        <x:v>Corretiva</x:v>
      </x:c>
      <x:c r="G691" s="32" t="n">
        <x:v>6.3</x:v>
      </x:c>
      <x:c r="H691" s="28" t="str">
        <x:v>Quebras</x:v>
      </x:c>
      <x:c r="I691" s="28" t="str">
        <x:v>Sim</x:v>
      </x:c>
    </x:row>
    <x:row r="692">
      <x:c r="A692" s="34" t="n">
        <x:v>45607</x:v>
      </x:c>
      <x:c r="B692" s="28" t="str">
        <x:v>Grupo Industrial S.A.</x:v>
      </x:c>
      <x:c r="C692" s="28" t="str">
        <x:v>Planta São Paulo</x:v>
      </x:c>
      <x:c r="D692" s="28" t="str">
        <x:v>Linha 1 - Corte</x:v>
      </x:c>
      <x:c r="E692" s="28" t="str">
        <x:v>EQ-1-01</x:v>
      </x:c>
      <x:c r="F692" s="28" t="str">
        <x:v>Corretiva</x:v>
      </x:c>
      <x:c r="G692" s="32" t="n">
        <x:v>6.01</x:v>
      </x:c>
      <x:c r="H692" s="28" t="str">
        <x:v>Quebras</x:v>
      </x:c>
      <x:c r="I692" s="28" t="str">
        <x:v>Sim</x:v>
      </x:c>
    </x:row>
    <x:row r="693">
      <x:c r="A693" s="34" t="n">
        <x:v>45607</x:v>
      </x:c>
      <x:c r="B693" s="28" t="str">
        <x:v>Grupo Industrial S.A.</x:v>
      </x:c>
      <x:c r="C693" s="28" t="str">
        <x:v>Planta São Paulo</x:v>
      </x:c>
      <x:c r="D693" s="28" t="str">
        <x:v>Linha 1 - Corte</x:v>
      </x:c>
      <x:c r="E693" s="28" t="str">
        <x:v>EQ-1-02</x:v>
      </x:c>
      <x:c r="F693" s="28" t="str">
        <x:v>Corretiva</x:v>
      </x:c>
      <x:c r="G693" s="32" t="n">
        <x:v>9.38</x:v>
      </x:c>
      <x:c r="H693" s="28" t="str">
        <x:v>Elétrica</x:v>
      </x:c>
      <x:c r="I693" s="28" t="str">
        <x:v>Sim</x:v>
      </x:c>
    </x:row>
    <x:row r="694">
      <x:c r="A694" s="34" t="n">
        <x:v>45607</x:v>
      </x:c>
      <x:c r="B694" s="28" t="str">
        <x:v>Grupo Industrial S.A.</x:v>
      </x:c>
      <x:c r="C694" s="28" t="str">
        <x:v>Planta São Paulo</x:v>
      </x:c>
      <x:c r="D694" s="28" t="str">
        <x:v>Linha 2 - Montagem</x:v>
      </x:c>
      <x:c r="E694" s="28" t="str">
        <x:v>EQ-2-01</x:v>
      </x:c>
      <x:c r="F694" s="28" t="str">
        <x:v>Corretiva</x:v>
      </x:c>
      <x:c r="G694" s="32" t="n">
        <x:v>4.82</x:v>
      </x:c>
      <x:c r="H694" s="28" t="str">
        <x:v>Quebras</x:v>
      </x:c>
      <x:c r="I694" s="28" t="str">
        <x:v>Sim</x:v>
      </x:c>
    </x:row>
    <x:row r="695">
      <x:c r="A695" s="34" t="n">
        <x:v>45607</x:v>
      </x:c>
      <x:c r="B695" s="28" t="str">
        <x:v>Grupo Industrial S.A.</x:v>
      </x:c>
      <x:c r="C695" s="28" t="str">
        <x:v>Planta São Paulo</x:v>
      </x:c>
      <x:c r="D695" s="28" t="str">
        <x:v>Linha 2 - Montagem</x:v>
      </x:c>
      <x:c r="E695" s="28" t="str">
        <x:v>EQ-2-02</x:v>
      </x:c>
      <x:c r="F695" s="28" t="str">
        <x:v>Corretiva</x:v>
      </x:c>
      <x:c r="G695" s="32" t="n">
        <x:v>10.75</x:v>
      </x:c>
      <x:c r="H695" s="28" t="str">
        <x:v>Quebras</x:v>
      </x:c>
      <x:c r="I695" s="28" t="str">
        <x:v>Sim</x:v>
      </x:c>
    </x:row>
    <x:row r="696">
      <x:c r="A696" s="34" t="n">
        <x:v>45607</x:v>
      </x:c>
      <x:c r="B696" s="28" t="str">
        <x:v>Grupo Industrial S.A.</x:v>
      </x:c>
      <x:c r="C696" s="28" t="str">
        <x:v>Planta Campinas</x:v>
      </x:c>
      <x:c r="D696" s="28" t="str">
        <x:v>Linha 3 - Extrusão</x:v>
      </x:c>
      <x:c r="E696" s="28" t="str">
        <x:v>EQ-3-01</x:v>
      </x:c>
      <x:c r="F696" s="28" t="str">
        <x:v>Operacional</x:v>
      </x:c>
      <x:c r="G696" s="32" t="n">
        <x:v>8.79</x:v>
      </x:c>
      <x:c r="H696" s="28" t="str">
        <x:v>Falta de material</x:v>
      </x:c>
      <x:c r="I696" s="28" t="str">
        <x:v>Sim</x:v>
      </x:c>
    </x:row>
    <x:row r="697">
      <x:c r="A697" s="34" t="n">
        <x:v>45607</x:v>
      </x:c>
      <x:c r="B697" s="28" t="str">
        <x:v>Grupo Industrial S.A.</x:v>
      </x:c>
      <x:c r="C697" s="28" t="str">
        <x:v>Planta Campinas</x:v>
      </x:c>
      <x:c r="D697" s="28" t="str">
        <x:v>Linha 3 - Extrusão</x:v>
      </x:c>
      <x:c r="E697" s="28" t="str">
        <x:v>EQ-3-02</x:v>
      </x:c>
      <x:c r="F697" s="28" t="str">
        <x:v>Operacional</x:v>
      </x:c>
      <x:c r="G697" s="32" t="n">
        <x:v>6.77</x:v>
      </x:c>
      <x:c r="H697" s="28" t="str">
        <x:v>Falta de material</x:v>
      </x:c>
      <x:c r="I697" s="28" t="str">
        <x:v>Sim</x:v>
      </x:c>
    </x:row>
    <x:row r="698">
      <x:c r="A698" s="34" t="n">
        <x:v>45607</x:v>
      </x:c>
      <x:c r="B698" s="28" t="str">
        <x:v>Grupo Industrial S.A.</x:v>
      </x:c>
      <x:c r="C698" s="28" t="str">
        <x:v>Planta Campinas</x:v>
      </x:c>
      <x:c r="D698" s="28" t="str">
        <x:v>Linha 3 - Extrusão</x:v>
      </x:c>
      <x:c r="E698" s="28" t="str">
        <x:v>EQ-3-03</x:v>
      </x:c>
      <x:c r="F698" s="28" t="str">
        <x:v>Corretiva</x:v>
      </x:c>
      <x:c r="G698" s="32" t="n">
        <x:v>7.33</x:v>
      </x:c>
      <x:c r="H698" s="28" t="str">
        <x:v>Quebras</x:v>
      </x:c>
      <x:c r="I698" s="28" t="str">
        <x:v>Sim</x:v>
      </x:c>
    </x:row>
    <x:row r="699">
      <x:c r="A699" s="34" t="n">
        <x:v>45607</x:v>
      </x:c>
      <x:c r="B699" s="28" t="str">
        <x:v>Grupo Industrial S.A.</x:v>
      </x:c>
      <x:c r="C699" s="28" t="str">
        <x:v>Planta Campinas</x:v>
      </x:c>
      <x:c r="D699" s="28" t="str">
        <x:v>Linha 4 - Embalagem</x:v>
      </x:c>
      <x:c r="E699" s="28" t="str">
        <x:v>EQ-4-01</x:v>
      </x:c>
      <x:c r="F699" s="28" t="str">
        <x:v>Operacional</x:v>
      </x:c>
      <x:c r="G699" s="32" t="n">
        <x:v>6.58</x:v>
      </x:c>
      <x:c r="H699" s="28" t="str">
        <x:v>Falta de material</x:v>
      </x:c>
      <x:c r="I699" s="28" t="str">
        <x:v>Sim</x:v>
      </x:c>
    </x:row>
    <x:row r="700">
      <x:c r="A700" s="34" t="n">
        <x:v>45607</x:v>
      </x:c>
      <x:c r="B700" s="28" t="str">
        <x:v>Grupo Industrial S.A.</x:v>
      </x:c>
      <x:c r="C700" s="28" t="str">
        <x:v>Planta Campinas</x:v>
      </x:c>
      <x:c r="D700" s="28" t="str">
        <x:v>Linha 4 - Embalagem</x:v>
      </x:c>
      <x:c r="E700" s="28" t="str">
        <x:v>EQ-4-02</x:v>
      </x:c>
      <x:c r="F700" s="28" t="str">
        <x:v>Operacional</x:v>
      </x:c>
      <x:c r="G700" s="32" t="n">
        <x:v>6.6</x:v>
      </x:c>
      <x:c r="H700" s="28" t="str">
        <x:v>Setup</x:v>
      </x:c>
      <x:c r="I700" s="28" t="str">
        <x:v>Não</x:v>
      </x:c>
    </x:row>
    <x:row r="701">
      <x:c r="A701" s="34" t="n">
        <x:v>45607</x:v>
      </x:c>
      <x:c r="B701" s="28" t="str">
        <x:v>Grupo Industrial S.A.</x:v>
      </x:c>
      <x:c r="C701" s="28" t="str">
        <x:v>Planta Campinas</x:v>
      </x:c>
      <x:c r="D701" s="28" t="str">
        <x:v>Linha 4 - Embalagem</x:v>
      </x:c>
      <x:c r="E701" s="28" t="str">
        <x:v>EQ-4-03</x:v>
      </x:c>
      <x:c r="F701" s="28" t="str">
        <x:v>Corretiva</x:v>
      </x:c>
      <x:c r="G701" s="32" t="n">
        <x:v>7.76</x:v>
      </x:c>
      <x:c r="H701" s="28" t="str">
        <x:v>Quebras</x:v>
      </x:c>
      <x:c r="I701" s="28" t="str">
        <x:v>Sim</x:v>
      </x:c>
    </x:row>
    <x:row r="702">
      <x:c r="A702" s="34" t="n">
        <x:v>45607</x:v>
      </x:c>
      <x:c r="B702" s="28" t="str">
        <x:v>Grupo Industrial S.A.</x:v>
      </x:c>
      <x:c r="C702" s="28" t="str">
        <x:v>Planta Curitiba</x:v>
      </x:c>
      <x:c r="D702" s="28" t="str">
        <x:v>Linha 5 - Usinagem</x:v>
      </x:c>
      <x:c r="E702" s="28" t="str">
        <x:v>EQ-5-01</x:v>
      </x:c>
      <x:c r="F702" s="28" t="str">
        <x:v>Corretiva</x:v>
      </x:c>
      <x:c r="G702" s="32" t="n">
        <x:v>8.32</x:v>
      </x:c>
      <x:c r="H702" s="28" t="str">
        <x:v>Microparadas</x:v>
      </x:c>
      <x:c r="I702" s="28" t="str">
        <x:v>Não</x:v>
      </x:c>
    </x:row>
    <x:row r="703">
      <x:c r="A703" s="34" t="n">
        <x:v>45607</x:v>
      </x:c>
      <x:c r="B703" s="28" t="str">
        <x:v>Grupo Industrial S.A.</x:v>
      </x:c>
      <x:c r="C703" s="28" t="str">
        <x:v>Planta Curitiba</x:v>
      </x:c>
      <x:c r="D703" s="28" t="str">
        <x:v>Linha 5 - Usinagem</x:v>
      </x:c>
      <x:c r="E703" s="28" t="str">
        <x:v>EQ-5-02</x:v>
      </x:c>
      <x:c r="F703" s="28" t="str">
        <x:v>Operacional</x:v>
      </x:c>
      <x:c r="G703" s="32" t="n">
        <x:v>7.74</x:v>
      </x:c>
      <x:c r="H703" s="28" t="str">
        <x:v>Troca de ferramenta</x:v>
      </x:c>
      <x:c r="I703" s="28" t="str">
        <x:v>Não</x:v>
      </x:c>
    </x:row>
    <x:row r="704">
      <x:c r="A704" s="34" t="n">
        <x:v>45607</x:v>
      </x:c>
      <x:c r="B704" s="28" t="str">
        <x:v>Grupo Industrial S.A.</x:v>
      </x:c>
      <x:c r="C704" s="28" t="str">
        <x:v>Planta Curitiba</x:v>
      </x:c>
      <x:c r="D704" s="28" t="str">
        <x:v>Linha 6 - Finalização</x:v>
      </x:c>
      <x:c r="E704" s="28" t="str">
        <x:v>EQ-6-01</x:v>
      </x:c>
      <x:c r="F704" s="28" t="str">
        <x:v>Operacional</x:v>
      </x:c>
      <x:c r="G704" s="32" t="n">
        <x:v>6.45</x:v>
      </x:c>
      <x:c r="H704" s="28" t="str">
        <x:v>Setup</x:v>
      </x:c>
      <x:c r="I704" s="28" t="str">
        <x:v>Não</x:v>
      </x:c>
    </x:row>
    <x:row r="705">
      <x:c r="A705" s="34" t="n">
        <x:v>45607</x:v>
      </x:c>
      <x:c r="B705" s="28" t="str">
        <x:v>Grupo Industrial S.A.</x:v>
      </x:c>
      <x:c r="C705" s="28" t="str">
        <x:v>Planta Curitiba</x:v>
      </x:c>
      <x:c r="D705" s="28" t="str">
        <x:v>Linha 6 - Finalização</x:v>
      </x:c>
      <x:c r="E705" s="28" t="str">
        <x:v>EQ-6-02</x:v>
      </x:c>
      <x:c r="F705" s="28" t="str">
        <x:v>Operacional</x:v>
      </x:c>
      <x:c r="G705" s="32" t="n">
        <x:v>4.42</x:v>
      </x:c>
      <x:c r="H705" s="28" t="str">
        <x:v>Setup</x:v>
      </x:c>
      <x:c r="I705" s="28" t="str">
        <x:v>Não</x:v>
      </x:c>
    </x:row>
    <x:row r="706">
      <x:c r="A706" s="34" t="n">
        <x:v>45607</x:v>
      </x:c>
      <x:c r="B706" s="28" t="str">
        <x:v>Grupo Industrial S.A.</x:v>
      </x:c>
      <x:c r="C706" s="28" t="str">
        <x:v>Planta Curitiba</x:v>
      </x:c>
      <x:c r="D706" s="28" t="str">
        <x:v>Linha 6 - Finalização</x:v>
      </x:c>
      <x:c r="E706" s="28" t="str">
        <x:v>EQ-6-03</x:v>
      </x:c>
      <x:c r="F706" s="28" t="str">
        <x:v>Corretiva</x:v>
      </x:c>
      <x:c r="G706" s="32" t="n">
        <x:v>8.89</x:v>
      </x:c>
      <x:c r="H706" s="28" t="str">
        <x:v>Microparadas</x:v>
      </x:c>
      <x:c r="I706" s="28" t="str">
        <x:v>Não</x:v>
      </x:c>
    </x:row>
    <x:row r="707">
      <x:c r="A707" s="34" t="n">
        <x:v>45614</x:v>
      </x:c>
      <x:c r="B707" s="28" t="str">
        <x:v>Grupo Industrial S.A.</x:v>
      </x:c>
      <x:c r="C707" s="28" t="str">
        <x:v>Planta São Paulo</x:v>
      </x:c>
      <x:c r="D707" s="28" t="str">
        <x:v>Linha 1 - Corte</x:v>
      </x:c>
      <x:c r="E707" s="28" t="str">
        <x:v>EQ-1-01</x:v>
      </x:c>
      <x:c r="F707" s="28" t="str">
        <x:v>Corretiva</x:v>
      </x:c>
      <x:c r="G707" s="32" t="n">
        <x:v>4.76</x:v>
      </x:c>
      <x:c r="H707" s="28" t="str">
        <x:v>Microparadas</x:v>
      </x:c>
      <x:c r="I707" s="28" t="str">
        <x:v>Não</x:v>
      </x:c>
    </x:row>
    <x:row r="708">
      <x:c r="A708" s="34" t="n">
        <x:v>45614</x:v>
      </x:c>
      <x:c r="B708" s="28" t="str">
        <x:v>Grupo Industrial S.A.</x:v>
      </x:c>
      <x:c r="C708" s="28" t="str">
        <x:v>Planta São Paulo</x:v>
      </x:c>
      <x:c r="D708" s="28" t="str">
        <x:v>Linha 1 - Corte</x:v>
      </x:c>
      <x:c r="E708" s="28" t="str">
        <x:v>EQ-1-02</x:v>
      </x:c>
      <x:c r="F708" s="28" t="str">
        <x:v>Corretiva</x:v>
      </x:c>
      <x:c r="G708" s="32" t="n">
        <x:v>10.91</x:v>
      </x:c>
      <x:c r="H708" s="28" t="str">
        <x:v>Elétrica</x:v>
      </x:c>
      <x:c r="I708" s="28" t="str">
        <x:v>Sim</x:v>
      </x:c>
    </x:row>
    <x:row r="709">
      <x:c r="A709" s="34" t="n">
        <x:v>45614</x:v>
      </x:c>
      <x:c r="B709" s="28" t="str">
        <x:v>Grupo Industrial S.A.</x:v>
      </x:c>
      <x:c r="C709" s="28" t="str">
        <x:v>Planta São Paulo</x:v>
      </x:c>
      <x:c r="D709" s="28" t="str">
        <x:v>Linha 2 - Montagem</x:v>
      </x:c>
      <x:c r="E709" s="28" t="str">
        <x:v>EQ-2-01</x:v>
      </x:c>
      <x:c r="F709" s="28" t="str">
        <x:v>Operacional</x:v>
      </x:c>
      <x:c r="G709" s="32" t="n">
        <x:v>4.52</x:v>
      </x:c>
      <x:c r="H709" s="28" t="str">
        <x:v>Setup</x:v>
      </x:c>
      <x:c r="I709" s="28" t="str">
        <x:v>Não</x:v>
      </x:c>
    </x:row>
    <x:row r="710">
      <x:c r="A710" s="34" t="n">
        <x:v>45614</x:v>
      </x:c>
      <x:c r="B710" s="28" t="str">
        <x:v>Grupo Industrial S.A.</x:v>
      </x:c>
      <x:c r="C710" s="28" t="str">
        <x:v>Planta São Paulo</x:v>
      </x:c>
      <x:c r="D710" s="28" t="str">
        <x:v>Linha 2 - Montagem</x:v>
      </x:c>
      <x:c r="E710" s="28" t="str">
        <x:v>EQ-2-02</x:v>
      </x:c>
      <x:c r="F710" s="28" t="str">
        <x:v>Corretiva</x:v>
      </x:c>
      <x:c r="G710" s="32" t="n">
        <x:v>8.54</x:v>
      </x:c>
      <x:c r="H710" s="28" t="str">
        <x:v>Quebras</x:v>
      </x:c>
      <x:c r="I710" s="28" t="str">
        <x:v>Sim</x:v>
      </x:c>
    </x:row>
    <x:row r="711">
      <x:c r="A711" s="34" t="n">
        <x:v>45614</x:v>
      </x:c>
      <x:c r="B711" s="28" t="str">
        <x:v>Grupo Industrial S.A.</x:v>
      </x:c>
      <x:c r="C711" s="28" t="str">
        <x:v>Planta Campinas</x:v>
      </x:c>
      <x:c r="D711" s="28" t="str">
        <x:v>Linha 3 - Extrusão</x:v>
      </x:c>
      <x:c r="E711" s="28" t="str">
        <x:v>EQ-3-01</x:v>
      </x:c>
      <x:c r="F711" s="28" t="str">
        <x:v>Corretiva</x:v>
      </x:c>
      <x:c r="G711" s="32" t="n">
        <x:v>8.18</x:v>
      </x:c>
      <x:c r="H711" s="28" t="str">
        <x:v>Ajustes</x:v>
      </x:c>
      <x:c r="I711" s="28" t="str">
        <x:v>Não</x:v>
      </x:c>
    </x:row>
    <x:row r="712">
      <x:c r="A712" s="34" t="n">
        <x:v>45614</x:v>
      </x:c>
      <x:c r="B712" s="28" t="str">
        <x:v>Grupo Industrial S.A.</x:v>
      </x:c>
      <x:c r="C712" s="28" t="str">
        <x:v>Planta Campinas</x:v>
      </x:c>
      <x:c r="D712" s="28" t="str">
        <x:v>Linha 3 - Extrusão</x:v>
      </x:c>
      <x:c r="E712" s="28" t="str">
        <x:v>EQ-3-02</x:v>
      </x:c>
      <x:c r="F712" s="28" t="str">
        <x:v>Operacional</x:v>
      </x:c>
      <x:c r="G712" s="32" t="n">
        <x:v>4.58</x:v>
      </x:c>
      <x:c r="H712" s="28" t="str">
        <x:v>Falta de material</x:v>
      </x:c>
      <x:c r="I712" s="28" t="str">
        <x:v>Sim</x:v>
      </x:c>
    </x:row>
    <x:row r="713">
      <x:c r="A713" s="34" t="n">
        <x:v>45614</x:v>
      </x:c>
      <x:c r="B713" s="28" t="str">
        <x:v>Grupo Industrial S.A.</x:v>
      </x:c>
      <x:c r="C713" s="28" t="str">
        <x:v>Planta Campinas</x:v>
      </x:c>
      <x:c r="D713" s="28" t="str">
        <x:v>Linha 3 - Extrusão</x:v>
      </x:c>
      <x:c r="E713" s="28" t="str">
        <x:v>EQ-3-03</x:v>
      </x:c>
      <x:c r="F713" s="28" t="str">
        <x:v>Corretiva</x:v>
      </x:c>
      <x:c r="G713" s="32" t="n">
        <x:v>10.27</x:v>
      </x:c>
      <x:c r="H713" s="28" t="str">
        <x:v>Quebras</x:v>
      </x:c>
      <x:c r="I713" s="28" t="str">
        <x:v>Sim</x:v>
      </x:c>
    </x:row>
    <x:row r="714">
      <x:c r="A714" s="34" t="n">
        <x:v>45614</x:v>
      </x:c>
      <x:c r="B714" s="28" t="str">
        <x:v>Grupo Industrial S.A.</x:v>
      </x:c>
      <x:c r="C714" s="28" t="str">
        <x:v>Planta Campinas</x:v>
      </x:c>
      <x:c r="D714" s="28" t="str">
        <x:v>Linha 4 - Embalagem</x:v>
      </x:c>
      <x:c r="E714" s="28" t="str">
        <x:v>EQ-4-01</x:v>
      </x:c>
      <x:c r="F714" s="28" t="str">
        <x:v>Corretiva</x:v>
      </x:c>
      <x:c r="G714" s="32" t="n">
        <x:v>12.36</x:v>
      </x:c>
      <x:c r="H714" s="28" t="str">
        <x:v>Quebras</x:v>
      </x:c>
      <x:c r="I714" s="28" t="str">
        <x:v>Sim</x:v>
      </x:c>
    </x:row>
    <x:row r="715">
      <x:c r="A715" s="34" t="n">
        <x:v>45614</x:v>
      </x:c>
      <x:c r="B715" s="28" t="str">
        <x:v>Grupo Industrial S.A.</x:v>
      </x:c>
      <x:c r="C715" s="28" t="str">
        <x:v>Planta Campinas</x:v>
      </x:c>
      <x:c r="D715" s="28" t="str">
        <x:v>Linha 4 - Embalagem</x:v>
      </x:c>
      <x:c r="E715" s="28" t="str">
        <x:v>EQ-4-02</x:v>
      </x:c>
      <x:c r="F715" s="28" t="str">
        <x:v>Operacional</x:v>
      </x:c>
      <x:c r="G715" s="32" t="n">
        <x:v>4.74</x:v>
      </x:c>
      <x:c r="H715" s="28" t="str">
        <x:v>Setup</x:v>
      </x:c>
      <x:c r="I715" s="28" t="str">
        <x:v>Não</x:v>
      </x:c>
    </x:row>
    <x:row r="716">
      <x:c r="A716" s="34" t="n">
        <x:v>45614</x:v>
      </x:c>
      <x:c r="B716" s="28" t="str">
        <x:v>Grupo Industrial S.A.</x:v>
      </x:c>
      <x:c r="C716" s="28" t="str">
        <x:v>Planta Campinas</x:v>
      </x:c>
      <x:c r="D716" s="28" t="str">
        <x:v>Linha 4 - Embalagem</x:v>
      </x:c>
      <x:c r="E716" s="28" t="str">
        <x:v>EQ-4-03</x:v>
      </x:c>
      <x:c r="F716" s="28" t="str">
        <x:v>Operacional</x:v>
      </x:c>
      <x:c r="G716" s="32" t="n">
        <x:v>7.76</x:v>
      </x:c>
      <x:c r="H716" s="28" t="str">
        <x:v>Falta de material</x:v>
      </x:c>
      <x:c r="I716" s="28" t="str">
        <x:v>Sim</x:v>
      </x:c>
    </x:row>
    <x:row r="717">
      <x:c r="A717" s="34" t="n">
        <x:v>45614</x:v>
      </x:c>
      <x:c r="B717" s="28" t="str">
        <x:v>Grupo Industrial S.A.</x:v>
      </x:c>
      <x:c r="C717" s="28" t="str">
        <x:v>Planta Curitiba</x:v>
      </x:c>
      <x:c r="D717" s="28" t="str">
        <x:v>Linha 5 - Usinagem</x:v>
      </x:c>
      <x:c r="E717" s="28" t="str">
        <x:v>EQ-5-01</x:v>
      </x:c>
      <x:c r="F717" s="28" t="str">
        <x:v>Corretiva</x:v>
      </x:c>
      <x:c r="G717" s="32" t="n">
        <x:v>8.32</x:v>
      </x:c>
      <x:c r="H717" s="28" t="str">
        <x:v>Quebras</x:v>
      </x:c>
      <x:c r="I717" s="28" t="str">
        <x:v>Sim</x:v>
      </x:c>
    </x:row>
    <x:row r="718">
      <x:c r="A718" s="34" t="n">
        <x:v>45614</x:v>
      </x:c>
      <x:c r="B718" s="28" t="str">
        <x:v>Grupo Industrial S.A.</x:v>
      </x:c>
      <x:c r="C718" s="28" t="str">
        <x:v>Planta Curitiba</x:v>
      </x:c>
      <x:c r="D718" s="28" t="str">
        <x:v>Linha 5 - Usinagem</x:v>
      </x:c>
      <x:c r="E718" s="28" t="str">
        <x:v>EQ-5-02</x:v>
      </x:c>
      <x:c r="F718" s="28" t="str">
        <x:v>Corretiva</x:v>
      </x:c>
      <x:c r="G718" s="32" t="n">
        <x:v>5.09</x:v>
      </x:c>
      <x:c r="H718" s="28" t="str">
        <x:v>Microparadas</x:v>
      </x:c>
      <x:c r="I718" s="28" t="str">
        <x:v>Não</x:v>
      </x:c>
    </x:row>
    <x:row r="719">
      <x:c r="A719" s="34" t="n">
        <x:v>45614</x:v>
      </x:c>
      <x:c r="B719" s="28" t="str">
        <x:v>Grupo Industrial S.A.</x:v>
      </x:c>
      <x:c r="C719" s="28" t="str">
        <x:v>Planta Curitiba</x:v>
      </x:c>
      <x:c r="D719" s="28" t="str">
        <x:v>Linha 5 - Usinagem</x:v>
      </x:c>
      <x:c r="E719" s="28" t="str">
        <x:v>EQ-5-03</x:v>
      </x:c>
      <x:c r="F719" s="28" t="str">
        <x:v>Operacional</x:v>
      </x:c>
      <x:c r="G719" s="32" t="n">
        <x:v>5.88</x:v>
      </x:c>
      <x:c r="H719" s="28" t="str">
        <x:v>Troca de ferramenta</x:v>
      </x:c>
      <x:c r="I719" s="28" t="str">
        <x:v>Não</x:v>
      </x:c>
    </x:row>
    <x:row r="720">
      <x:c r="A720" s="34" t="n">
        <x:v>45614</x:v>
      </x:c>
      <x:c r="B720" s="28" t="str">
        <x:v>Grupo Industrial S.A.</x:v>
      </x:c>
      <x:c r="C720" s="28" t="str">
        <x:v>Planta Curitiba</x:v>
      </x:c>
      <x:c r="D720" s="28" t="str">
        <x:v>Linha 6 - Finalização</x:v>
      </x:c>
      <x:c r="E720" s="28" t="str">
        <x:v>EQ-6-01</x:v>
      </x:c>
      <x:c r="F720" s="28" t="str">
        <x:v>Operacional</x:v>
      </x:c>
      <x:c r="G720" s="32" t="n">
        <x:v>9</x:v>
      </x:c>
      <x:c r="H720" s="28" t="str">
        <x:v>Setup</x:v>
      </x:c>
      <x:c r="I720" s="28" t="str">
        <x:v>Não</x:v>
      </x:c>
    </x:row>
    <x:row r="721">
      <x:c r="A721" s="34" t="n">
        <x:v>45614</x:v>
      </x:c>
      <x:c r="B721" s="28" t="str">
        <x:v>Grupo Industrial S.A.</x:v>
      </x:c>
      <x:c r="C721" s="28" t="str">
        <x:v>Planta Curitiba</x:v>
      </x:c>
      <x:c r="D721" s="28" t="str">
        <x:v>Linha 6 - Finalização</x:v>
      </x:c>
      <x:c r="E721" s="28" t="str">
        <x:v>EQ-6-02</x:v>
      </x:c>
      <x:c r="F721" s="28" t="str">
        <x:v>Operacional</x:v>
      </x:c>
      <x:c r="G721" s="32" t="n">
        <x:v>8.54</x:v>
      </x:c>
      <x:c r="H721" s="28" t="str">
        <x:v>Troca de ferramenta</x:v>
      </x:c>
      <x:c r="I721" s="28" t="str">
        <x:v>Não</x:v>
      </x:c>
    </x:row>
    <x:row r="722">
      <x:c r="A722" s="34" t="n">
        <x:v>45621</x:v>
      </x:c>
      <x:c r="B722" s="28" t="str">
        <x:v>Grupo Industrial S.A.</x:v>
      </x:c>
      <x:c r="C722" s="28" t="str">
        <x:v>Planta São Paulo</x:v>
      </x:c>
      <x:c r="D722" s="28" t="str">
        <x:v>Linha 1 - Corte</x:v>
      </x:c>
      <x:c r="E722" s="28" t="str">
        <x:v>EQ-1-01</x:v>
      </x:c>
      <x:c r="F722" s="28" t="str">
        <x:v>Corretiva</x:v>
      </x:c>
      <x:c r="G722" s="32" t="n">
        <x:v>5.09</x:v>
      </x:c>
      <x:c r="H722" s="28" t="str">
        <x:v>Microparadas</x:v>
      </x:c>
      <x:c r="I722" s="28" t="str">
        <x:v>Não</x:v>
      </x:c>
    </x:row>
    <x:row r="723">
      <x:c r="A723" s="34" t="n">
        <x:v>45621</x:v>
      </x:c>
      <x:c r="B723" s="28" t="str">
        <x:v>Grupo Industrial S.A.</x:v>
      </x:c>
      <x:c r="C723" s="28" t="str">
        <x:v>Planta São Paulo</x:v>
      </x:c>
      <x:c r="D723" s="28" t="str">
        <x:v>Linha 1 - Corte</x:v>
      </x:c>
      <x:c r="E723" s="28" t="str">
        <x:v>EQ-1-02</x:v>
      </x:c>
      <x:c r="F723" s="28" t="str">
        <x:v>Operacional</x:v>
      </x:c>
      <x:c r="G723" s="32" t="n">
        <x:v>7.32</x:v>
      </x:c>
      <x:c r="H723" s="28" t="str">
        <x:v>Setup</x:v>
      </x:c>
      <x:c r="I723" s="28" t="str">
        <x:v>Não</x:v>
      </x:c>
    </x:row>
    <x:row r="724">
      <x:c r="A724" s="34" t="n">
        <x:v>45621</x:v>
      </x:c>
      <x:c r="B724" s="28" t="str">
        <x:v>Grupo Industrial S.A.</x:v>
      </x:c>
      <x:c r="C724" s="28" t="str">
        <x:v>Planta São Paulo</x:v>
      </x:c>
      <x:c r="D724" s="28" t="str">
        <x:v>Linha 2 - Montagem</x:v>
      </x:c>
      <x:c r="E724" s="28" t="str">
        <x:v>EQ-2-01</x:v>
      </x:c>
      <x:c r="F724" s="28" t="str">
        <x:v>Corretiva</x:v>
      </x:c>
      <x:c r="G724" s="32" t="n">
        <x:v>8.4</x:v>
      </x:c>
      <x:c r="H724" s="28" t="str">
        <x:v>Quebras</x:v>
      </x:c>
      <x:c r="I724" s="28" t="str">
        <x:v>Sim</x:v>
      </x:c>
    </x:row>
    <x:row r="725">
      <x:c r="A725" s="34" t="n">
        <x:v>45621</x:v>
      </x:c>
      <x:c r="B725" s="28" t="str">
        <x:v>Grupo Industrial S.A.</x:v>
      </x:c>
      <x:c r="C725" s="28" t="str">
        <x:v>Planta São Paulo</x:v>
      </x:c>
      <x:c r="D725" s="28" t="str">
        <x:v>Linha 2 - Montagem</x:v>
      </x:c>
      <x:c r="E725" s="28" t="str">
        <x:v>EQ-2-02</x:v>
      </x:c>
      <x:c r="F725" s="28" t="str">
        <x:v>Corretiva</x:v>
      </x:c>
      <x:c r="G725" s="32" t="n">
        <x:v>9.4</x:v>
      </x:c>
      <x:c r="H725" s="28" t="str">
        <x:v>Microparadas</x:v>
      </x:c>
      <x:c r="I725" s="28" t="str">
        <x:v>Não</x:v>
      </x:c>
    </x:row>
    <x:row r="726">
      <x:c r="A726" s="34" t="n">
        <x:v>45621</x:v>
      </x:c>
      <x:c r="B726" s="28" t="str">
        <x:v>Grupo Industrial S.A.</x:v>
      </x:c>
      <x:c r="C726" s="28" t="str">
        <x:v>Planta Campinas</x:v>
      </x:c>
      <x:c r="D726" s="28" t="str">
        <x:v>Linha 3 - Extrusão</x:v>
      </x:c>
      <x:c r="E726" s="28" t="str">
        <x:v>EQ-3-01</x:v>
      </x:c>
      <x:c r="F726" s="28" t="str">
        <x:v>Corretiva</x:v>
      </x:c>
      <x:c r="G726" s="32" t="n">
        <x:v>9.26</x:v>
      </x:c>
      <x:c r="H726" s="28" t="str">
        <x:v>Ajustes</x:v>
      </x:c>
      <x:c r="I726" s="28" t="str">
        <x:v>Não</x:v>
      </x:c>
    </x:row>
    <x:row r="727">
      <x:c r="A727" s="34" t="n">
        <x:v>45621</x:v>
      </x:c>
      <x:c r="B727" s="28" t="str">
        <x:v>Grupo Industrial S.A.</x:v>
      </x:c>
      <x:c r="C727" s="28" t="str">
        <x:v>Planta Campinas</x:v>
      </x:c>
      <x:c r="D727" s="28" t="str">
        <x:v>Linha 3 - Extrusão</x:v>
      </x:c>
      <x:c r="E727" s="28" t="str">
        <x:v>EQ-3-02</x:v>
      </x:c>
      <x:c r="F727" s="28" t="str">
        <x:v>Corretiva</x:v>
      </x:c>
      <x:c r="G727" s="32" t="n">
        <x:v>6.98</x:v>
      </x:c>
      <x:c r="H727" s="28" t="str">
        <x:v>Quebras</x:v>
      </x:c>
      <x:c r="I727" s="28" t="str">
        <x:v>Sim</x:v>
      </x:c>
    </x:row>
    <x:row r="728">
      <x:c r="A728" s="34" t="n">
        <x:v>45621</x:v>
      </x:c>
      <x:c r="B728" s="28" t="str">
        <x:v>Grupo Industrial S.A.</x:v>
      </x:c>
      <x:c r="C728" s="28" t="str">
        <x:v>Planta Campinas</x:v>
      </x:c>
      <x:c r="D728" s="28" t="str">
        <x:v>Linha 3 - Extrusão</x:v>
      </x:c>
      <x:c r="E728" s="28" t="str">
        <x:v>EQ-3-03</x:v>
      </x:c>
      <x:c r="F728" s="28" t="str">
        <x:v>Corretiva</x:v>
      </x:c>
      <x:c r="G728" s="32" t="n">
        <x:v>8.64</x:v>
      </x:c>
      <x:c r="H728" s="28" t="str">
        <x:v>Quebras</x:v>
      </x:c>
      <x:c r="I728" s="28" t="str">
        <x:v>Sim</x:v>
      </x:c>
    </x:row>
    <x:row r="729">
      <x:c r="A729" s="34" t="n">
        <x:v>45621</x:v>
      </x:c>
      <x:c r="B729" s="28" t="str">
        <x:v>Grupo Industrial S.A.</x:v>
      </x:c>
      <x:c r="C729" s="28" t="str">
        <x:v>Planta Campinas</x:v>
      </x:c>
      <x:c r="D729" s="28" t="str">
        <x:v>Linha 4 - Embalagem</x:v>
      </x:c>
      <x:c r="E729" s="28" t="str">
        <x:v>EQ-4-01</x:v>
      </x:c>
      <x:c r="F729" s="28" t="str">
        <x:v>Operacional</x:v>
      </x:c>
      <x:c r="G729" s="32" t="n">
        <x:v>12.03</x:v>
      </x:c>
      <x:c r="H729" s="28" t="str">
        <x:v>Setup</x:v>
      </x:c>
      <x:c r="I729" s="28" t="str">
        <x:v>Não</x:v>
      </x:c>
    </x:row>
    <x:row r="730">
      <x:c r="A730" s="34" t="n">
        <x:v>45621</x:v>
      </x:c>
      <x:c r="B730" s="28" t="str">
        <x:v>Grupo Industrial S.A.</x:v>
      </x:c>
      <x:c r="C730" s="28" t="str">
        <x:v>Planta Campinas</x:v>
      </x:c>
      <x:c r="D730" s="28" t="str">
        <x:v>Linha 4 - Embalagem</x:v>
      </x:c>
      <x:c r="E730" s="28" t="str">
        <x:v>EQ-4-02</x:v>
      </x:c>
      <x:c r="F730" s="28" t="str">
        <x:v>Operacional</x:v>
      </x:c>
      <x:c r="G730" s="32" t="n">
        <x:v>5.78</x:v>
      </x:c>
      <x:c r="H730" s="28" t="str">
        <x:v>Setup</x:v>
      </x:c>
      <x:c r="I730" s="28" t="str">
        <x:v>Não</x:v>
      </x:c>
    </x:row>
    <x:row r="731">
      <x:c r="A731" s="34" t="n">
        <x:v>45621</x:v>
      </x:c>
      <x:c r="B731" s="28" t="str">
        <x:v>Grupo Industrial S.A.</x:v>
      </x:c>
      <x:c r="C731" s="28" t="str">
        <x:v>Planta Campinas</x:v>
      </x:c>
      <x:c r="D731" s="28" t="str">
        <x:v>Linha 4 - Embalagem</x:v>
      </x:c>
      <x:c r="E731" s="28" t="str">
        <x:v>EQ-4-03</x:v>
      </x:c>
      <x:c r="F731" s="28" t="str">
        <x:v>Corretiva</x:v>
      </x:c>
      <x:c r="G731" s="32" t="n">
        <x:v>5.91</x:v>
      </x:c>
      <x:c r="H731" s="28" t="str">
        <x:v>Quebras</x:v>
      </x:c>
      <x:c r="I731" s="28" t="str">
        <x:v>Sim</x:v>
      </x:c>
    </x:row>
    <x:row r="732">
      <x:c r="A732" s="34" t="n">
        <x:v>45621</x:v>
      </x:c>
      <x:c r="B732" s="28" t="str">
        <x:v>Grupo Industrial S.A.</x:v>
      </x:c>
      <x:c r="C732" s="28" t="str">
        <x:v>Planta Curitiba</x:v>
      </x:c>
      <x:c r="D732" s="28" t="str">
        <x:v>Linha 5 - Usinagem</x:v>
      </x:c>
      <x:c r="E732" s="28" t="str">
        <x:v>EQ-5-01</x:v>
      </x:c>
      <x:c r="F732" s="28" t="str">
        <x:v>Corretiva</x:v>
      </x:c>
      <x:c r="G732" s="32" t="n">
        <x:v>9.62</x:v>
      </x:c>
      <x:c r="H732" s="28" t="str">
        <x:v>Microparadas</x:v>
      </x:c>
      <x:c r="I732" s="28" t="str">
        <x:v>Não</x:v>
      </x:c>
    </x:row>
    <x:row r="733">
      <x:c r="A733" s="34" t="n">
        <x:v>45621</x:v>
      </x:c>
      <x:c r="B733" s="28" t="str">
        <x:v>Grupo Industrial S.A.</x:v>
      </x:c>
      <x:c r="C733" s="28" t="str">
        <x:v>Planta Curitiba</x:v>
      </x:c>
      <x:c r="D733" s="28" t="str">
        <x:v>Linha 5 - Usinagem</x:v>
      </x:c>
      <x:c r="E733" s="28" t="str">
        <x:v>EQ-5-02</x:v>
      </x:c>
      <x:c r="F733" s="28" t="str">
        <x:v>Operacional</x:v>
      </x:c>
      <x:c r="G733" s="32" t="n">
        <x:v>4.25</x:v>
      </x:c>
      <x:c r="H733" s="28" t="str">
        <x:v>Troca de ferramenta</x:v>
      </x:c>
      <x:c r="I733" s="28" t="str">
        <x:v>Não</x:v>
      </x:c>
    </x:row>
    <x:row r="734">
      <x:c r="A734" s="34" t="n">
        <x:v>45621</x:v>
      </x:c>
      <x:c r="B734" s="28" t="str">
        <x:v>Grupo Industrial S.A.</x:v>
      </x:c>
      <x:c r="C734" s="28" t="str">
        <x:v>Planta Curitiba</x:v>
      </x:c>
      <x:c r="D734" s="28" t="str">
        <x:v>Linha 5 - Usinagem</x:v>
      </x:c>
      <x:c r="E734" s="28" t="str">
        <x:v>EQ-5-03</x:v>
      </x:c>
      <x:c r="F734" s="28" t="str">
        <x:v>Operacional</x:v>
      </x:c>
      <x:c r="G734" s="32" t="n">
        <x:v>6.49</x:v>
      </x:c>
      <x:c r="H734" s="28" t="str">
        <x:v>Setup</x:v>
      </x:c>
      <x:c r="I734" s="28" t="str">
        <x:v>Não</x:v>
      </x:c>
    </x:row>
    <x:row r="735">
      <x:c r="A735" s="34" t="n">
        <x:v>45621</x:v>
      </x:c>
      <x:c r="B735" s="28" t="str">
        <x:v>Grupo Industrial S.A.</x:v>
      </x:c>
      <x:c r="C735" s="28" t="str">
        <x:v>Planta Curitiba</x:v>
      </x:c>
      <x:c r="D735" s="28" t="str">
        <x:v>Linha 6 - Finalização</x:v>
      </x:c>
      <x:c r="E735" s="28" t="str">
        <x:v>EQ-6-01</x:v>
      </x:c>
      <x:c r="F735" s="28" t="str">
        <x:v>Operacional</x:v>
      </x:c>
      <x:c r="G735" s="32" t="n">
        <x:v>4.75</x:v>
      </x:c>
      <x:c r="H735" s="28" t="str">
        <x:v>Troca de ferramenta</x:v>
      </x:c>
      <x:c r="I735" s="28" t="str">
        <x:v>Não</x:v>
      </x:c>
    </x:row>
    <x:row r="736">
      <x:c r="A736" s="34" t="n">
        <x:v>45621</x:v>
      </x:c>
      <x:c r="B736" s="28" t="str">
        <x:v>Grupo Industrial S.A.</x:v>
      </x:c>
      <x:c r="C736" s="28" t="str">
        <x:v>Planta Curitiba</x:v>
      </x:c>
      <x:c r="D736" s="28" t="str">
        <x:v>Linha 6 - Finalização</x:v>
      </x:c>
      <x:c r="E736" s="28" t="str">
        <x:v>EQ-6-02</x:v>
      </x:c>
      <x:c r="F736" s="28" t="str">
        <x:v>Corretiva</x:v>
      </x:c>
      <x:c r="G736" s="32" t="n">
        <x:v>11.97</x:v>
      </x:c>
      <x:c r="H736" s="28" t="str">
        <x:v>Microparadas</x:v>
      </x:c>
      <x:c r="I736" s="28" t="str">
        <x:v>Não</x:v>
      </x:c>
    </x:row>
    <x:row r="737">
      <x:c r="A737" s="34" t="n">
        <x:v>45628</x:v>
      </x:c>
      <x:c r="B737" s="28" t="str">
        <x:v>Grupo Industrial S.A.</x:v>
      </x:c>
      <x:c r="C737" s="28" t="str">
        <x:v>Planta São Paulo</x:v>
      </x:c>
      <x:c r="D737" s="28" t="str">
        <x:v>Linha 1 - Corte</x:v>
      </x:c>
      <x:c r="E737" s="28" t="str">
        <x:v>EQ-1-01</x:v>
      </x:c>
      <x:c r="F737" s="28" t="str">
        <x:v>Operacional</x:v>
      </x:c>
      <x:c r="G737" s="32" t="n">
        <x:v>5.13</x:v>
      </x:c>
      <x:c r="H737" s="28" t="str">
        <x:v>Setup</x:v>
      </x:c>
      <x:c r="I737" s="28" t="str">
        <x:v>Não</x:v>
      </x:c>
    </x:row>
    <x:row r="738">
      <x:c r="A738" s="34" t="n">
        <x:v>45628</x:v>
      </x:c>
      <x:c r="B738" s="28" t="str">
        <x:v>Grupo Industrial S.A.</x:v>
      </x:c>
      <x:c r="C738" s="28" t="str">
        <x:v>Planta São Paulo</x:v>
      </x:c>
      <x:c r="D738" s="28" t="str">
        <x:v>Linha 1 - Corte</x:v>
      </x:c>
      <x:c r="E738" s="28" t="str">
        <x:v>EQ-1-02</x:v>
      </x:c>
      <x:c r="F738" s="28" t="str">
        <x:v>Corretiva</x:v>
      </x:c>
      <x:c r="G738" s="32" t="n">
        <x:v>10.39</x:v>
      </x:c>
      <x:c r="H738" s="28" t="str">
        <x:v>Elétrica</x:v>
      </x:c>
      <x:c r="I738" s="28" t="str">
        <x:v>Sim</x:v>
      </x:c>
    </x:row>
    <x:row r="739">
      <x:c r="A739" s="34" t="n">
        <x:v>45628</x:v>
      </x:c>
      <x:c r="B739" s="28" t="str">
        <x:v>Grupo Industrial S.A.</x:v>
      </x:c>
      <x:c r="C739" s="28" t="str">
        <x:v>Planta São Paulo</x:v>
      </x:c>
      <x:c r="D739" s="28" t="str">
        <x:v>Linha 2 - Montagem</x:v>
      </x:c>
      <x:c r="E739" s="28" t="str">
        <x:v>EQ-2-01</x:v>
      </x:c>
      <x:c r="F739" s="28" t="str">
        <x:v>Operacional</x:v>
      </x:c>
      <x:c r="G739" s="32" t="n">
        <x:v>5.73</x:v>
      </x:c>
      <x:c r="H739" s="28" t="str">
        <x:v>Setup</x:v>
      </x:c>
      <x:c r="I739" s="28" t="str">
        <x:v>Não</x:v>
      </x:c>
    </x:row>
    <x:row r="740">
      <x:c r="A740" s="34" t="n">
        <x:v>45628</x:v>
      </x:c>
      <x:c r="B740" s="28" t="str">
        <x:v>Grupo Industrial S.A.</x:v>
      </x:c>
      <x:c r="C740" s="28" t="str">
        <x:v>Planta São Paulo</x:v>
      </x:c>
      <x:c r="D740" s="28" t="str">
        <x:v>Linha 2 - Montagem</x:v>
      </x:c>
      <x:c r="E740" s="28" t="str">
        <x:v>EQ-2-02</x:v>
      </x:c>
      <x:c r="F740" s="28" t="str">
        <x:v>Corretiva</x:v>
      </x:c>
      <x:c r="G740" s="32" t="n">
        <x:v>10.29</x:v>
      </x:c>
      <x:c r="H740" s="28" t="str">
        <x:v>Quebras</x:v>
      </x:c>
      <x:c r="I740" s="28" t="str">
        <x:v>Sim</x:v>
      </x:c>
    </x:row>
    <x:row r="741">
      <x:c r="A741" s="34" t="n">
        <x:v>45628</x:v>
      </x:c>
      <x:c r="B741" s="28" t="str">
        <x:v>Grupo Industrial S.A.</x:v>
      </x:c>
      <x:c r="C741" s="28" t="str">
        <x:v>Planta Campinas</x:v>
      </x:c>
      <x:c r="D741" s="28" t="str">
        <x:v>Linha 3 - Extrusão</x:v>
      </x:c>
      <x:c r="E741" s="28" t="str">
        <x:v>EQ-3-01</x:v>
      </x:c>
      <x:c r="F741" s="28" t="str">
        <x:v>Operacional</x:v>
      </x:c>
      <x:c r="G741" s="32" t="n">
        <x:v>7.7</x:v>
      </x:c>
      <x:c r="H741" s="28" t="str">
        <x:v>Falta de material</x:v>
      </x:c>
      <x:c r="I741" s="28" t="str">
        <x:v>Sim</x:v>
      </x:c>
    </x:row>
    <x:row r="742">
      <x:c r="A742" s="34" t="n">
        <x:v>45628</x:v>
      </x:c>
      <x:c r="B742" s="28" t="str">
        <x:v>Grupo Industrial S.A.</x:v>
      </x:c>
      <x:c r="C742" s="28" t="str">
        <x:v>Planta Campinas</x:v>
      </x:c>
      <x:c r="D742" s="28" t="str">
        <x:v>Linha 3 - Extrusão</x:v>
      </x:c>
      <x:c r="E742" s="28" t="str">
        <x:v>EQ-3-02</x:v>
      </x:c>
      <x:c r="F742" s="28" t="str">
        <x:v>Corretiva</x:v>
      </x:c>
      <x:c r="G742" s="32" t="n">
        <x:v>6.78</x:v>
      </x:c>
      <x:c r="H742" s="28" t="str">
        <x:v>Ajustes</x:v>
      </x:c>
      <x:c r="I742" s="28" t="str">
        <x:v>Não</x:v>
      </x:c>
    </x:row>
    <x:row r="743">
      <x:c r="A743" s="34" t="n">
        <x:v>45628</x:v>
      </x:c>
      <x:c r="B743" s="28" t="str">
        <x:v>Grupo Industrial S.A.</x:v>
      </x:c>
      <x:c r="C743" s="28" t="str">
        <x:v>Planta Campinas</x:v>
      </x:c>
      <x:c r="D743" s="28" t="str">
        <x:v>Linha 3 - Extrusão</x:v>
      </x:c>
      <x:c r="E743" s="28" t="str">
        <x:v>EQ-3-03</x:v>
      </x:c>
      <x:c r="F743" s="28" t="str">
        <x:v>Corretiva</x:v>
      </x:c>
      <x:c r="G743" s="32" t="n">
        <x:v>10.38</x:v>
      </x:c>
      <x:c r="H743" s="28" t="str">
        <x:v>Ajustes</x:v>
      </x:c>
      <x:c r="I743" s="28" t="str">
        <x:v>Não</x:v>
      </x:c>
    </x:row>
    <x:row r="744">
      <x:c r="A744" s="34" t="n">
        <x:v>45628</x:v>
      </x:c>
      <x:c r="B744" s="28" t="str">
        <x:v>Grupo Industrial S.A.</x:v>
      </x:c>
      <x:c r="C744" s="28" t="str">
        <x:v>Planta Campinas</x:v>
      </x:c>
      <x:c r="D744" s="28" t="str">
        <x:v>Linha 4 - Embalagem</x:v>
      </x:c>
      <x:c r="E744" s="28" t="str">
        <x:v>EQ-4-01</x:v>
      </x:c>
      <x:c r="F744" s="28" t="str">
        <x:v>Operacional</x:v>
      </x:c>
      <x:c r="G744" s="32" t="n">
        <x:v>9.79</x:v>
      </x:c>
      <x:c r="H744" s="28" t="str">
        <x:v>Falta de material</x:v>
      </x:c>
      <x:c r="I744" s="28" t="str">
        <x:v>Sim</x:v>
      </x:c>
    </x:row>
    <x:row r="745">
      <x:c r="A745" s="34" t="n">
        <x:v>45628</x:v>
      </x:c>
      <x:c r="B745" s="28" t="str">
        <x:v>Grupo Industrial S.A.</x:v>
      </x:c>
      <x:c r="C745" s="28" t="str">
        <x:v>Planta Campinas</x:v>
      </x:c>
      <x:c r="D745" s="28" t="str">
        <x:v>Linha 4 - Embalagem</x:v>
      </x:c>
      <x:c r="E745" s="28" t="str">
        <x:v>EQ-4-02</x:v>
      </x:c>
      <x:c r="F745" s="28" t="str">
        <x:v>Corretiva</x:v>
      </x:c>
      <x:c r="G745" s="32" t="n">
        <x:v>3.64</x:v>
      </x:c>
      <x:c r="H745" s="28" t="str">
        <x:v>Ajustes</x:v>
      </x:c>
      <x:c r="I745" s="28" t="str">
        <x:v>Não</x:v>
      </x:c>
    </x:row>
    <x:row r="746">
      <x:c r="A746" s="34" t="n">
        <x:v>45628</x:v>
      </x:c>
      <x:c r="B746" s="28" t="str">
        <x:v>Grupo Industrial S.A.</x:v>
      </x:c>
      <x:c r="C746" s="28" t="str">
        <x:v>Planta Campinas</x:v>
      </x:c>
      <x:c r="D746" s="28" t="str">
        <x:v>Linha 4 - Embalagem</x:v>
      </x:c>
      <x:c r="E746" s="28" t="str">
        <x:v>EQ-4-03</x:v>
      </x:c>
      <x:c r="F746" s="28" t="str">
        <x:v>Corretiva</x:v>
      </x:c>
      <x:c r="G746" s="32" t="n">
        <x:v>8.76</x:v>
      </x:c>
      <x:c r="H746" s="28" t="str">
        <x:v>Ajustes</x:v>
      </x:c>
      <x:c r="I746" s="28" t="str">
        <x:v>Não</x:v>
      </x:c>
    </x:row>
    <x:row r="747">
      <x:c r="A747" s="34" t="n">
        <x:v>45628</x:v>
      </x:c>
      <x:c r="B747" s="28" t="str">
        <x:v>Grupo Industrial S.A.</x:v>
      </x:c>
      <x:c r="C747" s="28" t="str">
        <x:v>Planta Curitiba</x:v>
      </x:c>
      <x:c r="D747" s="28" t="str">
        <x:v>Linha 5 - Usinagem</x:v>
      </x:c>
      <x:c r="E747" s="28" t="str">
        <x:v>EQ-5-01</x:v>
      </x:c>
      <x:c r="F747" s="28" t="str">
        <x:v>Operacional</x:v>
      </x:c>
      <x:c r="G747" s="32" t="n">
        <x:v>8.65</x:v>
      </x:c>
      <x:c r="H747" s="28" t="str">
        <x:v>Troca de ferramenta</x:v>
      </x:c>
      <x:c r="I747" s="28" t="str">
        <x:v>Não</x:v>
      </x:c>
    </x:row>
    <x:row r="748">
      <x:c r="A748" s="34" t="n">
        <x:v>45628</x:v>
      </x:c>
      <x:c r="B748" s="28" t="str">
        <x:v>Grupo Industrial S.A.</x:v>
      </x:c>
      <x:c r="C748" s="28" t="str">
        <x:v>Planta Curitiba</x:v>
      </x:c>
      <x:c r="D748" s="28" t="str">
        <x:v>Linha 5 - Usinagem</x:v>
      </x:c>
      <x:c r="E748" s="28" t="str">
        <x:v>EQ-5-02</x:v>
      </x:c>
      <x:c r="F748" s="28" t="str">
        <x:v>Corretiva</x:v>
      </x:c>
      <x:c r="G748" s="32" t="n">
        <x:v>4.07</x:v>
      </x:c>
      <x:c r="H748" s="28" t="str">
        <x:v>Microparadas</x:v>
      </x:c>
      <x:c r="I748" s="28" t="str">
        <x:v>Não</x:v>
      </x:c>
    </x:row>
    <x:row r="749">
      <x:c r="A749" s="34" t="n">
        <x:v>45628</x:v>
      </x:c>
      <x:c r="B749" s="28" t="str">
        <x:v>Grupo Industrial S.A.</x:v>
      </x:c>
      <x:c r="C749" s="28" t="str">
        <x:v>Planta Curitiba</x:v>
      </x:c>
      <x:c r="D749" s="28" t="str">
        <x:v>Linha 5 - Usinagem</x:v>
      </x:c>
      <x:c r="E749" s="28" t="str">
        <x:v>EQ-5-03</x:v>
      </x:c>
      <x:c r="F749" s="28" t="str">
        <x:v>Operacional</x:v>
      </x:c>
      <x:c r="G749" s="32" t="n">
        <x:v>5.85</x:v>
      </x:c>
      <x:c r="H749" s="28" t="str">
        <x:v>Troca de ferramenta</x:v>
      </x:c>
      <x:c r="I749" s="28" t="str">
        <x:v>Não</x:v>
      </x:c>
    </x:row>
    <x:row r="750">
      <x:c r="A750" s="34" t="n">
        <x:v>45628</x:v>
      </x:c>
      <x:c r="B750" s="28" t="str">
        <x:v>Grupo Industrial S.A.</x:v>
      </x:c>
      <x:c r="C750" s="28" t="str">
        <x:v>Planta Curitiba</x:v>
      </x:c>
      <x:c r="D750" s="28" t="str">
        <x:v>Linha 6 - Finalização</x:v>
      </x:c>
      <x:c r="E750" s="28" t="str">
        <x:v>EQ-6-01</x:v>
      </x:c>
      <x:c r="F750" s="28" t="str">
        <x:v>Operacional</x:v>
      </x:c>
      <x:c r="G750" s="32" t="n">
        <x:v>6.9</x:v>
      </x:c>
      <x:c r="H750" s="28" t="str">
        <x:v>Troca de ferramenta</x:v>
      </x:c>
      <x:c r="I750" s="28" t="str">
        <x:v>Não</x:v>
      </x:c>
    </x:row>
    <x:row r="751">
      <x:c r="A751" s="34" t="n">
        <x:v>45628</x:v>
      </x:c>
      <x:c r="B751" s="28" t="str">
        <x:v>Grupo Industrial S.A.</x:v>
      </x:c>
      <x:c r="C751" s="28" t="str">
        <x:v>Planta Curitiba</x:v>
      </x:c>
      <x:c r="D751" s="28" t="str">
        <x:v>Linha 6 - Finalização</x:v>
      </x:c>
      <x:c r="E751" s="28" t="str">
        <x:v>EQ-6-02</x:v>
      </x:c>
      <x:c r="F751" s="28" t="str">
        <x:v>Operacional</x:v>
      </x:c>
      <x:c r="G751" s="32" t="n">
        <x:v>4.39</x:v>
      </x:c>
      <x:c r="H751" s="28" t="str">
        <x:v>Setup</x:v>
      </x:c>
      <x:c r="I751" s="28" t="str">
        <x:v>Não</x:v>
      </x:c>
    </x:row>
    <x:row r="752">
      <x:c r="A752" s="34" t="n">
        <x:v>45628</x:v>
      </x:c>
      <x:c r="B752" s="28" t="str">
        <x:v>Grupo Industrial S.A.</x:v>
      </x:c>
      <x:c r="C752" s="28" t="str">
        <x:v>Planta Curitiba</x:v>
      </x:c>
      <x:c r="D752" s="28" t="str">
        <x:v>Linha 6 - Finalização</x:v>
      </x:c>
      <x:c r="E752" s="28" t="str">
        <x:v>EQ-6-03</x:v>
      </x:c>
      <x:c r="F752" s="28" t="str">
        <x:v>Operacional</x:v>
      </x:c>
      <x:c r="G752" s="32" t="n">
        <x:v>8.93</x:v>
      </x:c>
      <x:c r="H752" s="28" t="str">
        <x:v>Troca de ferramenta</x:v>
      </x:c>
      <x:c r="I752" s="28" t="str">
        <x:v>Não</x:v>
      </x:c>
    </x:row>
    <x:row r="753">
      <x:c r="A753" s="34" t="n">
        <x:v>45635</x:v>
      </x:c>
      <x:c r="B753" s="28" t="str">
        <x:v>Grupo Industrial S.A.</x:v>
      </x:c>
      <x:c r="C753" s="28" t="str">
        <x:v>Planta São Paulo</x:v>
      </x:c>
      <x:c r="D753" s="28" t="str">
        <x:v>Linha 1 - Corte</x:v>
      </x:c>
      <x:c r="E753" s="28" t="str">
        <x:v>EQ-1-01</x:v>
      </x:c>
      <x:c r="F753" s="28" t="str">
        <x:v>Operacional</x:v>
      </x:c>
      <x:c r="G753" s="32" t="n">
        <x:v>4.43</x:v>
      </x:c>
      <x:c r="H753" s="28" t="str">
        <x:v>Setup</x:v>
      </x:c>
      <x:c r="I753" s="28" t="str">
        <x:v>Não</x:v>
      </x:c>
    </x:row>
    <x:row r="754">
      <x:c r="A754" s="34" t="n">
        <x:v>45635</x:v>
      </x:c>
      <x:c r="B754" s="28" t="str">
        <x:v>Grupo Industrial S.A.</x:v>
      </x:c>
      <x:c r="C754" s="28" t="str">
        <x:v>Planta São Paulo</x:v>
      </x:c>
      <x:c r="D754" s="28" t="str">
        <x:v>Linha 1 - Corte</x:v>
      </x:c>
      <x:c r="E754" s="28" t="str">
        <x:v>EQ-1-02</x:v>
      </x:c>
      <x:c r="F754" s="28" t="str">
        <x:v>Corretiva</x:v>
      </x:c>
      <x:c r="G754" s="32" t="n">
        <x:v>10.31</x:v>
      </x:c>
      <x:c r="H754" s="28" t="str">
        <x:v>Elétrica</x:v>
      </x:c>
      <x:c r="I754" s="28" t="str">
        <x:v>Sim</x:v>
      </x:c>
    </x:row>
    <x:row r="755">
      <x:c r="A755" s="34" t="n">
        <x:v>45635</x:v>
      </x:c>
      <x:c r="B755" s="28" t="str">
        <x:v>Grupo Industrial S.A.</x:v>
      </x:c>
      <x:c r="C755" s="28" t="str">
        <x:v>Planta São Paulo</x:v>
      </x:c>
      <x:c r="D755" s="28" t="str">
        <x:v>Linha 2 - Montagem</x:v>
      </x:c>
      <x:c r="E755" s="28" t="str">
        <x:v>EQ-2-01</x:v>
      </x:c>
      <x:c r="F755" s="28" t="str">
        <x:v>Corretiva</x:v>
      </x:c>
      <x:c r="G755" s="32" t="n">
        <x:v>3.92</x:v>
      </x:c>
      <x:c r="H755" s="28" t="str">
        <x:v>Microparadas</x:v>
      </x:c>
      <x:c r="I755" s="28" t="str">
        <x:v>Não</x:v>
      </x:c>
    </x:row>
    <x:row r="756">
      <x:c r="A756" s="34" t="n">
        <x:v>45635</x:v>
      </x:c>
      <x:c r="B756" s="28" t="str">
        <x:v>Grupo Industrial S.A.</x:v>
      </x:c>
      <x:c r="C756" s="28" t="str">
        <x:v>Planta São Paulo</x:v>
      </x:c>
      <x:c r="D756" s="28" t="str">
        <x:v>Linha 2 - Montagem</x:v>
      </x:c>
      <x:c r="E756" s="28" t="str">
        <x:v>EQ-2-02</x:v>
      </x:c>
      <x:c r="F756" s="28" t="str">
        <x:v>Corretiva</x:v>
      </x:c>
      <x:c r="G756" s="32" t="n">
        <x:v>9.96</x:v>
      </x:c>
      <x:c r="H756" s="28" t="str">
        <x:v>Microparadas</x:v>
      </x:c>
      <x:c r="I756" s="28" t="str">
        <x:v>Não</x:v>
      </x:c>
    </x:row>
    <x:row r="757">
      <x:c r="A757" s="34" t="n">
        <x:v>45635</x:v>
      </x:c>
      <x:c r="B757" s="28" t="str">
        <x:v>Grupo Industrial S.A.</x:v>
      </x:c>
      <x:c r="C757" s="28" t="str">
        <x:v>Planta Campinas</x:v>
      </x:c>
      <x:c r="D757" s="28" t="str">
        <x:v>Linha 3 - Extrusão</x:v>
      </x:c>
      <x:c r="E757" s="28" t="str">
        <x:v>EQ-3-01</x:v>
      </x:c>
      <x:c r="F757" s="28" t="str">
        <x:v>Operacional</x:v>
      </x:c>
      <x:c r="G757" s="32" t="n">
        <x:v>7.82</x:v>
      </x:c>
      <x:c r="H757" s="28" t="str">
        <x:v>Setup</x:v>
      </x:c>
      <x:c r="I757" s="28" t="str">
        <x:v>Não</x:v>
      </x:c>
    </x:row>
    <x:row r="758">
      <x:c r="A758" s="34" t="n">
        <x:v>45635</x:v>
      </x:c>
      <x:c r="B758" s="28" t="str">
        <x:v>Grupo Industrial S.A.</x:v>
      </x:c>
      <x:c r="C758" s="28" t="str">
        <x:v>Planta Campinas</x:v>
      </x:c>
      <x:c r="D758" s="28" t="str">
        <x:v>Linha 3 - Extrusão</x:v>
      </x:c>
      <x:c r="E758" s="28" t="str">
        <x:v>EQ-3-02</x:v>
      </x:c>
      <x:c r="F758" s="28" t="str">
        <x:v>Operacional</x:v>
      </x:c>
      <x:c r="G758" s="32" t="n">
        <x:v>5.47</x:v>
      </x:c>
      <x:c r="H758" s="28" t="str">
        <x:v>Setup</x:v>
      </x:c>
      <x:c r="I758" s="28" t="str">
        <x:v>Não</x:v>
      </x:c>
    </x:row>
    <x:row r="759">
      <x:c r="A759" s="34" t="n">
        <x:v>45635</x:v>
      </x:c>
      <x:c r="B759" s="28" t="str">
        <x:v>Grupo Industrial S.A.</x:v>
      </x:c>
      <x:c r="C759" s="28" t="str">
        <x:v>Planta Campinas</x:v>
      </x:c>
      <x:c r="D759" s="28" t="str">
        <x:v>Linha 3 - Extrusão</x:v>
      </x:c>
      <x:c r="E759" s="28" t="str">
        <x:v>EQ-3-03</x:v>
      </x:c>
      <x:c r="F759" s="28" t="str">
        <x:v>Corretiva</x:v>
      </x:c>
      <x:c r="G759" s="32" t="n">
        <x:v>13.12</x:v>
      </x:c>
      <x:c r="H759" s="28" t="str">
        <x:v>Quebras</x:v>
      </x:c>
      <x:c r="I759" s="28" t="str">
        <x:v>Sim</x:v>
      </x:c>
    </x:row>
    <x:row r="760">
      <x:c r="A760" s="34" t="n">
        <x:v>45635</x:v>
      </x:c>
      <x:c r="B760" s="28" t="str">
        <x:v>Grupo Industrial S.A.</x:v>
      </x:c>
      <x:c r="C760" s="28" t="str">
        <x:v>Planta Campinas</x:v>
      </x:c>
      <x:c r="D760" s="28" t="str">
        <x:v>Linha 4 - Embalagem</x:v>
      </x:c>
      <x:c r="E760" s="28" t="str">
        <x:v>EQ-4-01</x:v>
      </x:c>
      <x:c r="F760" s="28" t="str">
        <x:v>Operacional</x:v>
      </x:c>
      <x:c r="G760" s="32" t="n">
        <x:v>13.49</x:v>
      </x:c>
      <x:c r="H760" s="28" t="str">
        <x:v>Setup</x:v>
      </x:c>
      <x:c r="I760" s="28" t="str">
        <x:v>Não</x:v>
      </x:c>
    </x:row>
    <x:row r="761">
      <x:c r="A761" s="34" t="n">
        <x:v>45635</x:v>
      </x:c>
      <x:c r="B761" s="28" t="str">
        <x:v>Grupo Industrial S.A.</x:v>
      </x:c>
      <x:c r="C761" s="28" t="str">
        <x:v>Planta Campinas</x:v>
      </x:c>
      <x:c r="D761" s="28" t="str">
        <x:v>Linha 4 - Embalagem</x:v>
      </x:c>
      <x:c r="E761" s="28" t="str">
        <x:v>EQ-4-02</x:v>
      </x:c>
      <x:c r="F761" s="28" t="str">
        <x:v>Corretiva</x:v>
      </x:c>
      <x:c r="G761" s="32" t="n">
        <x:v>5.2</x:v>
      </x:c>
      <x:c r="H761" s="28" t="str">
        <x:v>Quebras</x:v>
      </x:c>
      <x:c r="I761" s="28" t="str">
        <x:v>Sim</x:v>
      </x:c>
    </x:row>
    <x:row r="762">
      <x:c r="A762" s="34" t="n">
        <x:v>45635</x:v>
      </x:c>
      <x:c r="B762" s="28" t="str">
        <x:v>Grupo Industrial S.A.</x:v>
      </x:c>
      <x:c r="C762" s="28" t="str">
        <x:v>Planta Campinas</x:v>
      </x:c>
      <x:c r="D762" s="28" t="str">
        <x:v>Linha 4 - Embalagem</x:v>
      </x:c>
      <x:c r="E762" s="28" t="str">
        <x:v>EQ-4-03</x:v>
      </x:c>
      <x:c r="F762" s="28" t="str">
        <x:v>Corretiva</x:v>
      </x:c>
      <x:c r="G762" s="32" t="n">
        <x:v>7.41</x:v>
      </x:c>
      <x:c r="H762" s="28" t="str">
        <x:v>Ajustes</x:v>
      </x:c>
      <x:c r="I762" s="28" t="str">
        <x:v>Não</x:v>
      </x:c>
    </x:row>
    <x:row r="763">
      <x:c r="A763" s="34" t="n">
        <x:v>45635</x:v>
      </x:c>
      <x:c r="B763" s="28" t="str">
        <x:v>Grupo Industrial S.A.</x:v>
      </x:c>
      <x:c r="C763" s="28" t="str">
        <x:v>Planta Curitiba</x:v>
      </x:c>
      <x:c r="D763" s="28" t="str">
        <x:v>Linha 5 - Usinagem</x:v>
      </x:c>
      <x:c r="E763" s="28" t="str">
        <x:v>EQ-5-01</x:v>
      </x:c>
      <x:c r="F763" s="28" t="str">
        <x:v>Operacional</x:v>
      </x:c>
      <x:c r="G763" s="32" t="n">
        <x:v>7.02</x:v>
      </x:c>
      <x:c r="H763" s="28" t="str">
        <x:v>Troca de ferramenta</x:v>
      </x:c>
      <x:c r="I763" s="28" t="str">
        <x:v>Não</x:v>
      </x:c>
    </x:row>
    <x:row r="764">
      <x:c r="A764" s="34" t="n">
        <x:v>45635</x:v>
      </x:c>
      <x:c r="B764" s="28" t="str">
        <x:v>Grupo Industrial S.A.</x:v>
      </x:c>
      <x:c r="C764" s="28" t="str">
        <x:v>Planta Curitiba</x:v>
      </x:c>
      <x:c r="D764" s="28" t="str">
        <x:v>Linha 5 - Usinagem</x:v>
      </x:c>
      <x:c r="E764" s="28" t="str">
        <x:v>EQ-5-02</x:v>
      </x:c>
      <x:c r="F764" s="28" t="str">
        <x:v>Operacional</x:v>
      </x:c>
      <x:c r="G764" s="32" t="n">
        <x:v>6.33</x:v>
      </x:c>
      <x:c r="H764" s="28" t="str">
        <x:v>Setup</x:v>
      </x:c>
      <x:c r="I764" s="28" t="str">
        <x:v>Não</x:v>
      </x:c>
    </x:row>
    <x:row r="765">
      <x:c r="A765" s="34" t="n">
        <x:v>45635</x:v>
      </x:c>
      <x:c r="B765" s="28" t="str">
        <x:v>Grupo Industrial S.A.</x:v>
      </x:c>
      <x:c r="C765" s="28" t="str">
        <x:v>Planta Curitiba</x:v>
      </x:c>
      <x:c r="D765" s="28" t="str">
        <x:v>Linha 5 - Usinagem</x:v>
      </x:c>
      <x:c r="E765" s="28" t="str">
        <x:v>EQ-5-03</x:v>
      </x:c>
      <x:c r="F765" s="28" t="str">
        <x:v>Operacional</x:v>
      </x:c>
      <x:c r="G765" s="32" t="n">
        <x:v>7.27</x:v>
      </x:c>
      <x:c r="H765" s="28" t="str">
        <x:v>Setup</x:v>
      </x:c>
      <x:c r="I765" s="28" t="str">
        <x:v>Não</x:v>
      </x:c>
    </x:row>
    <x:row r="766">
      <x:c r="A766" s="34" t="n">
        <x:v>45635</x:v>
      </x:c>
      <x:c r="B766" s="28" t="str">
        <x:v>Grupo Industrial S.A.</x:v>
      </x:c>
      <x:c r="C766" s="28" t="str">
        <x:v>Planta Curitiba</x:v>
      </x:c>
      <x:c r="D766" s="28" t="str">
        <x:v>Linha 6 - Finalização</x:v>
      </x:c>
      <x:c r="E766" s="28" t="str">
        <x:v>EQ-6-01</x:v>
      </x:c>
      <x:c r="F766" s="28" t="str">
        <x:v>Operacional</x:v>
      </x:c>
      <x:c r="G766" s="32" t="n">
        <x:v>6.39</x:v>
      </x:c>
      <x:c r="H766" s="28" t="str">
        <x:v>Troca de ferramenta</x:v>
      </x:c>
      <x:c r="I766" s="28" t="str">
        <x:v>Não</x:v>
      </x:c>
    </x:row>
    <x:row r="767">
      <x:c r="A767" s="34" t="n">
        <x:v>45635</x:v>
      </x:c>
      <x:c r="B767" s="28" t="str">
        <x:v>Grupo Industrial S.A.</x:v>
      </x:c>
      <x:c r="C767" s="28" t="str">
        <x:v>Planta Curitiba</x:v>
      </x:c>
      <x:c r="D767" s="28" t="str">
        <x:v>Linha 6 - Finalização</x:v>
      </x:c>
      <x:c r="E767" s="28" t="str">
        <x:v>EQ-6-02</x:v>
      </x:c>
      <x:c r="F767" s="28" t="str">
        <x:v>Corretiva</x:v>
      </x:c>
      <x:c r="G767" s="32" t="n">
        <x:v>4.82</x:v>
      </x:c>
      <x:c r="H767" s="28" t="str">
        <x:v>Quebras</x:v>
      </x:c>
      <x:c r="I767" s="28" t="str">
        <x:v>Sim</x:v>
      </x:c>
    </x:row>
    <x:row r="768">
      <x:c r="A768" s="34" t="n">
        <x:v>45635</x:v>
      </x:c>
      <x:c r="B768" s="28" t="str">
        <x:v>Grupo Industrial S.A.</x:v>
      </x:c>
      <x:c r="C768" s="28" t="str">
        <x:v>Planta Curitiba</x:v>
      </x:c>
      <x:c r="D768" s="28" t="str">
        <x:v>Linha 6 - Finalização</x:v>
      </x:c>
      <x:c r="E768" s="28" t="str">
        <x:v>EQ-6-03</x:v>
      </x:c>
      <x:c r="F768" s="28" t="str">
        <x:v>Corretiva</x:v>
      </x:c>
      <x:c r="G768" s="32" t="n">
        <x:v>9.39</x:v>
      </x:c>
      <x:c r="H768" s="28" t="str">
        <x:v>Microparadas</x:v>
      </x:c>
      <x:c r="I768" s="28" t="str">
        <x:v>Não</x:v>
      </x:c>
    </x:row>
    <x:row r="769">
      <x:c r="A769" s="34" t="n">
        <x:v>45642</x:v>
      </x:c>
      <x:c r="B769" s="28" t="str">
        <x:v>Grupo Industrial S.A.</x:v>
      </x:c>
      <x:c r="C769" s="28" t="str">
        <x:v>Planta São Paulo</x:v>
      </x:c>
      <x:c r="D769" s="28" t="str">
        <x:v>Linha 1 - Corte</x:v>
      </x:c>
      <x:c r="E769" s="28" t="str">
        <x:v>EQ-1-01</x:v>
      </x:c>
      <x:c r="F769" s="28" t="str">
        <x:v>Operacional</x:v>
      </x:c>
      <x:c r="G769" s="32" t="n">
        <x:v>6.71</x:v>
      </x:c>
      <x:c r="H769" s="28" t="str">
        <x:v>Setup</x:v>
      </x:c>
      <x:c r="I769" s="28" t="str">
        <x:v>Não</x:v>
      </x:c>
    </x:row>
    <x:row r="770">
      <x:c r="A770" s="34" t="n">
        <x:v>45642</x:v>
      </x:c>
      <x:c r="B770" s="28" t="str">
        <x:v>Grupo Industrial S.A.</x:v>
      </x:c>
      <x:c r="C770" s="28" t="str">
        <x:v>Planta São Paulo</x:v>
      </x:c>
      <x:c r="D770" s="28" t="str">
        <x:v>Linha 1 - Corte</x:v>
      </x:c>
      <x:c r="E770" s="28" t="str">
        <x:v>EQ-1-02</x:v>
      </x:c>
      <x:c r="F770" s="28" t="str">
        <x:v>Corretiva</x:v>
      </x:c>
      <x:c r="G770" s="32" t="n">
        <x:v>10.1</x:v>
      </x:c>
      <x:c r="H770" s="28" t="str">
        <x:v>Microparadas</x:v>
      </x:c>
      <x:c r="I770" s="28" t="str">
        <x:v>Não</x:v>
      </x:c>
    </x:row>
    <x:row r="771">
      <x:c r="A771" s="34" t="n">
        <x:v>45642</x:v>
      </x:c>
      <x:c r="B771" s="28" t="str">
        <x:v>Grupo Industrial S.A.</x:v>
      </x:c>
      <x:c r="C771" s="28" t="str">
        <x:v>Planta São Paulo</x:v>
      </x:c>
      <x:c r="D771" s="28" t="str">
        <x:v>Linha 2 - Montagem</x:v>
      </x:c>
      <x:c r="E771" s="28" t="str">
        <x:v>EQ-2-01</x:v>
      </x:c>
      <x:c r="F771" s="28" t="str">
        <x:v>Operacional</x:v>
      </x:c>
      <x:c r="G771" s="32" t="n">
        <x:v>5.74</x:v>
      </x:c>
      <x:c r="H771" s="28" t="str">
        <x:v>Setup</x:v>
      </x:c>
      <x:c r="I771" s="28" t="str">
        <x:v>Não</x:v>
      </x:c>
    </x:row>
    <x:row r="772">
      <x:c r="A772" s="34" t="n">
        <x:v>45642</x:v>
      </x:c>
      <x:c r="B772" s="28" t="str">
        <x:v>Grupo Industrial S.A.</x:v>
      </x:c>
      <x:c r="C772" s="28" t="str">
        <x:v>Planta São Paulo</x:v>
      </x:c>
      <x:c r="D772" s="28" t="str">
        <x:v>Linha 2 - Montagem</x:v>
      </x:c>
      <x:c r="E772" s="28" t="str">
        <x:v>EQ-2-02</x:v>
      </x:c>
      <x:c r="F772" s="28" t="str">
        <x:v>Corretiva</x:v>
      </x:c>
      <x:c r="G772" s="32" t="n">
        <x:v>11.57</x:v>
      </x:c>
      <x:c r="H772" s="28" t="str">
        <x:v>Elétrica</x:v>
      </x:c>
      <x:c r="I772" s="28" t="str">
        <x:v>Sim</x:v>
      </x:c>
    </x:row>
    <x:row r="773">
      <x:c r="A773" s="34" t="n">
        <x:v>45642</x:v>
      </x:c>
      <x:c r="B773" s="28" t="str">
        <x:v>Grupo Industrial S.A.</x:v>
      </x:c>
      <x:c r="C773" s="28" t="str">
        <x:v>Planta Campinas</x:v>
      </x:c>
      <x:c r="D773" s="28" t="str">
        <x:v>Linha 3 - Extrusão</x:v>
      </x:c>
      <x:c r="E773" s="28" t="str">
        <x:v>EQ-3-01</x:v>
      </x:c>
      <x:c r="F773" s="28" t="str">
        <x:v>Operacional</x:v>
      </x:c>
      <x:c r="G773" s="32" t="n">
        <x:v>6.43</x:v>
      </x:c>
      <x:c r="H773" s="28" t="str">
        <x:v>Falta de material</x:v>
      </x:c>
      <x:c r="I773" s="28" t="str">
        <x:v>Sim</x:v>
      </x:c>
    </x:row>
    <x:row r="774">
      <x:c r="A774" s="34" t="n">
        <x:v>45642</x:v>
      </x:c>
      <x:c r="B774" s="28" t="str">
        <x:v>Grupo Industrial S.A.</x:v>
      </x:c>
      <x:c r="C774" s="28" t="str">
        <x:v>Planta Campinas</x:v>
      </x:c>
      <x:c r="D774" s="28" t="str">
        <x:v>Linha 3 - Extrusão</x:v>
      </x:c>
      <x:c r="E774" s="28" t="str">
        <x:v>EQ-3-02</x:v>
      </x:c>
      <x:c r="F774" s="28" t="str">
        <x:v>Corretiva</x:v>
      </x:c>
      <x:c r="G774" s="32" t="n">
        <x:v>7.07</x:v>
      </x:c>
      <x:c r="H774" s="28" t="str">
        <x:v>Ajustes</x:v>
      </x:c>
      <x:c r="I774" s="28" t="str">
        <x:v>Não</x:v>
      </x:c>
    </x:row>
    <x:row r="775">
      <x:c r="A775" s="34" t="n">
        <x:v>45642</x:v>
      </x:c>
      <x:c r="B775" s="28" t="str">
        <x:v>Grupo Industrial S.A.</x:v>
      </x:c>
      <x:c r="C775" s="28" t="str">
        <x:v>Planta Campinas</x:v>
      </x:c>
      <x:c r="D775" s="28" t="str">
        <x:v>Linha 3 - Extrusão</x:v>
      </x:c>
      <x:c r="E775" s="28" t="str">
        <x:v>EQ-3-03</x:v>
      </x:c>
      <x:c r="F775" s="28" t="str">
        <x:v>Operacional</x:v>
      </x:c>
      <x:c r="G775" s="32" t="n">
        <x:v>8.56</x:v>
      </x:c>
      <x:c r="H775" s="28" t="str">
        <x:v>Falta de material</x:v>
      </x:c>
      <x:c r="I775" s="28" t="str">
        <x:v>Sim</x:v>
      </x:c>
    </x:row>
    <x:row r="776">
      <x:c r="A776" s="34" t="n">
        <x:v>45642</x:v>
      </x:c>
      <x:c r="B776" s="28" t="str">
        <x:v>Grupo Industrial S.A.</x:v>
      </x:c>
      <x:c r="C776" s="28" t="str">
        <x:v>Planta Campinas</x:v>
      </x:c>
      <x:c r="D776" s="28" t="str">
        <x:v>Linha 4 - Embalagem</x:v>
      </x:c>
      <x:c r="E776" s="28" t="str">
        <x:v>EQ-4-01</x:v>
      </x:c>
      <x:c r="F776" s="28" t="str">
        <x:v>Operacional</x:v>
      </x:c>
      <x:c r="G776" s="32" t="n">
        <x:v>12.78</x:v>
      </x:c>
      <x:c r="H776" s="28" t="str">
        <x:v>Setup</x:v>
      </x:c>
      <x:c r="I776" s="28" t="str">
        <x:v>Não</x:v>
      </x:c>
    </x:row>
    <x:row r="777">
      <x:c r="A777" s="34" t="n">
        <x:v>45642</x:v>
      </x:c>
      <x:c r="B777" s="28" t="str">
        <x:v>Grupo Industrial S.A.</x:v>
      </x:c>
      <x:c r="C777" s="28" t="str">
        <x:v>Planta Campinas</x:v>
      </x:c>
      <x:c r="D777" s="28" t="str">
        <x:v>Linha 4 - Embalagem</x:v>
      </x:c>
      <x:c r="E777" s="28" t="str">
        <x:v>EQ-4-02</x:v>
      </x:c>
      <x:c r="F777" s="28" t="str">
        <x:v>Corretiva</x:v>
      </x:c>
      <x:c r="G777" s="32" t="n">
        <x:v>4.14</x:v>
      </x:c>
      <x:c r="H777" s="28" t="str">
        <x:v>Ajustes</x:v>
      </x:c>
      <x:c r="I777" s="28" t="str">
        <x:v>Não</x:v>
      </x:c>
    </x:row>
    <x:row r="778">
      <x:c r="A778" s="34" t="n">
        <x:v>45642</x:v>
      </x:c>
      <x:c r="B778" s="28" t="str">
        <x:v>Grupo Industrial S.A.</x:v>
      </x:c>
      <x:c r="C778" s="28" t="str">
        <x:v>Planta Campinas</x:v>
      </x:c>
      <x:c r="D778" s="28" t="str">
        <x:v>Linha 4 - Embalagem</x:v>
      </x:c>
      <x:c r="E778" s="28" t="str">
        <x:v>EQ-4-03</x:v>
      </x:c>
      <x:c r="F778" s="28" t="str">
        <x:v>Corretiva</x:v>
      </x:c>
      <x:c r="G778" s="32" t="n">
        <x:v>8.69</x:v>
      </x:c>
      <x:c r="H778" s="28" t="str">
        <x:v>Ajustes</x:v>
      </x:c>
      <x:c r="I778" s="28" t="str">
        <x:v>Não</x:v>
      </x:c>
    </x:row>
    <x:row r="779">
      <x:c r="A779" s="34" t="n">
        <x:v>45642</x:v>
      </x:c>
      <x:c r="B779" s="28" t="str">
        <x:v>Grupo Industrial S.A.</x:v>
      </x:c>
      <x:c r="C779" s="28" t="str">
        <x:v>Planta Curitiba</x:v>
      </x:c>
      <x:c r="D779" s="28" t="str">
        <x:v>Linha 5 - Usinagem</x:v>
      </x:c>
      <x:c r="E779" s="28" t="str">
        <x:v>EQ-5-01</x:v>
      </x:c>
      <x:c r="F779" s="28" t="str">
        <x:v>Corretiva</x:v>
      </x:c>
      <x:c r="G779" s="32" t="n">
        <x:v>8.79</x:v>
      </x:c>
      <x:c r="H779" s="28" t="str">
        <x:v>Microparadas</x:v>
      </x:c>
      <x:c r="I779" s="28" t="str">
        <x:v>Não</x:v>
      </x:c>
    </x:row>
    <x:row r="780">
      <x:c r="A780" s="34" t="n">
        <x:v>45642</x:v>
      </x:c>
      <x:c r="B780" s="28" t="str">
        <x:v>Grupo Industrial S.A.</x:v>
      </x:c>
      <x:c r="C780" s="28" t="str">
        <x:v>Planta Curitiba</x:v>
      </x:c>
      <x:c r="D780" s="28" t="str">
        <x:v>Linha 5 - Usinagem</x:v>
      </x:c>
      <x:c r="E780" s="28" t="str">
        <x:v>EQ-5-02</x:v>
      </x:c>
      <x:c r="F780" s="28" t="str">
        <x:v>Operacional</x:v>
      </x:c>
      <x:c r="G780" s="32" t="n">
        <x:v>5.71</x:v>
      </x:c>
      <x:c r="H780" s="28" t="str">
        <x:v>Setup</x:v>
      </x:c>
      <x:c r="I780" s="28" t="str">
        <x:v>Não</x:v>
      </x:c>
    </x:row>
    <x:row r="781">
      <x:c r="A781" s="34" t="n">
        <x:v>45642</x:v>
      </x:c>
      <x:c r="B781" s="28" t="str">
        <x:v>Grupo Industrial S.A.</x:v>
      </x:c>
      <x:c r="C781" s="28" t="str">
        <x:v>Planta Curitiba</x:v>
      </x:c>
      <x:c r="D781" s="28" t="str">
        <x:v>Linha 5 - Usinagem</x:v>
      </x:c>
      <x:c r="E781" s="28" t="str">
        <x:v>EQ-5-03</x:v>
      </x:c>
      <x:c r="F781" s="28" t="str">
        <x:v>Operacional</x:v>
      </x:c>
      <x:c r="G781" s="32" t="n">
        <x:v>5.66</x:v>
      </x:c>
      <x:c r="H781" s="28" t="str">
        <x:v>Troca de ferramenta</x:v>
      </x:c>
      <x:c r="I781" s="28" t="str">
        <x:v>Não</x:v>
      </x:c>
    </x:row>
    <x:row r="782">
      <x:c r="A782" s="34" t="n">
        <x:v>45642</x:v>
      </x:c>
      <x:c r="B782" s="28" t="str">
        <x:v>Grupo Industrial S.A.</x:v>
      </x:c>
      <x:c r="C782" s="28" t="str">
        <x:v>Planta Curitiba</x:v>
      </x:c>
      <x:c r="D782" s="28" t="str">
        <x:v>Linha 6 - Finalização</x:v>
      </x:c>
      <x:c r="E782" s="28" t="str">
        <x:v>EQ-6-01</x:v>
      </x:c>
      <x:c r="F782" s="28" t="str">
        <x:v>Operacional</x:v>
      </x:c>
      <x:c r="G782" s="32" t="n">
        <x:v>6.77</x:v>
      </x:c>
      <x:c r="H782" s="28" t="str">
        <x:v>Troca de ferramenta</x:v>
      </x:c>
      <x:c r="I782" s="28" t="str">
        <x:v>Não</x:v>
      </x:c>
    </x:row>
    <x:row r="783">
      <x:c r="A783" s="34" t="n">
        <x:v>45642</x:v>
      </x:c>
      <x:c r="B783" s="28" t="str">
        <x:v>Grupo Industrial S.A.</x:v>
      </x:c>
      <x:c r="C783" s="28" t="str">
        <x:v>Planta Curitiba</x:v>
      </x:c>
      <x:c r="D783" s="28" t="str">
        <x:v>Linha 6 - Finalização</x:v>
      </x:c>
      <x:c r="E783" s="28" t="str">
        <x:v>EQ-6-02</x:v>
      </x:c>
      <x:c r="F783" s="28" t="str">
        <x:v>Operacional</x:v>
      </x:c>
      <x:c r="G783" s="32" t="n">
        <x:v>10.01</x:v>
      </x:c>
      <x:c r="H783" s="28" t="str">
        <x:v>Troca de ferramenta</x:v>
      </x:c>
      <x:c r="I783" s="28" t="str">
        <x:v>Não</x:v>
      </x:c>
    </x:row>
    <x:row r="784">
      <x:c r="A784" s="34" t="n">
        <x:v>45649</x:v>
      </x:c>
      <x:c r="B784" s="28" t="str">
        <x:v>Grupo Industrial S.A.</x:v>
      </x:c>
      <x:c r="C784" s="28" t="str">
        <x:v>Planta São Paulo</x:v>
      </x:c>
      <x:c r="D784" s="28" t="str">
        <x:v>Linha 1 - Corte</x:v>
      </x:c>
      <x:c r="E784" s="28" t="str">
        <x:v>EQ-1-01</x:v>
      </x:c>
      <x:c r="F784" s="28" t="str">
        <x:v>Corretiva</x:v>
      </x:c>
      <x:c r="G784" s="32" t="n">
        <x:v>5.7</x:v>
      </x:c>
      <x:c r="H784" s="28" t="str">
        <x:v>Quebras</x:v>
      </x:c>
      <x:c r="I784" s="28" t="str">
        <x:v>Sim</x:v>
      </x:c>
    </x:row>
    <x:row r="785">
      <x:c r="A785" s="34" t="n">
        <x:v>45649</x:v>
      </x:c>
      <x:c r="B785" s="28" t="str">
        <x:v>Grupo Industrial S.A.</x:v>
      </x:c>
      <x:c r="C785" s="28" t="str">
        <x:v>Planta São Paulo</x:v>
      </x:c>
      <x:c r="D785" s="28" t="str">
        <x:v>Linha 1 - Corte</x:v>
      </x:c>
      <x:c r="E785" s="28" t="str">
        <x:v>EQ-1-02</x:v>
      </x:c>
      <x:c r="F785" s="28" t="str">
        <x:v>Corretiva</x:v>
      </x:c>
      <x:c r="G785" s="32" t="n">
        <x:v>9.22</x:v>
      </x:c>
      <x:c r="H785" s="28" t="str">
        <x:v>Microparadas</x:v>
      </x:c>
      <x:c r="I785" s="28" t="str">
        <x:v>Não</x:v>
      </x:c>
    </x:row>
    <x:row r="786">
      <x:c r="A786" s="34" t="n">
        <x:v>45649</x:v>
      </x:c>
      <x:c r="B786" s="28" t="str">
        <x:v>Grupo Industrial S.A.</x:v>
      </x:c>
      <x:c r="C786" s="28" t="str">
        <x:v>Planta São Paulo</x:v>
      </x:c>
      <x:c r="D786" s="28" t="str">
        <x:v>Linha 2 - Montagem</x:v>
      </x:c>
      <x:c r="E786" s="28" t="str">
        <x:v>EQ-2-01</x:v>
      </x:c>
      <x:c r="F786" s="28" t="str">
        <x:v>Corretiva</x:v>
      </x:c>
      <x:c r="G786" s="32" t="n">
        <x:v>4.59</x:v>
      </x:c>
      <x:c r="H786" s="28" t="str">
        <x:v>Microparadas</x:v>
      </x:c>
      <x:c r="I786" s="28" t="str">
        <x:v>Não</x:v>
      </x:c>
    </x:row>
    <x:row r="787">
      <x:c r="A787" s="34" t="n">
        <x:v>45649</x:v>
      </x:c>
      <x:c r="B787" s="28" t="str">
        <x:v>Grupo Industrial S.A.</x:v>
      </x:c>
      <x:c r="C787" s="28" t="str">
        <x:v>Planta São Paulo</x:v>
      </x:c>
      <x:c r="D787" s="28" t="str">
        <x:v>Linha 2 - Montagem</x:v>
      </x:c>
      <x:c r="E787" s="28" t="str">
        <x:v>EQ-2-02</x:v>
      </x:c>
      <x:c r="F787" s="28" t="str">
        <x:v>Corretiva</x:v>
      </x:c>
      <x:c r="G787" s="32" t="n">
        <x:v>7.79</x:v>
      </x:c>
      <x:c r="H787" s="28" t="str">
        <x:v>Quebras</x:v>
      </x:c>
      <x:c r="I787" s="28" t="str">
        <x:v>Sim</x:v>
      </x:c>
    </x:row>
    <x:row r="788">
      <x:c r="A788" s="34" t="n">
        <x:v>45649</x:v>
      </x:c>
      <x:c r="B788" s="28" t="str">
        <x:v>Grupo Industrial S.A.</x:v>
      </x:c>
      <x:c r="C788" s="28" t="str">
        <x:v>Planta Campinas</x:v>
      </x:c>
      <x:c r="D788" s="28" t="str">
        <x:v>Linha 3 - Extrusão</x:v>
      </x:c>
      <x:c r="E788" s="28" t="str">
        <x:v>EQ-3-01</x:v>
      </x:c>
      <x:c r="F788" s="28" t="str">
        <x:v>Operacional</x:v>
      </x:c>
      <x:c r="G788" s="32" t="n">
        <x:v>7.39</x:v>
      </x:c>
      <x:c r="H788" s="28" t="str">
        <x:v>Falta de material</x:v>
      </x:c>
      <x:c r="I788" s="28" t="str">
        <x:v>Sim</x:v>
      </x:c>
    </x:row>
    <x:row r="789">
      <x:c r="A789" s="34" t="n">
        <x:v>45649</x:v>
      </x:c>
      <x:c r="B789" s="28" t="str">
        <x:v>Grupo Industrial S.A.</x:v>
      </x:c>
      <x:c r="C789" s="28" t="str">
        <x:v>Planta Campinas</x:v>
      </x:c>
      <x:c r="D789" s="28" t="str">
        <x:v>Linha 3 - Extrusão</x:v>
      </x:c>
      <x:c r="E789" s="28" t="str">
        <x:v>EQ-3-02</x:v>
      </x:c>
      <x:c r="F789" s="28" t="str">
        <x:v>Corretiva</x:v>
      </x:c>
      <x:c r="G789" s="32" t="n">
        <x:v>8.23</x:v>
      </x:c>
      <x:c r="H789" s="28" t="str">
        <x:v>Ajustes</x:v>
      </x:c>
      <x:c r="I789" s="28" t="str">
        <x:v>Não</x:v>
      </x:c>
    </x:row>
    <x:row r="790">
      <x:c r="A790" s="34" t="n">
        <x:v>45649</x:v>
      </x:c>
      <x:c r="B790" s="28" t="str">
        <x:v>Grupo Industrial S.A.</x:v>
      </x:c>
      <x:c r="C790" s="28" t="str">
        <x:v>Planta Campinas</x:v>
      </x:c>
      <x:c r="D790" s="28" t="str">
        <x:v>Linha 3 - Extrusão</x:v>
      </x:c>
      <x:c r="E790" s="28" t="str">
        <x:v>EQ-3-03</x:v>
      </x:c>
      <x:c r="F790" s="28" t="str">
        <x:v>Corretiva</x:v>
      </x:c>
      <x:c r="G790" s="32" t="n">
        <x:v>8.82</x:v>
      </x:c>
      <x:c r="H790" s="28" t="str">
        <x:v>Ajustes</x:v>
      </x:c>
      <x:c r="I790" s="28" t="str">
        <x:v>Não</x:v>
      </x:c>
    </x:row>
    <x:row r="791">
      <x:c r="A791" s="34" t="n">
        <x:v>45649</x:v>
      </x:c>
      <x:c r="B791" s="28" t="str">
        <x:v>Grupo Industrial S.A.</x:v>
      </x:c>
      <x:c r="C791" s="28" t="str">
        <x:v>Planta Campinas</x:v>
      </x:c>
      <x:c r="D791" s="28" t="str">
        <x:v>Linha 4 - Embalagem</x:v>
      </x:c>
      <x:c r="E791" s="28" t="str">
        <x:v>EQ-4-01</x:v>
      </x:c>
      <x:c r="F791" s="28" t="str">
        <x:v>Corretiva</x:v>
      </x:c>
      <x:c r="G791" s="32" t="n">
        <x:v>7.3</x:v>
      </x:c>
      <x:c r="H791" s="28" t="str">
        <x:v>Quebras</x:v>
      </x:c>
      <x:c r="I791" s="28" t="str">
        <x:v>Sim</x:v>
      </x:c>
    </x:row>
    <x:row r="792">
      <x:c r="A792" s="34" t="n">
        <x:v>45649</x:v>
      </x:c>
      <x:c r="B792" s="28" t="str">
        <x:v>Grupo Industrial S.A.</x:v>
      </x:c>
      <x:c r="C792" s="28" t="str">
        <x:v>Planta Campinas</x:v>
      </x:c>
      <x:c r="D792" s="28" t="str">
        <x:v>Linha 4 - Embalagem</x:v>
      </x:c>
      <x:c r="E792" s="28" t="str">
        <x:v>EQ-4-02</x:v>
      </x:c>
      <x:c r="F792" s="28" t="str">
        <x:v>Operacional</x:v>
      </x:c>
      <x:c r="G792" s="32" t="n">
        <x:v>8.81</x:v>
      </x:c>
      <x:c r="H792" s="28" t="str">
        <x:v>Setup</x:v>
      </x:c>
      <x:c r="I792" s="28" t="str">
        <x:v>Não</x:v>
      </x:c>
    </x:row>
    <x:row r="793">
      <x:c r="A793" s="34" t="n">
        <x:v>45649</x:v>
      </x:c>
      <x:c r="B793" s="28" t="str">
        <x:v>Grupo Industrial S.A.</x:v>
      </x:c>
      <x:c r="C793" s="28" t="str">
        <x:v>Planta Campinas</x:v>
      </x:c>
      <x:c r="D793" s="28" t="str">
        <x:v>Linha 4 - Embalagem</x:v>
      </x:c>
      <x:c r="E793" s="28" t="str">
        <x:v>EQ-4-03</x:v>
      </x:c>
      <x:c r="F793" s="28" t="str">
        <x:v>Corretiva</x:v>
      </x:c>
      <x:c r="G793" s="32" t="n">
        <x:v>9.26</x:v>
      </x:c>
      <x:c r="H793" s="28" t="str">
        <x:v>Quebras</x:v>
      </x:c>
      <x:c r="I793" s="28" t="str">
        <x:v>Sim</x:v>
      </x:c>
    </x:row>
    <x:row r="794">
      <x:c r="A794" s="34" t="n">
        <x:v>45649</x:v>
      </x:c>
      <x:c r="B794" s="28" t="str">
        <x:v>Grupo Industrial S.A.</x:v>
      </x:c>
      <x:c r="C794" s="28" t="str">
        <x:v>Planta Curitiba</x:v>
      </x:c>
      <x:c r="D794" s="28" t="str">
        <x:v>Linha 5 - Usinagem</x:v>
      </x:c>
      <x:c r="E794" s="28" t="str">
        <x:v>EQ-5-01</x:v>
      </x:c>
      <x:c r="F794" s="28" t="str">
        <x:v>Operacional</x:v>
      </x:c>
      <x:c r="G794" s="32" t="n">
        <x:v>6.72</x:v>
      </x:c>
      <x:c r="H794" s="28" t="str">
        <x:v>Troca de ferramenta</x:v>
      </x:c>
      <x:c r="I794" s="28" t="str">
        <x:v>Não</x:v>
      </x:c>
    </x:row>
    <x:row r="795">
      <x:c r="A795" s="34" t="n">
        <x:v>45649</x:v>
      </x:c>
      <x:c r="B795" s="28" t="str">
        <x:v>Grupo Industrial S.A.</x:v>
      </x:c>
      <x:c r="C795" s="28" t="str">
        <x:v>Planta Curitiba</x:v>
      </x:c>
      <x:c r="D795" s="28" t="str">
        <x:v>Linha 5 - Usinagem</x:v>
      </x:c>
      <x:c r="E795" s="28" t="str">
        <x:v>EQ-5-02</x:v>
      </x:c>
      <x:c r="F795" s="28" t="str">
        <x:v>Corretiva</x:v>
      </x:c>
      <x:c r="G795" s="32" t="n">
        <x:v>4.45</x:v>
      </x:c>
      <x:c r="H795" s="28" t="str">
        <x:v>Quebras</x:v>
      </x:c>
      <x:c r="I795" s="28" t="str">
        <x:v>Sim</x:v>
      </x:c>
    </x:row>
    <x:row r="796">
      <x:c r="A796" s="34" t="n">
        <x:v>45649</x:v>
      </x:c>
      <x:c r="B796" s="28" t="str">
        <x:v>Grupo Industrial S.A.</x:v>
      </x:c>
      <x:c r="C796" s="28" t="str">
        <x:v>Planta Curitiba</x:v>
      </x:c>
      <x:c r="D796" s="28" t="str">
        <x:v>Linha 5 - Usinagem</x:v>
      </x:c>
      <x:c r="E796" s="28" t="str">
        <x:v>EQ-5-03</x:v>
      </x:c>
      <x:c r="F796" s="28" t="str">
        <x:v>Corretiva</x:v>
      </x:c>
      <x:c r="G796" s="32" t="n">
        <x:v>7.54</x:v>
      </x:c>
      <x:c r="H796" s="28" t="str">
        <x:v>Quebras</x:v>
      </x:c>
      <x:c r="I796" s="28" t="str">
        <x:v>Sim</x:v>
      </x:c>
    </x:row>
    <x:row r="797">
      <x:c r="A797" s="34" t="n">
        <x:v>45649</x:v>
      </x:c>
      <x:c r="B797" s="28" t="str">
        <x:v>Grupo Industrial S.A.</x:v>
      </x:c>
      <x:c r="C797" s="28" t="str">
        <x:v>Planta Curitiba</x:v>
      </x:c>
      <x:c r="D797" s="28" t="str">
        <x:v>Linha 6 - Finalização</x:v>
      </x:c>
      <x:c r="E797" s="28" t="str">
        <x:v>EQ-6-01</x:v>
      </x:c>
      <x:c r="F797" s="28" t="str">
        <x:v>Corretiva</x:v>
      </x:c>
      <x:c r="G797" s="32" t="n">
        <x:v>7.28</x:v>
      </x:c>
      <x:c r="H797" s="28" t="str">
        <x:v>Microparadas</x:v>
      </x:c>
      <x:c r="I797" s="28" t="str">
        <x:v>Não</x:v>
      </x:c>
    </x:row>
    <x:row r="798">
      <x:c r="A798" s="34" t="n">
        <x:v>45649</x:v>
      </x:c>
      <x:c r="B798" s="28" t="str">
        <x:v>Grupo Industrial S.A.</x:v>
      </x:c>
      <x:c r="C798" s="28" t="str">
        <x:v>Planta Curitiba</x:v>
      </x:c>
      <x:c r="D798" s="28" t="str">
        <x:v>Linha 6 - Finalização</x:v>
      </x:c>
      <x:c r="E798" s="28" t="str">
        <x:v>EQ-6-02</x:v>
      </x:c>
      <x:c r="F798" s="28" t="str">
        <x:v>Corretiva</x:v>
      </x:c>
      <x:c r="G798" s="32" t="n">
        <x:v>10.42</x:v>
      </x:c>
      <x:c r="H798" s="28" t="str">
        <x:v>Quebras</x:v>
      </x:c>
      <x:c r="I798" s="28" t="str">
        <x:v>Sim</x:v>
      </x:c>
    </x:row>
    <x:row r="799">
      <x:c r="A799" s="34" t="n">
        <x:v>45656</x:v>
      </x:c>
      <x:c r="B799" s="28" t="str">
        <x:v>Grupo Industrial S.A.</x:v>
      </x:c>
      <x:c r="C799" s="28" t="str">
        <x:v>Planta São Paulo</x:v>
      </x:c>
      <x:c r="D799" s="28" t="str">
        <x:v>Linha 1 - Corte</x:v>
      </x:c>
      <x:c r="E799" s="28" t="str">
        <x:v>EQ-1-01</x:v>
      </x:c>
      <x:c r="F799" s="28" t="str">
        <x:v>Corretiva</x:v>
      </x:c>
      <x:c r="G799" s="32" t="n">
        <x:v>4.75</x:v>
      </x:c>
      <x:c r="H799" s="28" t="str">
        <x:v>Microparadas</x:v>
      </x:c>
      <x:c r="I799" s="28" t="str">
        <x:v>Não</x:v>
      </x:c>
    </x:row>
    <x:row r="800">
      <x:c r="A800" s="34" t="n">
        <x:v>45656</x:v>
      </x:c>
      <x:c r="B800" s="28" t="str">
        <x:v>Grupo Industrial S.A.</x:v>
      </x:c>
      <x:c r="C800" s="28" t="str">
        <x:v>Planta São Paulo</x:v>
      </x:c>
      <x:c r="D800" s="28" t="str">
        <x:v>Linha 1 - Corte</x:v>
      </x:c>
      <x:c r="E800" s="28" t="str">
        <x:v>EQ-1-02</x:v>
      </x:c>
      <x:c r="F800" s="28" t="str">
        <x:v>Operacional</x:v>
      </x:c>
      <x:c r="G800" s="32" t="n">
        <x:v>11.94</x:v>
      </x:c>
      <x:c r="H800" s="28" t="str">
        <x:v>Setup</x:v>
      </x:c>
      <x:c r="I800" s="28" t="str">
        <x:v>Não</x:v>
      </x:c>
    </x:row>
    <x:row r="801">
      <x:c r="A801" s="34" t="n">
        <x:v>45656</x:v>
      </x:c>
      <x:c r="B801" s="28" t="str">
        <x:v>Grupo Industrial S.A.</x:v>
      </x:c>
      <x:c r="C801" s="28" t="str">
        <x:v>Planta São Paulo</x:v>
      </x:c>
      <x:c r="D801" s="28" t="str">
        <x:v>Linha 2 - Montagem</x:v>
      </x:c>
      <x:c r="E801" s="28" t="str">
        <x:v>EQ-2-01</x:v>
      </x:c>
      <x:c r="F801" s="28" t="str">
        <x:v>Corretiva</x:v>
      </x:c>
      <x:c r="G801" s="32" t="n">
        <x:v>4.79</x:v>
      </x:c>
      <x:c r="H801" s="28" t="str">
        <x:v>Quebras</x:v>
      </x:c>
      <x:c r="I801" s="28" t="str">
        <x:v>Sim</x:v>
      </x:c>
    </x:row>
    <x:row r="802">
      <x:c r="A802" s="34" t="n">
        <x:v>45656</x:v>
      </x:c>
      <x:c r="B802" s="28" t="str">
        <x:v>Grupo Industrial S.A.</x:v>
      </x:c>
      <x:c r="C802" s="28" t="str">
        <x:v>Planta São Paulo</x:v>
      </x:c>
      <x:c r="D802" s="28" t="str">
        <x:v>Linha 2 - Montagem</x:v>
      </x:c>
      <x:c r="E802" s="28" t="str">
        <x:v>EQ-2-02</x:v>
      </x:c>
      <x:c r="F802" s="28" t="str">
        <x:v>Operacional</x:v>
      </x:c>
      <x:c r="G802" s="32" t="n">
        <x:v>9.39</x:v>
      </x:c>
      <x:c r="H802" s="28" t="str">
        <x:v>Setup</x:v>
      </x:c>
      <x:c r="I802" s="28" t="str">
        <x:v>Não</x:v>
      </x:c>
    </x:row>
    <x:row r="803">
      <x:c r="A803" s="34" t="n">
        <x:v>45656</x:v>
      </x:c>
      <x:c r="B803" s="28" t="str">
        <x:v>Grupo Industrial S.A.</x:v>
      </x:c>
      <x:c r="C803" s="28" t="str">
        <x:v>Planta Campinas</x:v>
      </x:c>
      <x:c r="D803" s="28" t="str">
        <x:v>Linha 3 - Extrusão</x:v>
      </x:c>
      <x:c r="E803" s="28" t="str">
        <x:v>EQ-3-01</x:v>
      </x:c>
      <x:c r="F803" s="28" t="str">
        <x:v>Corretiva</x:v>
      </x:c>
      <x:c r="G803" s="32" t="n">
        <x:v>10.9</x:v>
      </x:c>
      <x:c r="H803" s="28" t="str">
        <x:v>Ajustes</x:v>
      </x:c>
      <x:c r="I803" s="28" t="str">
        <x:v>Não</x:v>
      </x:c>
    </x:row>
    <x:row r="804">
      <x:c r="A804" s="34" t="n">
        <x:v>45656</x:v>
      </x:c>
      <x:c r="B804" s="28" t="str">
        <x:v>Grupo Industrial S.A.</x:v>
      </x:c>
      <x:c r="C804" s="28" t="str">
        <x:v>Planta Campinas</x:v>
      </x:c>
      <x:c r="D804" s="28" t="str">
        <x:v>Linha 3 - Extrusão</x:v>
      </x:c>
      <x:c r="E804" s="28" t="str">
        <x:v>EQ-3-02</x:v>
      </x:c>
      <x:c r="F804" s="28" t="str">
        <x:v>Operacional</x:v>
      </x:c>
      <x:c r="G804" s="32" t="n">
        <x:v>7.03</x:v>
      </x:c>
      <x:c r="H804" s="28" t="str">
        <x:v>Setup</x:v>
      </x:c>
      <x:c r="I804" s="28" t="str">
        <x:v>Não</x:v>
      </x:c>
    </x:row>
    <x:row r="805">
      <x:c r="A805" s="34" t="n">
        <x:v>45656</x:v>
      </x:c>
      <x:c r="B805" s="28" t="str">
        <x:v>Grupo Industrial S.A.</x:v>
      </x:c>
      <x:c r="C805" s="28" t="str">
        <x:v>Planta Campinas</x:v>
      </x:c>
      <x:c r="D805" s="28" t="str">
        <x:v>Linha 3 - Extrusão</x:v>
      </x:c>
      <x:c r="E805" s="28" t="str">
        <x:v>EQ-3-03</x:v>
      </x:c>
      <x:c r="F805" s="28" t="str">
        <x:v>Operacional</x:v>
      </x:c>
      <x:c r="G805" s="32" t="n">
        <x:v>6.5</x:v>
      </x:c>
      <x:c r="H805" s="28" t="str">
        <x:v>Setup</x:v>
      </x:c>
      <x:c r="I805" s="28" t="str">
        <x:v>Não</x:v>
      </x:c>
    </x:row>
    <x:row r="806">
      <x:c r="A806" s="34" t="n">
        <x:v>45656</x:v>
      </x:c>
      <x:c r="B806" s="28" t="str">
        <x:v>Grupo Industrial S.A.</x:v>
      </x:c>
      <x:c r="C806" s="28" t="str">
        <x:v>Planta Campinas</x:v>
      </x:c>
      <x:c r="D806" s="28" t="str">
        <x:v>Linha 4 - Embalagem</x:v>
      </x:c>
      <x:c r="E806" s="28" t="str">
        <x:v>EQ-4-01</x:v>
      </x:c>
      <x:c r="F806" s="28" t="str">
        <x:v>Corretiva</x:v>
      </x:c>
      <x:c r="G806" s="32" t="n">
        <x:v>11.37</x:v>
      </x:c>
      <x:c r="H806" s="28" t="str">
        <x:v>Quebras</x:v>
      </x:c>
      <x:c r="I806" s="28" t="str">
        <x:v>Sim</x:v>
      </x:c>
    </x:row>
    <x:row r="807">
      <x:c r="A807" s="34" t="n">
        <x:v>45656</x:v>
      </x:c>
      <x:c r="B807" s="28" t="str">
        <x:v>Grupo Industrial S.A.</x:v>
      </x:c>
      <x:c r="C807" s="28" t="str">
        <x:v>Planta Campinas</x:v>
      </x:c>
      <x:c r="D807" s="28" t="str">
        <x:v>Linha 4 - Embalagem</x:v>
      </x:c>
      <x:c r="E807" s="28" t="str">
        <x:v>EQ-4-02</x:v>
      </x:c>
      <x:c r="F807" s="28" t="str">
        <x:v>Operacional</x:v>
      </x:c>
      <x:c r="G807" s="32" t="n">
        <x:v>6.59</x:v>
      </x:c>
      <x:c r="H807" s="28" t="str">
        <x:v>Setup</x:v>
      </x:c>
      <x:c r="I807" s="28" t="str">
        <x:v>Não</x:v>
      </x:c>
    </x:row>
    <x:row r="808">
      <x:c r="A808" s="34" t="n">
        <x:v>45656</x:v>
      </x:c>
      <x:c r="B808" s="28" t="str">
        <x:v>Grupo Industrial S.A.</x:v>
      </x:c>
      <x:c r="C808" s="28" t="str">
        <x:v>Planta Campinas</x:v>
      </x:c>
      <x:c r="D808" s="28" t="str">
        <x:v>Linha 4 - Embalagem</x:v>
      </x:c>
      <x:c r="E808" s="28" t="str">
        <x:v>EQ-4-03</x:v>
      </x:c>
      <x:c r="F808" s="28" t="str">
        <x:v>Corretiva</x:v>
      </x:c>
      <x:c r="G808" s="32" t="n">
        <x:v>7.46</x:v>
      </x:c>
      <x:c r="H808" s="28" t="str">
        <x:v>Quebras</x:v>
      </x:c>
      <x:c r="I808" s="28" t="str">
        <x:v>Sim</x:v>
      </x:c>
    </x:row>
    <x:row r="809">
      <x:c r="A809" s="34" t="n">
        <x:v>45656</x:v>
      </x:c>
      <x:c r="B809" s="28" t="str">
        <x:v>Grupo Industrial S.A.</x:v>
      </x:c>
      <x:c r="C809" s="28" t="str">
        <x:v>Planta Curitiba</x:v>
      </x:c>
      <x:c r="D809" s="28" t="str">
        <x:v>Linha 5 - Usinagem</x:v>
      </x:c>
      <x:c r="E809" s="28" t="str">
        <x:v>EQ-5-01</x:v>
      </x:c>
      <x:c r="F809" s="28" t="str">
        <x:v>Operacional</x:v>
      </x:c>
      <x:c r="G809" s="32" t="n">
        <x:v>6.15</x:v>
      </x:c>
      <x:c r="H809" s="28" t="str">
        <x:v>Troca de ferramenta</x:v>
      </x:c>
      <x:c r="I809" s="28" t="str">
        <x:v>Não</x:v>
      </x:c>
    </x:row>
    <x:row r="810">
      <x:c r="A810" s="34" t="n">
        <x:v>45656</x:v>
      </x:c>
      <x:c r="B810" s="28" t="str">
        <x:v>Grupo Industrial S.A.</x:v>
      </x:c>
      <x:c r="C810" s="28" t="str">
        <x:v>Planta Curitiba</x:v>
      </x:c>
      <x:c r="D810" s="28" t="str">
        <x:v>Linha 5 - Usinagem</x:v>
      </x:c>
      <x:c r="E810" s="28" t="str">
        <x:v>EQ-5-02</x:v>
      </x:c>
      <x:c r="F810" s="28" t="str">
        <x:v>Corretiva</x:v>
      </x:c>
      <x:c r="G810" s="32" t="n">
        <x:v>10.2</x:v>
      </x:c>
      <x:c r="H810" s="28" t="str">
        <x:v>Microparadas</x:v>
      </x:c>
      <x:c r="I810" s="28" t="str">
        <x:v>Não</x:v>
      </x:c>
    </x:row>
    <x:row r="811">
      <x:c r="A811" s="34" t="n">
        <x:v>45656</x:v>
      </x:c>
      <x:c r="B811" s="28" t="str">
        <x:v>Grupo Industrial S.A.</x:v>
      </x:c>
      <x:c r="C811" s="28" t="str">
        <x:v>Planta Curitiba</x:v>
      </x:c>
      <x:c r="D811" s="28" t="str">
        <x:v>Linha 6 - Finalização</x:v>
      </x:c>
      <x:c r="E811" s="28" t="str">
        <x:v>EQ-6-01</x:v>
      </x:c>
      <x:c r="F811" s="28" t="str">
        <x:v>Corretiva</x:v>
      </x:c>
      <x:c r="G811" s="32" t="n">
        <x:v>5.62</x:v>
      </x:c>
      <x:c r="H811" s="28" t="str">
        <x:v>Quebras</x:v>
      </x:c>
      <x:c r="I811" s="28" t="str">
        <x:v>Sim</x:v>
      </x:c>
    </x:row>
    <x:row r="812">
      <x:c r="A812" s="34" t="n">
        <x:v>45656</x:v>
      </x:c>
      <x:c r="B812" s="28" t="str">
        <x:v>Grupo Industrial S.A.</x:v>
      </x:c>
      <x:c r="C812" s="28" t="str">
        <x:v>Planta Curitiba</x:v>
      </x:c>
      <x:c r="D812" s="28" t="str">
        <x:v>Linha 6 - Finalização</x:v>
      </x:c>
      <x:c r="E812" s="28" t="str">
        <x:v>EQ-6-02</x:v>
      </x:c>
      <x:c r="F812" s="28" t="str">
        <x:v>Operacional</x:v>
      </x:c>
      <x:c r="G812" s="32" t="n">
        <x:v>11.71</x:v>
      </x:c>
      <x:c r="H812" s="28" t="str">
        <x:v>Setup</x:v>
      </x:c>
      <x:c r="I812" s="28" t="str">
        <x:v>Não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2" hidden="0" customWidth="1"/>
    <x:col min="4" max="4" width="2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20" hidden="0" customWidth="1"/>
    <x:col min="10" max="10" width="16" hidden="0" customWidth="1"/>
  </x:cols>
  <x:sheetData>
    <x:row r="1">
      <x:c r="A1" s="22" t="str">
        <x:v>Data</x:v>
      </x:c>
      <x:c r="B1" s="22" t="str">
        <x:v>Grupo</x:v>
      </x:c>
      <x:c r="C1" s="22" t="str">
        <x:v>Fabrica</x:v>
      </x:c>
      <x:c r="D1" s="22" t="str">
        <x:v>Linha</x:v>
      </x:c>
      <x:c r="E1" s="22" t="str">
        <x:v>Turno</x:v>
      </x:c>
      <x:c r="F1" s="22" t="str">
        <x:v>Operadores</x:v>
      </x:c>
      <x:c r="G1" s="22" t="str">
        <x:v>HH_Reais</x:v>
      </x:c>
      <x:c r="H1" s="22" t="str">
        <x:v>Horas_Extras</x:v>
      </x:c>
      <x:c r="I1" s="22" t="str">
        <x:v>HH_Padrao_Ganhas</x:v>
      </x:c>
      <x:c r="J1" s="22" t="str">
        <x:v>Eficiencia_MOD</x:v>
      </x:c>
    </x:row>
    <x:row r="2">
      <x:c r="A2" s="34" t="n">
        <x:v>45292</x:v>
      </x:c>
      <x:c r="B2" s="28" t="str">
        <x:v>Grupo Industrial S.A.</x:v>
      </x:c>
      <x:c r="C2" s="28" t="str">
        <x:v>Planta São Paulo</x:v>
      </x:c>
      <x:c r="D2" s="28" t="str">
        <x:v>Linha 1 - Corte</x:v>
      </x:c>
      <x:c r="E2" s="28" t="str">
        <x:v>1º/2º/3º</x:v>
      </x:c>
      <x:c r="F2" s="32" t="n">
        <x:v>8</x:v>
      </x:c>
      <x:c r="G2" s="32" t="n">
        <x:v>862.3</x:v>
      </x:c>
      <x:c r="H2" s="32" t="n">
        <x:v>41.9</x:v>
      </x:c>
      <x:c r="I2" s="32" t="n">
        <x:v>643.1</x:v>
      </x:c>
      <x:c r="J2" s="36" t="n">
        <x:v>0.7458</x:v>
      </x:c>
    </x:row>
    <x:row r="3">
      <x:c r="A3" s="34" t="n">
        <x:v>45292</x:v>
      </x:c>
      <x:c r="B3" s="28" t="str">
        <x:v>Grupo Industrial S.A.</x:v>
      </x:c>
      <x:c r="C3" s="28" t="str">
        <x:v>Planta São Paulo</x:v>
      </x:c>
      <x:c r="D3" s="28" t="str">
        <x:v>Linha 2 - Montagem</x:v>
      </x:c>
      <x:c r="E3" s="28" t="str">
        <x:v>1º/2º/3º</x:v>
      </x:c>
      <x:c r="F3" s="32" t="n">
        <x:v>10</x:v>
      </x:c>
      <x:c r="G3" s="32" t="n">
        <x:v>1020</x:v>
      </x:c>
      <x:c r="H3" s="32" t="n">
        <x:v>58.2</x:v>
      </x:c>
      <x:c r="I3" s="32" t="n">
        <x:v>807.6</x:v>
      </x:c>
      <x:c r="J3" s="36" t="n">
        <x:v>0.7917</x:v>
      </x:c>
    </x:row>
    <x:row r="4">
      <x:c r="A4" s="34" t="n">
        <x:v>45292</x:v>
      </x:c>
      <x:c r="B4" s="28" t="str">
        <x:v>Grupo Industrial S.A.</x:v>
      </x:c>
      <x:c r="C4" s="28" t="str">
        <x:v>Planta Campinas</x:v>
      </x:c>
      <x:c r="D4" s="28" t="str">
        <x:v>Linha 3 - Extrusão</x:v>
      </x:c>
      <x:c r="E4" s="28" t="str">
        <x:v>1º/2º/3º</x:v>
      </x:c>
      <x:c r="F4" s="32" t="n">
        <x:v>9</x:v>
      </x:c>
      <x:c r="G4" s="32" t="n">
        <x:v>874.7</x:v>
      </x:c>
      <x:c r="H4" s="32" t="n">
        <x:v>71.3</x:v>
      </x:c>
      <x:c r="I4" s="32" t="n">
        <x:v>553.6</x:v>
      </x:c>
      <x:c r="J4" s="36" t="n">
        <x:v>0.6329</x:v>
      </x:c>
    </x:row>
    <x:row r="5">
      <x:c r="A5" s="34" t="n">
        <x:v>45292</x:v>
      </x:c>
      <x:c r="B5" s="28" t="str">
        <x:v>Grupo Industrial S.A.</x:v>
      </x:c>
      <x:c r="C5" s="28" t="str">
        <x:v>Planta Campinas</x:v>
      </x:c>
      <x:c r="D5" s="28" t="str">
        <x:v>Linha 4 - Embalagem</x:v>
      </x:c>
      <x:c r="E5" s="28" t="str">
        <x:v>1º/2º/3º</x:v>
      </x:c>
      <x:c r="F5" s="32" t="n">
        <x:v>11</x:v>
      </x:c>
      <x:c r="G5" s="32" t="n">
        <x:v>1052.8</x:v>
      </x:c>
      <x:c r="H5" s="32" t="n">
        <x:v>78.7</x:v>
      </x:c>
      <x:c r="I5" s="32" t="n">
        <x:v>699.8</x:v>
      </x:c>
      <x:c r="J5" s="36" t="n">
        <x:v>0.6647</x:v>
      </x:c>
    </x:row>
    <x:row r="6">
      <x:c r="A6" s="34" t="n">
        <x:v>45292</x:v>
      </x:c>
      <x:c r="B6" s="28" t="str">
        <x:v>Grupo Industrial S.A.</x:v>
      </x:c>
      <x:c r="C6" s="28" t="str">
        <x:v>Planta Curitiba</x:v>
      </x:c>
      <x:c r="D6" s="28" t="str">
        <x:v>Linha 5 - Usinagem</x:v>
      </x:c>
      <x:c r="E6" s="28" t="str">
        <x:v>1º/2º/3º</x:v>
      </x:c>
      <x:c r="F6" s="32" t="n">
        <x:v>9</x:v>
      </x:c>
      <x:c r="G6" s="32" t="n">
        <x:v>917.1</x:v>
      </x:c>
      <x:c r="H6" s="32" t="n">
        <x:v>50.4</x:v>
      </x:c>
      <x:c r="I6" s="32" t="n">
        <x:v>606</x:v>
      </x:c>
      <x:c r="J6" s="36" t="n">
        <x:v>0.6607</x:v>
      </x:c>
    </x:row>
    <x:row r="7">
      <x:c r="A7" s="34" t="n">
        <x:v>45292</x:v>
      </x:c>
      <x:c r="B7" s="28" t="str">
        <x:v>Grupo Industrial S.A.</x:v>
      </x:c>
      <x:c r="C7" s="28" t="str">
        <x:v>Planta Curitiba</x:v>
      </x:c>
      <x:c r="D7" s="28" t="str">
        <x:v>Linha 6 - Finalização</x:v>
      </x:c>
      <x:c r="E7" s="28" t="str">
        <x:v>1º/2º/3º</x:v>
      </x:c>
      <x:c r="F7" s="32" t="n">
        <x:v>12</x:v>
      </x:c>
      <x:c r="G7" s="32" t="n">
        <x:v>1183.4</x:v>
      </x:c>
      <x:c r="H7" s="32" t="n">
        <x:v>59.8</x:v>
      </x:c>
      <x:c r="I7" s="32" t="n">
        <x:v>870.5</x:v>
      </x:c>
      <x:c r="J7" s="36" t="n">
        <x:v>0.7356</x:v>
      </x:c>
    </x:row>
    <x:row r="8">
      <x:c r="A8" s="34" t="n">
        <x:v>45299</x:v>
      </x:c>
      <x:c r="B8" s="28" t="str">
        <x:v>Grupo Industrial S.A.</x:v>
      </x:c>
      <x:c r="C8" s="28" t="str">
        <x:v>Planta São Paulo</x:v>
      </x:c>
      <x:c r="D8" s="28" t="str">
        <x:v>Linha 1 - Corte</x:v>
      </x:c>
      <x:c r="E8" s="28" t="str">
        <x:v>1º/2º/3º</x:v>
      </x:c>
      <x:c r="F8" s="32" t="n">
        <x:v>8</x:v>
      </x:c>
      <x:c r="G8" s="32" t="n">
        <x:v>859.3</x:v>
      </x:c>
      <x:c r="H8" s="32" t="n">
        <x:v>42.2</x:v>
      </x:c>
      <x:c r="I8" s="32" t="n">
        <x:v>724.8</x:v>
      </x:c>
      <x:c r="J8" s="36" t="n">
        <x:v>0.8435</x:v>
      </x:c>
    </x:row>
    <x:row r="9">
      <x:c r="A9" s="34" t="n">
        <x:v>45299</x:v>
      </x:c>
      <x:c r="B9" s="28" t="str">
        <x:v>Grupo Industrial S.A.</x:v>
      </x:c>
      <x:c r="C9" s="28" t="str">
        <x:v>Planta São Paulo</x:v>
      </x:c>
      <x:c r="D9" s="28" t="str">
        <x:v>Linha 2 - Montagem</x:v>
      </x:c>
      <x:c r="E9" s="28" t="str">
        <x:v>1º/2º/3º</x:v>
      </x:c>
      <x:c r="F9" s="32" t="n">
        <x:v>10</x:v>
      </x:c>
      <x:c r="G9" s="32" t="n">
        <x:v>1070.4</x:v>
      </x:c>
      <x:c r="H9" s="32" t="n">
        <x:v>49.7</x:v>
      </x:c>
      <x:c r="I9" s="32" t="n">
        <x:v>856.5</x:v>
      </x:c>
      <x:c r="J9" s="36" t="n">
        <x:v>0.8001</x:v>
      </x:c>
    </x:row>
    <x:row r="10">
      <x:c r="A10" s="34" t="n">
        <x:v>45299</x:v>
      </x:c>
      <x:c r="B10" s="28" t="str">
        <x:v>Grupo Industrial S.A.</x:v>
      </x:c>
      <x:c r="C10" s="28" t="str">
        <x:v>Planta Campinas</x:v>
      </x:c>
      <x:c r="D10" s="28" t="str">
        <x:v>Linha 3 - Extrusão</x:v>
      </x:c>
      <x:c r="E10" s="28" t="str">
        <x:v>1º/2º/3º</x:v>
      </x:c>
      <x:c r="F10" s="32" t="n">
        <x:v>9</x:v>
      </x:c>
      <x:c r="G10" s="32" t="n">
        <x:v>885.6</x:v>
      </x:c>
      <x:c r="H10" s="32" t="n">
        <x:v>58</x:v>
      </x:c>
      <x:c r="I10" s="32" t="n">
        <x:v>589.3</x:v>
      </x:c>
      <x:c r="J10" s="36" t="n">
        <x:v>0.6654</x:v>
      </x:c>
    </x:row>
    <x:row r="11">
      <x:c r="A11" s="34" t="n">
        <x:v>45299</x:v>
      </x:c>
      <x:c r="B11" s="28" t="str">
        <x:v>Grupo Industrial S.A.</x:v>
      </x:c>
      <x:c r="C11" s="28" t="str">
        <x:v>Planta Campinas</x:v>
      </x:c>
      <x:c r="D11" s="28" t="str">
        <x:v>Linha 4 - Embalagem</x:v>
      </x:c>
      <x:c r="E11" s="28" t="str">
        <x:v>1º/2º/3º</x:v>
      </x:c>
      <x:c r="F11" s="32" t="n">
        <x:v>11</x:v>
      </x:c>
      <x:c r="G11" s="32" t="n">
        <x:v>1053.6</x:v>
      </x:c>
      <x:c r="H11" s="32" t="n">
        <x:v>58</x:v>
      </x:c>
      <x:c r="I11" s="32" t="n">
        <x:v>706.2</x:v>
      </x:c>
      <x:c r="J11" s="36" t="n">
        <x:v>0.6703</x:v>
      </x:c>
    </x:row>
    <x:row r="12">
      <x:c r="A12" s="34" t="n">
        <x:v>45299</x:v>
      </x:c>
      <x:c r="B12" s="28" t="str">
        <x:v>Grupo Industrial S.A.</x:v>
      </x:c>
      <x:c r="C12" s="28" t="str">
        <x:v>Planta Curitiba</x:v>
      </x:c>
      <x:c r="D12" s="28" t="str">
        <x:v>Linha 5 - Usinagem</x:v>
      </x:c>
      <x:c r="E12" s="28" t="str">
        <x:v>1º/2º/3º</x:v>
      </x:c>
      <x:c r="F12" s="32" t="n">
        <x:v>9</x:v>
      </x:c>
      <x:c r="G12" s="32" t="n">
        <x:v>898.2</x:v>
      </x:c>
      <x:c r="H12" s="32" t="n">
        <x:v>58</x:v>
      </x:c>
      <x:c r="I12" s="32" t="n">
        <x:v>635.7</x:v>
      </x:c>
      <x:c r="J12" s="36" t="n">
        <x:v>0.7078</x:v>
      </x:c>
    </x:row>
    <x:row r="13">
      <x:c r="A13" s="34" t="n">
        <x:v>45299</x:v>
      </x:c>
      <x:c r="B13" s="28" t="str">
        <x:v>Grupo Industrial S.A.</x:v>
      </x:c>
      <x:c r="C13" s="28" t="str">
        <x:v>Planta Curitiba</x:v>
      </x:c>
      <x:c r="D13" s="28" t="str">
        <x:v>Linha 6 - Finalização</x:v>
      </x:c>
      <x:c r="E13" s="28" t="str">
        <x:v>1º/2º/3º</x:v>
      </x:c>
      <x:c r="F13" s="32" t="n">
        <x:v>12</x:v>
      </x:c>
      <x:c r="G13" s="32" t="n">
        <x:v>1213.5</x:v>
      </x:c>
      <x:c r="H13" s="32" t="n">
        <x:v>71.8</x:v>
      </x:c>
      <x:c r="I13" s="32" t="n">
        <x:v>861.2</x:v>
      </x:c>
      <x:c r="J13" s="36" t="n">
        <x:v>0.7097</x:v>
      </x:c>
    </x:row>
    <x:row r="14">
      <x:c r="A14" s="34" t="n">
        <x:v>45306</x:v>
      </x:c>
      <x:c r="B14" s="28" t="str">
        <x:v>Grupo Industrial S.A.</x:v>
      </x:c>
      <x:c r="C14" s="28" t="str">
        <x:v>Planta São Paulo</x:v>
      </x:c>
      <x:c r="D14" s="28" t="str">
        <x:v>Linha 1 - Corte</x:v>
      </x:c>
      <x:c r="E14" s="28" t="str">
        <x:v>1º/2º/3º</x:v>
      </x:c>
      <x:c r="F14" s="32" t="n">
        <x:v>8</x:v>
      </x:c>
      <x:c r="G14" s="32" t="n">
        <x:v>826.1</x:v>
      </x:c>
      <x:c r="H14" s="32" t="n">
        <x:v>33.9</x:v>
      </x:c>
      <x:c r="I14" s="32" t="n">
        <x:v>672.4</x:v>
      </x:c>
      <x:c r="J14" s="36" t="n">
        <x:v>0.814</x:v>
      </x:c>
    </x:row>
    <x:row r="15">
      <x:c r="A15" s="34" t="n">
        <x:v>45306</x:v>
      </x:c>
      <x:c r="B15" s="28" t="str">
        <x:v>Grupo Industrial S.A.</x:v>
      </x:c>
      <x:c r="C15" s="28" t="str">
        <x:v>Planta São Paulo</x:v>
      </x:c>
      <x:c r="D15" s="28" t="str">
        <x:v>Linha 2 - Montagem</x:v>
      </x:c>
      <x:c r="E15" s="28" t="str">
        <x:v>1º/2º/3º</x:v>
      </x:c>
      <x:c r="F15" s="32" t="n">
        <x:v>10</x:v>
      </x:c>
      <x:c r="G15" s="32" t="n">
        <x:v>1056.9</x:v>
      </x:c>
      <x:c r="H15" s="32" t="n">
        <x:v>49.9</x:v>
      </x:c>
      <x:c r="I15" s="32" t="n">
        <x:v>799.8</x:v>
      </x:c>
      <x:c r="J15" s="36" t="n">
        <x:v>0.7567</x:v>
      </x:c>
    </x:row>
    <x:row r="16">
      <x:c r="A16" s="34" t="n">
        <x:v>45306</x:v>
      </x:c>
      <x:c r="B16" s="28" t="str">
        <x:v>Grupo Industrial S.A.</x:v>
      </x:c>
      <x:c r="C16" s="28" t="str">
        <x:v>Planta Campinas</x:v>
      </x:c>
      <x:c r="D16" s="28" t="str">
        <x:v>Linha 3 - Extrusão</x:v>
      </x:c>
      <x:c r="E16" s="28" t="str">
        <x:v>1º/2º/3º</x:v>
      </x:c>
      <x:c r="F16" s="32" t="n">
        <x:v>9</x:v>
      </x:c>
      <x:c r="G16" s="32" t="n">
        <x:v>883.7</x:v>
      </x:c>
      <x:c r="H16" s="32" t="n">
        <x:v>57.7</x:v>
      </x:c>
      <x:c r="I16" s="32" t="n">
        <x:v>631.6</x:v>
      </x:c>
      <x:c r="J16" s="36" t="n">
        <x:v>0.7148</x:v>
      </x:c>
    </x:row>
    <x:row r="17">
      <x:c r="A17" s="34" t="n">
        <x:v>45306</x:v>
      </x:c>
      <x:c r="B17" s="28" t="str">
        <x:v>Grupo Industrial S.A.</x:v>
      </x:c>
      <x:c r="C17" s="28" t="str">
        <x:v>Planta Campinas</x:v>
      </x:c>
      <x:c r="D17" s="28" t="str">
        <x:v>Linha 4 - Embalagem</x:v>
      </x:c>
      <x:c r="E17" s="28" t="str">
        <x:v>1º/2º/3º</x:v>
      </x:c>
      <x:c r="F17" s="32" t="n">
        <x:v>11</x:v>
      </x:c>
      <x:c r="G17" s="32" t="n">
        <x:v>1039.3</x:v>
      </x:c>
      <x:c r="H17" s="32" t="n">
        <x:v>76.9</x:v>
      </x:c>
      <x:c r="I17" s="32" t="n">
        <x:v>676.9</x:v>
      </x:c>
      <x:c r="J17" s="36" t="n">
        <x:v>0.6514</x:v>
      </x:c>
    </x:row>
    <x:row r="18">
      <x:c r="A18" s="34" t="n">
        <x:v>45306</x:v>
      </x:c>
      <x:c r="B18" s="28" t="str">
        <x:v>Grupo Industrial S.A.</x:v>
      </x:c>
      <x:c r="C18" s="28" t="str">
        <x:v>Planta Curitiba</x:v>
      </x:c>
      <x:c r="D18" s="28" t="str">
        <x:v>Linha 5 - Usinagem</x:v>
      </x:c>
      <x:c r="E18" s="28" t="str">
        <x:v>1º/2º/3º</x:v>
      </x:c>
      <x:c r="F18" s="32" t="n">
        <x:v>9</x:v>
      </x:c>
      <x:c r="G18" s="32" t="n">
        <x:v>889.8</x:v>
      </x:c>
      <x:c r="H18" s="32" t="n">
        <x:v>52</x:v>
      </x:c>
      <x:c r="I18" s="32" t="n">
        <x:v>592.8</x:v>
      </x:c>
      <x:c r="J18" s="36" t="n">
        <x:v>0.6662</x:v>
      </x:c>
    </x:row>
    <x:row r="19">
      <x:c r="A19" s="34" t="n">
        <x:v>45306</x:v>
      </x:c>
      <x:c r="B19" s="28" t="str">
        <x:v>Grupo Industrial S.A.</x:v>
      </x:c>
      <x:c r="C19" s="28" t="str">
        <x:v>Planta Curitiba</x:v>
      </x:c>
      <x:c r="D19" s="28" t="str">
        <x:v>Linha 6 - Finalização</x:v>
      </x:c>
      <x:c r="E19" s="28" t="str">
        <x:v>1º/2º/3º</x:v>
      </x:c>
      <x:c r="F19" s="32" t="n">
        <x:v>12</x:v>
      </x:c>
      <x:c r="G19" s="32" t="n">
        <x:v>1219.7</x:v>
      </x:c>
      <x:c r="H19" s="32" t="n">
        <x:v>67.7</x:v>
      </x:c>
      <x:c r="I19" s="32" t="n">
        <x:v>889.2</x:v>
      </x:c>
      <x:c r="J19" s="36" t="n">
        <x:v>0.7291</x:v>
      </x:c>
    </x:row>
    <x:row r="20">
      <x:c r="A20" s="34" t="n">
        <x:v>45313</x:v>
      </x:c>
      <x:c r="B20" s="28" t="str">
        <x:v>Grupo Industrial S.A.</x:v>
      </x:c>
      <x:c r="C20" s="28" t="str">
        <x:v>Planta São Paulo</x:v>
      </x:c>
      <x:c r="D20" s="28" t="str">
        <x:v>Linha 1 - Corte</x:v>
      </x:c>
      <x:c r="E20" s="28" t="str">
        <x:v>1º/2º/3º</x:v>
      </x:c>
      <x:c r="F20" s="32" t="n">
        <x:v>8</x:v>
      </x:c>
      <x:c r="G20" s="32" t="n">
        <x:v>822.9</x:v>
      </x:c>
      <x:c r="H20" s="32" t="n">
        <x:v>31.2</x:v>
      </x:c>
      <x:c r="I20" s="32" t="n">
        <x:v>678.2</x:v>
      </x:c>
      <x:c r="J20" s="36" t="n">
        <x:v>0.8242</x:v>
      </x:c>
    </x:row>
    <x:row r="21">
      <x:c r="A21" s="34" t="n">
        <x:v>45313</x:v>
      </x:c>
      <x:c r="B21" s="28" t="str">
        <x:v>Grupo Industrial S.A.</x:v>
      </x:c>
      <x:c r="C21" s="28" t="str">
        <x:v>Planta São Paulo</x:v>
      </x:c>
      <x:c r="D21" s="28" t="str">
        <x:v>Linha 2 - Montagem</x:v>
      </x:c>
      <x:c r="E21" s="28" t="str">
        <x:v>1º/2º/3º</x:v>
      </x:c>
      <x:c r="F21" s="32" t="n">
        <x:v>10</x:v>
      </x:c>
      <x:c r="G21" s="32" t="n">
        <x:v>1048.6</x:v>
      </x:c>
      <x:c r="H21" s="32" t="n">
        <x:v>37.8</x:v>
      </x:c>
      <x:c r="I21" s="32" t="n">
        <x:v>785.3</x:v>
      </x:c>
      <x:c r="J21" s="36" t="n">
        <x:v>0.7489</x:v>
      </x:c>
    </x:row>
    <x:row r="22">
      <x:c r="A22" s="34" t="n">
        <x:v>45313</x:v>
      </x:c>
      <x:c r="B22" s="28" t="str">
        <x:v>Grupo Industrial S.A.</x:v>
      </x:c>
      <x:c r="C22" s="28" t="str">
        <x:v>Planta Campinas</x:v>
      </x:c>
      <x:c r="D22" s="28" t="str">
        <x:v>Linha 3 - Extrusão</x:v>
      </x:c>
      <x:c r="E22" s="28" t="str">
        <x:v>1º/2º/3º</x:v>
      </x:c>
      <x:c r="F22" s="32" t="n">
        <x:v>9</x:v>
      </x:c>
      <x:c r="G22" s="32" t="n">
        <x:v>852.9</x:v>
      </x:c>
      <x:c r="H22" s="32" t="n">
        <x:v>67.8</x:v>
      </x:c>
      <x:c r="I22" s="32" t="n">
        <x:v>618.8</x:v>
      </x:c>
      <x:c r="J22" s="36" t="n">
        <x:v>0.7255</x:v>
      </x:c>
    </x:row>
    <x:row r="23">
      <x:c r="A23" s="34" t="n">
        <x:v>45313</x:v>
      </x:c>
      <x:c r="B23" s="28" t="str">
        <x:v>Grupo Industrial S.A.</x:v>
      </x:c>
      <x:c r="C23" s="28" t="str">
        <x:v>Planta Campinas</x:v>
      </x:c>
      <x:c r="D23" s="28" t="str">
        <x:v>Linha 4 - Embalagem</x:v>
      </x:c>
      <x:c r="E23" s="28" t="str">
        <x:v>1º/2º/3º</x:v>
      </x:c>
      <x:c r="F23" s="32" t="n">
        <x:v>11</x:v>
      </x:c>
      <x:c r="G23" s="32" t="n">
        <x:v>1045.4</x:v>
      </x:c>
      <x:c r="H23" s="32" t="n">
        <x:v>64.3</x:v>
      </x:c>
      <x:c r="I23" s="32" t="n">
        <x:v>701.4</x:v>
      </x:c>
      <x:c r="J23" s="36" t="n">
        <x:v>0.6709</x:v>
      </x:c>
    </x:row>
    <x:row r="24">
      <x:c r="A24" s="34" t="n">
        <x:v>45313</x:v>
      </x:c>
      <x:c r="B24" s="28" t="str">
        <x:v>Grupo Industrial S.A.</x:v>
      </x:c>
      <x:c r="C24" s="28" t="str">
        <x:v>Planta Curitiba</x:v>
      </x:c>
      <x:c r="D24" s="28" t="str">
        <x:v>Linha 5 - Usinagem</x:v>
      </x:c>
      <x:c r="E24" s="28" t="str">
        <x:v>1º/2º/3º</x:v>
      </x:c>
      <x:c r="F24" s="32" t="n">
        <x:v>9</x:v>
      </x:c>
      <x:c r="G24" s="32" t="n">
        <x:v>909.5</x:v>
      </x:c>
      <x:c r="H24" s="32" t="n">
        <x:v>54.5</x:v>
      </x:c>
      <x:c r="I24" s="32" t="n">
        <x:v>636.8</x:v>
      </x:c>
      <x:c r="J24" s="36" t="n">
        <x:v>0.7002</x:v>
      </x:c>
    </x:row>
    <x:row r="25">
      <x:c r="A25" s="34" t="n">
        <x:v>45313</x:v>
      </x:c>
      <x:c r="B25" s="28" t="str">
        <x:v>Grupo Industrial S.A.</x:v>
      </x:c>
      <x:c r="C25" s="28" t="str">
        <x:v>Planta Curitiba</x:v>
      </x:c>
      <x:c r="D25" s="28" t="str">
        <x:v>Linha 6 - Finalização</x:v>
      </x:c>
      <x:c r="E25" s="28" t="str">
        <x:v>1º/2º/3º</x:v>
      </x:c>
      <x:c r="F25" s="32" t="n">
        <x:v>12</x:v>
      </x:c>
      <x:c r="G25" s="32" t="n">
        <x:v>1194.5</x:v>
      </x:c>
      <x:c r="H25" s="32" t="n">
        <x:v>48.8</x:v>
      </x:c>
      <x:c r="I25" s="32" t="n">
        <x:v>864.8</x:v>
      </x:c>
      <x:c r="J25" s="36" t="n">
        <x:v>0.7239</x:v>
      </x:c>
    </x:row>
    <x:row r="26">
      <x:c r="A26" s="34" t="n">
        <x:v>45320</x:v>
      </x:c>
      <x:c r="B26" s="28" t="str">
        <x:v>Grupo Industrial S.A.</x:v>
      </x:c>
      <x:c r="C26" s="28" t="str">
        <x:v>Planta São Paulo</x:v>
      </x:c>
      <x:c r="D26" s="28" t="str">
        <x:v>Linha 1 - Corte</x:v>
      </x:c>
      <x:c r="E26" s="28" t="str">
        <x:v>1º/2º/3º</x:v>
      </x:c>
      <x:c r="F26" s="32" t="n">
        <x:v>8</x:v>
      </x:c>
      <x:c r="G26" s="32" t="n">
        <x:v>834</x:v>
      </x:c>
      <x:c r="H26" s="32" t="n">
        <x:v>47.6</x:v>
      </x:c>
      <x:c r="I26" s="32" t="n">
        <x:v>688.6</x:v>
      </x:c>
      <x:c r="J26" s="36" t="n">
        <x:v>0.8256</x:v>
      </x:c>
    </x:row>
    <x:row r="27">
      <x:c r="A27" s="34" t="n">
        <x:v>45320</x:v>
      </x:c>
      <x:c r="B27" s="28" t="str">
        <x:v>Grupo Industrial S.A.</x:v>
      </x:c>
      <x:c r="C27" s="28" t="str">
        <x:v>Planta São Paulo</x:v>
      </x:c>
      <x:c r="D27" s="28" t="str">
        <x:v>Linha 2 - Montagem</x:v>
      </x:c>
      <x:c r="E27" s="28" t="str">
        <x:v>1º/2º/3º</x:v>
      </x:c>
      <x:c r="F27" s="32" t="n">
        <x:v>10</x:v>
      </x:c>
      <x:c r="G27" s="32" t="n">
        <x:v>1040.6</x:v>
      </x:c>
      <x:c r="H27" s="32" t="n">
        <x:v>43.7</x:v>
      </x:c>
      <x:c r="I27" s="32" t="n">
        <x:v>867.7</x:v>
      </x:c>
      <x:c r="J27" s="36" t="n">
        <x:v>0.8338</x:v>
      </x:c>
    </x:row>
    <x:row r="28">
      <x:c r="A28" s="34" t="n">
        <x:v>45320</x:v>
      </x:c>
      <x:c r="B28" s="28" t="str">
        <x:v>Grupo Industrial S.A.</x:v>
      </x:c>
      <x:c r="C28" s="28" t="str">
        <x:v>Planta Campinas</x:v>
      </x:c>
      <x:c r="D28" s="28" t="str">
        <x:v>Linha 3 - Extrusão</x:v>
      </x:c>
      <x:c r="E28" s="28" t="str">
        <x:v>1º/2º/3º</x:v>
      </x:c>
      <x:c r="F28" s="32" t="n">
        <x:v>9</x:v>
      </x:c>
      <x:c r="G28" s="32" t="n">
        <x:v>857.5</x:v>
      </x:c>
      <x:c r="H28" s="32" t="n">
        <x:v>64.8</x:v>
      </x:c>
      <x:c r="I28" s="32" t="n">
        <x:v>599.6</x:v>
      </x:c>
      <x:c r="J28" s="36" t="n">
        <x:v>0.6992</x:v>
      </x:c>
    </x:row>
    <x:row r="29">
      <x:c r="A29" s="34" t="n">
        <x:v>45320</x:v>
      </x:c>
      <x:c r="B29" s="28" t="str">
        <x:v>Grupo Industrial S.A.</x:v>
      </x:c>
      <x:c r="C29" s="28" t="str">
        <x:v>Planta Campinas</x:v>
      </x:c>
      <x:c r="D29" s="28" t="str">
        <x:v>Linha 4 - Embalagem</x:v>
      </x:c>
      <x:c r="E29" s="28" t="str">
        <x:v>1º/2º/3º</x:v>
      </x:c>
      <x:c r="F29" s="32" t="n">
        <x:v>11</x:v>
      </x:c>
      <x:c r="G29" s="32" t="n">
        <x:v>1064.3</x:v>
      </x:c>
      <x:c r="H29" s="32" t="n">
        <x:v>86.7</x:v>
      </x:c>
      <x:c r="I29" s="32" t="n">
        <x:v>682.2</x:v>
      </x:c>
      <x:c r="J29" s="36" t="n">
        <x:v>0.641</x:v>
      </x:c>
    </x:row>
    <x:row r="30">
      <x:c r="A30" s="34" t="n">
        <x:v>45320</x:v>
      </x:c>
      <x:c r="B30" s="28" t="str">
        <x:v>Grupo Industrial S.A.</x:v>
      </x:c>
      <x:c r="C30" s="28" t="str">
        <x:v>Planta Curitiba</x:v>
      </x:c>
      <x:c r="D30" s="28" t="str">
        <x:v>Linha 5 - Usinagem</x:v>
      </x:c>
      <x:c r="E30" s="28" t="str">
        <x:v>1º/2º/3º</x:v>
      </x:c>
      <x:c r="F30" s="32" t="n">
        <x:v>9</x:v>
      </x:c>
      <x:c r="G30" s="32" t="n">
        <x:v>891.6</x:v>
      </x:c>
      <x:c r="H30" s="32" t="n">
        <x:v>42.2</x:v>
      </x:c>
      <x:c r="I30" s="32" t="n">
        <x:v>669.3</x:v>
      </x:c>
      <x:c r="J30" s="36" t="n">
        <x:v>0.7506</x:v>
      </x:c>
    </x:row>
    <x:row r="31">
      <x:c r="A31" s="34" t="n">
        <x:v>45320</x:v>
      </x:c>
      <x:c r="B31" s="28" t="str">
        <x:v>Grupo Industrial S.A.</x:v>
      </x:c>
      <x:c r="C31" s="28" t="str">
        <x:v>Planta Curitiba</x:v>
      </x:c>
      <x:c r="D31" s="28" t="str">
        <x:v>Linha 6 - Finalização</x:v>
      </x:c>
      <x:c r="E31" s="28" t="str">
        <x:v>1º/2º/3º</x:v>
      </x:c>
      <x:c r="F31" s="32" t="n">
        <x:v>12</x:v>
      </x:c>
      <x:c r="G31" s="32" t="n">
        <x:v>1233</x:v>
      </x:c>
      <x:c r="H31" s="32" t="n">
        <x:v>65.5</x:v>
      </x:c>
      <x:c r="I31" s="32" t="n">
        <x:v>826.5</x:v>
      </x:c>
      <x:c r="J31" s="36" t="n">
        <x:v>0.6703</x:v>
      </x:c>
    </x:row>
    <x:row r="32">
      <x:c r="A32" s="34" t="n">
        <x:v>45327</x:v>
      </x:c>
      <x:c r="B32" s="28" t="str">
        <x:v>Grupo Industrial S.A.</x:v>
      </x:c>
      <x:c r="C32" s="28" t="str">
        <x:v>Planta São Paulo</x:v>
      </x:c>
      <x:c r="D32" s="28" t="str">
        <x:v>Linha 1 - Corte</x:v>
      </x:c>
      <x:c r="E32" s="28" t="str">
        <x:v>1º/2º/3º</x:v>
      </x:c>
      <x:c r="F32" s="32" t="n">
        <x:v>8</x:v>
      </x:c>
      <x:c r="G32" s="32" t="n">
        <x:v>820.3</x:v>
      </x:c>
      <x:c r="H32" s="32" t="n">
        <x:v>42.2</x:v>
      </x:c>
      <x:c r="I32" s="32" t="n">
        <x:v>735.2</x:v>
      </x:c>
      <x:c r="J32" s="36" t="n">
        <x:v>0.8962</x:v>
      </x:c>
    </x:row>
    <x:row r="33">
      <x:c r="A33" s="34" t="n">
        <x:v>45327</x:v>
      </x:c>
      <x:c r="B33" s="28" t="str">
        <x:v>Grupo Industrial S.A.</x:v>
      </x:c>
      <x:c r="C33" s="28" t="str">
        <x:v>Planta São Paulo</x:v>
      </x:c>
      <x:c r="D33" s="28" t="str">
        <x:v>Linha 2 - Montagem</x:v>
      </x:c>
      <x:c r="E33" s="28" t="str">
        <x:v>1º/2º/3º</x:v>
      </x:c>
      <x:c r="F33" s="32" t="n">
        <x:v>10</x:v>
      </x:c>
      <x:c r="G33" s="32" t="n">
        <x:v>1067.6</x:v>
      </x:c>
      <x:c r="H33" s="32" t="n">
        <x:v>65.5</x:v>
      </x:c>
      <x:c r="I33" s="32" t="n">
        <x:v>818.6</x:v>
      </x:c>
      <x:c r="J33" s="36" t="n">
        <x:v>0.7667</x:v>
      </x:c>
    </x:row>
    <x:row r="34">
      <x:c r="A34" s="34" t="n">
        <x:v>45327</x:v>
      </x:c>
      <x:c r="B34" s="28" t="str">
        <x:v>Grupo Industrial S.A.</x:v>
      </x:c>
      <x:c r="C34" s="28" t="str">
        <x:v>Planta Campinas</x:v>
      </x:c>
      <x:c r="D34" s="28" t="str">
        <x:v>Linha 3 - Extrusão</x:v>
      </x:c>
      <x:c r="E34" s="28" t="str">
        <x:v>1º/2º/3º</x:v>
      </x:c>
      <x:c r="F34" s="32" t="n">
        <x:v>9</x:v>
      </x:c>
      <x:c r="G34" s="32" t="n">
        <x:v>866.6</x:v>
      </x:c>
      <x:c r="H34" s="32" t="n">
        <x:v>60.7</x:v>
      </x:c>
      <x:c r="I34" s="32" t="n">
        <x:v>617.1</x:v>
      </x:c>
      <x:c r="J34" s="36" t="n">
        <x:v>0.7121</x:v>
      </x:c>
    </x:row>
    <x:row r="35">
      <x:c r="A35" s="34" t="n">
        <x:v>45327</x:v>
      </x:c>
      <x:c r="B35" s="28" t="str">
        <x:v>Grupo Industrial S.A.</x:v>
      </x:c>
      <x:c r="C35" s="28" t="str">
        <x:v>Planta Campinas</x:v>
      </x:c>
      <x:c r="D35" s="28" t="str">
        <x:v>Linha 4 - Embalagem</x:v>
      </x:c>
      <x:c r="E35" s="28" t="str">
        <x:v>1º/2º/3º</x:v>
      </x:c>
      <x:c r="F35" s="32" t="n">
        <x:v>11</x:v>
      </x:c>
      <x:c r="G35" s="32" t="n">
        <x:v>1048.1</x:v>
      </x:c>
      <x:c r="H35" s="32" t="n">
        <x:v>87.2</x:v>
      </x:c>
      <x:c r="I35" s="32" t="n">
        <x:v>741.4</x:v>
      </x:c>
      <x:c r="J35" s="36" t="n">
        <x:v>0.7074</x:v>
      </x:c>
    </x:row>
    <x:row r="36">
      <x:c r="A36" s="34" t="n">
        <x:v>45327</x:v>
      </x:c>
      <x:c r="B36" s="28" t="str">
        <x:v>Grupo Industrial S.A.</x:v>
      </x:c>
      <x:c r="C36" s="28" t="str">
        <x:v>Planta Curitiba</x:v>
      </x:c>
      <x:c r="D36" s="28" t="str">
        <x:v>Linha 5 - Usinagem</x:v>
      </x:c>
      <x:c r="E36" s="28" t="str">
        <x:v>1º/2º/3º</x:v>
      </x:c>
      <x:c r="F36" s="32" t="n">
        <x:v>9</x:v>
      </x:c>
      <x:c r="G36" s="32" t="n">
        <x:v>891.5</x:v>
      </x:c>
      <x:c r="H36" s="32" t="n">
        <x:v>33.4</x:v>
      </x:c>
      <x:c r="I36" s="32" t="n">
        <x:v>601</x:v>
      </x:c>
      <x:c r="J36" s="36" t="n">
        <x:v>0.6741</x:v>
      </x:c>
    </x:row>
    <x:row r="37">
      <x:c r="A37" s="34" t="n">
        <x:v>45327</x:v>
      </x:c>
      <x:c r="B37" s="28" t="str">
        <x:v>Grupo Industrial S.A.</x:v>
      </x:c>
      <x:c r="C37" s="28" t="str">
        <x:v>Planta Curitiba</x:v>
      </x:c>
      <x:c r="D37" s="28" t="str">
        <x:v>Linha 6 - Finalização</x:v>
      </x:c>
      <x:c r="E37" s="28" t="str">
        <x:v>1º/2º/3º</x:v>
      </x:c>
      <x:c r="F37" s="32" t="n">
        <x:v>12</x:v>
      </x:c>
      <x:c r="G37" s="32" t="n">
        <x:v>1224</x:v>
      </x:c>
      <x:c r="H37" s="32" t="n">
        <x:v>74.5</x:v>
      </x:c>
      <x:c r="I37" s="32" t="n">
        <x:v>843</x:v>
      </x:c>
      <x:c r="J37" s="36" t="n">
        <x:v>0.6887</x:v>
      </x:c>
    </x:row>
    <x:row r="38">
      <x:c r="A38" s="34" t="n">
        <x:v>45334</x:v>
      </x:c>
      <x:c r="B38" s="28" t="str">
        <x:v>Grupo Industrial S.A.</x:v>
      </x:c>
      <x:c r="C38" s="28" t="str">
        <x:v>Planta São Paulo</x:v>
      </x:c>
      <x:c r="D38" s="28" t="str">
        <x:v>Linha 1 - Corte</x:v>
      </x:c>
      <x:c r="E38" s="28" t="str">
        <x:v>1º/2º/3º</x:v>
      </x:c>
      <x:c r="F38" s="32" t="n">
        <x:v>8</x:v>
      </x:c>
      <x:c r="G38" s="32" t="n">
        <x:v>844.8</x:v>
      </x:c>
      <x:c r="H38" s="32" t="n">
        <x:v>49.8</x:v>
      </x:c>
      <x:c r="I38" s="32" t="n">
        <x:v>716.4</x:v>
      </x:c>
      <x:c r="J38" s="36" t="n">
        <x:v>0.848</x:v>
      </x:c>
    </x:row>
    <x:row r="39">
      <x:c r="A39" s="34" t="n">
        <x:v>45334</x:v>
      </x:c>
      <x:c r="B39" s="28" t="str">
        <x:v>Grupo Industrial S.A.</x:v>
      </x:c>
      <x:c r="C39" s="28" t="str">
        <x:v>Planta São Paulo</x:v>
      </x:c>
      <x:c r="D39" s="28" t="str">
        <x:v>Linha 2 - Montagem</x:v>
      </x:c>
      <x:c r="E39" s="28" t="str">
        <x:v>1º/2º/3º</x:v>
      </x:c>
      <x:c r="F39" s="32" t="n">
        <x:v>10</x:v>
      </x:c>
      <x:c r="G39" s="32" t="n">
        <x:v>1056.3</x:v>
      </x:c>
      <x:c r="H39" s="32" t="n">
        <x:v>49.4</x:v>
      </x:c>
      <x:c r="I39" s="32" t="n">
        <x:v>833.4</x:v>
      </x:c>
      <x:c r="J39" s="36" t="n">
        <x:v>0.789</x:v>
      </x:c>
    </x:row>
    <x:row r="40">
      <x:c r="A40" s="34" t="n">
        <x:v>45334</x:v>
      </x:c>
      <x:c r="B40" s="28" t="str">
        <x:v>Grupo Industrial S.A.</x:v>
      </x:c>
      <x:c r="C40" s="28" t="str">
        <x:v>Planta Campinas</x:v>
      </x:c>
      <x:c r="D40" s="28" t="str">
        <x:v>Linha 3 - Extrusão</x:v>
      </x:c>
      <x:c r="E40" s="28" t="str">
        <x:v>1º/2º/3º</x:v>
      </x:c>
      <x:c r="F40" s="32" t="n">
        <x:v>9</x:v>
      </x:c>
      <x:c r="G40" s="32" t="n">
        <x:v>866.5</x:v>
      </x:c>
      <x:c r="H40" s="32" t="n">
        <x:v>50.3</x:v>
      </x:c>
      <x:c r="I40" s="32" t="n">
        <x:v>603.3</x:v>
      </x:c>
      <x:c r="J40" s="36" t="n">
        <x:v>0.6962</x:v>
      </x:c>
    </x:row>
    <x:row r="41">
      <x:c r="A41" s="34" t="n">
        <x:v>45334</x:v>
      </x:c>
      <x:c r="B41" s="28" t="str">
        <x:v>Grupo Industrial S.A.</x:v>
      </x:c>
      <x:c r="C41" s="28" t="str">
        <x:v>Planta Campinas</x:v>
      </x:c>
      <x:c r="D41" s="28" t="str">
        <x:v>Linha 4 - Embalagem</x:v>
      </x:c>
      <x:c r="E41" s="28" t="str">
        <x:v>1º/2º/3º</x:v>
      </x:c>
      <x:c r="F41" s="32" t="n">
        <x:v>11</x:v>
      </x:c>
      <x:c r="G41" s="32" t="n">
        <x:v>1084.2</x:v>
      </x:c>
      <x:c r="H41" s="32" t="n">
        <x:v>74.8</x:v>
      </x:c>
      <x:c r="I41" s="32" t="n">
        <x:v>720.7</x:v>
      </x:c>
      <x:c r="J41" s="36" t="n">
        <x:v>0.6647</x:v>
      </x:c>
    </x:row>
    <x:row r="42">
      <x:c r="A42" s="34" t="n">
        <x:v>45334</x:v>
      </x:c>
      <x:c r="B42" s="28" t="str">
        <x:v>Grupo Industrial S.A.</x:v>
      </x:c>
      <x:c r="C42" s="28" t="str">
        <x:v>Planta Curitiba</x:v>
      </x:c>
      <x:c r="D42" s="28" t="str">
        <x:v>Linha 5 - Usinagem</x:v>
      </x:c>
      <x:c r="E42" s="28" t="str">
        <x:v>1º/2º/3º</x:v>
      </x:c>
      <x:c r="F42" s="32" t="n">
        <x:v>9</x:v>
      </x:c>
      <x:c r="G42" s="32" t="n">
        <x:v>898.6</x:v>
      </x:c>
      <x:c r="H42" s="32" t="n">
        <x:v>42.7</x:v>
      </x:c>
      <x:c r="I42" s="32" t="n">
        <x:v>655.6</x:v>
      </x:c>
      <x:c r="J42" s="36" t="n">
        <x:v>0.7296</x:v>
      </x:c>
    </x:row>
    <x:row r="43">
      <x:c r="A43" s="34" t="n">
        <x:v>45334</x:v>
      </x:c>
      <x:c r="B43" s="28" t="str">
        <x:v>Grupo Industrial S.A.</x:v>
      </x:c>
      <x:c r="C43" s="28" t="str">
        <x:v>Planta Curitiba</x:v>
      </x:c>
      <x:c r="D43" s="28" t="str">
        <x:v>Linha 6 - Finalização</x:v>
      </x:c>
      <x:c r="E43" s="28" t="str">
        <x:v>1º/2º/3º</x:v>
      </x:c>
      <x:c r="F43" s="32" t="n">
        <x:v>12</x:v>
      </x:c>
      <x:c r="G43" s="32" t="n">
        <x:v>1209.4</x:v>
      </x:c>
      <x:c r="H43" s="32" t="n">
        <x:v>49.7</x:v>
      </x:c>
      <x:c r="I43" s="32" t="n">
        <x:v>895</x:v>
      </x:c>
      <x:c r="J43" s="36" t="n">
        <x:v>0.7401</x:v>
      </x:c>
    </x:row>
    <x:row r="44">
      <x:c r="A44" s="34" t="n">
        <x:v>45341</x:v>
      </x:c>
      <x:c r="B44" s="28" t="str">
        <x:v>Grupo Industrial S.A.</x:v>
      </x:c>
      <x:c r="C44" s="28" t="str">
        <x:v>Planta São Paulo</x:v>
      </x:c>
      <x:c r="D44" s="28" t="str">
        <x:v>Linha 1 - Corte</x:v>
      </x:c>
      <x:c r="E44" s="28" t="str">
        <x:v>1º/2º/3º</x:v>
      </x:c>
      <x:c r="F44" s="32" t="n">
        <x:v>8</x:v>
      </x:c>
      <x:c r="G44" s="32" t="n">
        <x:v>863.3</x:v>
      </x:c>
      <x:c r="H44" s="32" t="n">
        <x:v>40</x:v>
      </x:c>
      <x:c r="I44" s="32" t="n">
        <x:v>675.3</x:v>
      </x:c>
      <x:c r="J44" s="36" t="n">
        <x:v>0.7822</x:v>
      </x:c>
    </x:row>
    <x:row r="45">
      <x:c r="A45" s="34" t="n">
        <x:v>45341</x:v>
      </x:c>
      <x:c r="B45" s="28" t="str">
        <x:v>Grupo Industrial S.A.</x:v>
      </x:c>
      <x:c r="C45" s="28" t="str">
        <x:v>Planta São Paulo</x:v>
      </x:c>
      <x:c r="D45" s="28" t="str">
        <x:v>Linha 2 - Montagem</x:v>
      </x:c>
      <x:c r="E45" s="28" t="str">
        <x:v>1º/2º/3º</x:v>
      </x:c>
      <x:c r="F45" s="32" t="n">
        <x:v>10</x:v>
      </x:c>
      <x:c r="G45" s="32" t="n">
        <x:v>1035.7</x:v>
      </x:c>
      <x:c r="H45" s="32" t="n">
        <x:v>60.7</x:v>
      </x:c>
      <x:c r="I45" s="32" t="n">
        <x:v>773.9</x:v>
      </x:c>
      <x:c r="J45" s="36" t="n">
        <x:v>0.7473</x:v>
      </x:c>
    </x:row>
    <x:row r="46">
      <x:c r="A46" s="34" t="n">
        <x:v>45341</x:v>
      </x:c>
      <x:c r="B46" s="28" t="str">
        <x:v>Grupo Industrial S.A.</x:v>
      </x:c>
      <x:c r="C46" s="28" t="str">
        <x:v>Planta Campinas</x:v>
      </x:c>
      <x:c r="D46" s="28" t="str">
        <x:v>Linha 3 - Extrusão</x:v>
      </x:c>
      <x:c r="E46" s="28" t="str">
        <x:v>1º/2º/3º</x:v>
      </x:c>
      <x:c r="F46" s="32" t="n">
        <x:v>9</x:v>
      </x:c>
      <x:c r="G46" s="32" t="n">
        <x:v>865.6</x:v>
      </x:c>
      <x:c r="H46" s="32" t="n">
        <x:v>53.4</x:v>
      </x:c>
      <x:c r="I46" s="32" t="n">
        <x:v>617.1</x:v>
      </x:c>
      <x:c r="J46" s="36" t="n">
        <x:v>0.7129</x:v>
      </x:c>
    </x:row>
    <x:row r="47">
      <x:c r="A47" s="34" t="n">
        <x:v>45341</x:v>
      </x:c>
      <x:c r="B47" s="28" t="str">
        <x:v>Grupo Industrial S.A.</x:v>
      </x:c>
      <x:c r="C47" s="28" t="str">
        <x:v>Planta Campinas</x:v>
      </x:c>
      <x:c r="D47" s="28" t="str">
        <x:v>Linha 4 - Embalagem</x:v>
      </x:c>
      <x:c r="E47" s="28" t="str">
        <x:v>1º/2º/3º</x:v>
      </x:c>
      <x:c r="F47" s="32" t="n">
        <x:v>11</x:v>
      </x:c>
      <x:c r="G47" s="32" t="n">
        <x:v>1048.1</x:v>
      </x:c>
      <x:c r="H47" s="32" t="n">
        <x:v>71.1</x:v>
      </x:c>
      <x:c r="I47" s="32" t="n">
        <x:v>698.9</x:v>
      </x:c>
      <x:c r="J47" s="36" t="n">
        <x:v>0.6669</x:v>
      </x:c>
    </x:row>
    <x:row r="48">
      <x:c r="A48" s="34" t="n">
        <x:v>45341</x:v>
      </x:c>
      <x:c r="B48" s="28" t="str">
        <x:v>Grupo Industrial S.A.</x:v>
      </x:c>
      <x:c r="C48" s="28" t="str">
        <x:v>Planta Curitiba</x:v>
      </x:c>
      <x:c r="D48" s="28" t="str">
        <x:v>Linha 5 - Usinagem</x:v>
      </x:c>
      <x:c r="E48" s="28" t="str">
        <x:v>1º/2º/3º</x:v>
      </x:c>
      <x:c r="F48" s="32" t="n">
        <x:v>9</x:v>
      </x:c>
      <x:c r="G48" s="32" t="n">
        <x:v>926.2</x:v>
      </x:c>
      <x:c r="H48" s="32" t="n">
        <x:v>45</x:v>
      </x:c>
      <x:c r="I48" s="32" t="n">
        <x:v>641.5</x:v>
      </x:c>
      <x:c r="J48" s="36" t="n">
        <x:v>0.6926</x:v>
      </x:c>
    </x:row>
    <x:row r="49">
      <x:c r="A49" s="34" t="n">
        <x:v>45341</x:v>
      </x:c>
      <x:c r="B49" s="28" t="str">
        <x:v>Grupo Industrial S.A.</x:v>
      </x:c>
      <x:c r="C49" s="28" t="str">
        <x:v>Planta Curitiba</x:v>
      </x:c>
      <x:c r="D49" s="28" t="str">
        <x:v>Linha 6 - Finalização</x:v>
      </x:c>
      <x:c r="E49" s="28" t="str">
        <x:v>1º/2º/3º</x:v>
      </x:c>
      <x:c r="F49" s="32" t="n">
        <x:v>12</x:v>
      </x:c>
      <x:c r="G49" s="32" t="n">
        <x:v>1234.5</x:v>
      </x:c>
      <x:c r="H49" s="32" t="n">
        <x:v>76.8</x:v>
      </x:c>
      <x:c r="I49" s="32" t="n">
        <x:v>934.5</x:v>
      </x:c>
      <x:c r="J49" s="36" t="n">
        <x:v>0.757</x:v>
      </x:c>
    </x:row>
    <x:row r="50">
      <x:c r="A50" s="34" t="n">
        <x:v>45348</x:v>
      </x:c>
      <x:c r="B50" s="28" t="str">
        <x:v>Grupo Industrial S.A.</x:v>
      </x:c>
      <x:c r="C50" s="28" t="str">
        <x:v>Planta São Paulo</x:v>
      </x:c>
      <x:c r="D50" s="28" t="str">
        <x:v>Linha 1 - Corte</x:v>
      </x:c>
      <x:c r="E50" s="28" t="str">
        <x:v>1º/2º/3º</x:v>
      </x:c>
      <x:c r="F50" s="32" t="n">
        <x:v>8</x:v>
      </x:c>
      <x:c r="G50" s="32" t="n">
        <x:v>843.5</x:v>
      </x:c>
      <x:c r="H50" s="32" t="n">
        <x:v>35.3</x:v>
      </x:c>
      <x:c r="I50" s="32" t="n">
        <x:v>724.1</x:v>
      </x:c>
      <x:c r="J50" s="36" t="n">
        <x:v>0.8584</x:v>
      </x:c>
    </x:row>
    <x:row r="51">
      <x:c r="A51" s="34" t="n">
        <x:v>45348</x:v>
      </x:c>
      <x:c r="B51" s="28" t="str">
        <x:v>Grupo Industrial S.A.</x:v>
      </x:c>
      <x:c r="C51" s="28" t="str">
        <x:v>Planta São Paulo</x:v>
      </x:c>
      <x:c r="D51" s="28" t="str">
        <x:v>Linha 2 - Montagem</x:v>
      </x:c>
      <x:c r="E51" s="28" t="str">
        <x:v>1º/2º/3º</x:v>
      </x:c>
      <x:c r="F51" s="32" t="n">
        <x:v>10</x:v>
      </x:c>
      <x:c r="G51" s="32" t="n">
        <x:v>1045.8</x:v>
      </x:c>
      <x:c r="H51" s="32" t="n">
        <x:v>43.9</x:v>
      </x:c>
      <x:c r="I51" s="32" t="n">
        <x:v>867.9</x:v>
      </x:c>
      <x:c r="J51" s="36" t="n">
        <x:v>0.8298</x:v>
      </x:c>
    </x:row>
    <x:row r="52">
      <x:c r="A52" s="34" t="n">
        <x:v>45348</x:v>
      </x:c>
      <x:c r="B52" s="28" t="str">
        <x:v>Grupo Industrial S.A.</x:v>
      </x:c>
      <x:c r="C52" s="28" t="str">
        <x:v>Planta Campinas</x:v>
      </x:c>
      <x:c r="D52" s="28" t="str">
        <x:v>Linha 3 - Extrusão</x:v>
      </x:c>
      <x:c r="E52" s="28" t="str">
        <x:v>1º/2º/3º</x:v>
      </x:c>
      <x:c r="F52" s="32" t="n">
        <x:v>9</x:v>
      </x:c>
      <x:c r="G52" s="32" t="n">
        <x:v>870.1</x:v>
      </x:c>
      <x:c r="H52" s="32" t="n">
        <x:v>51.2</x:v>
      </x:c>
      <x:c r="I52" s="32" t="n">
        <x:v>627.3</x:v>
      </x:c>
      <x:c r="J52" s="36" t="n">
        <x:v>0.7209</x:v>
      </x:c>
    </x:row>
    <x:row r="53">
      <x:c r="A53" s="34" t="n">
        <x:v>45348</x:v>
      </x:c>
      <x:c r="B53" s="28" t="str">
        <x:v>Grupo Industrial S.A.</x:v>
      </x:c>
      <x:c r="C53" s="28" t="str">
        <x:v>Planta Campinas</x:v>
      </x:c>
      <x:c r="D53" s="28" t="str">
        <x:v>Linha 4 - Embalagem</x:v>
      </x:c>
      <x:c r="E53" s="28" t="str">
        <x:v>1º/2º/3º</x:v>
      </x:c>
      <x:c r="F53" s="32" t="n">
        <x:v>11</x:v>
      </x:c>
      <x:c r="G53" s="32" t="n">
        <x:v>1030.2</x:v>
      </x:c>
      <x:c r="H53" s="32" t="n">
        <x:v>76.3</x:v>
      </x:c>
      <x:c r="I53" s="32" t="n">
        <x:v>786.9</x:v>
      </x:c>
      <x:c r="J53" s="36" t="n">
        <x:v>0.7639</x:v>
      </x:c>
    </x:row>
    <x:row r="54">
      <x:c r="A54" s="34" t="n">
        <x:v>45348</x:v>
      </x:c>
      <x:c r="B54" s="28" t="str">
        <x:v>Grupo Industrial S.A.</x:v>
      </x:c>
      <x:c r="C54" s="28" t="str">
        <x:v>Planta Curitiba</x:v>
      </x:c>
      <x:c r="D54" s="28" t="str">
        <x:v>Linha 5 - Usinagem</x:v>
      </x:c>
      <x:c r="E54" s="28" t="str">
        <x:v>1º/2º/3º</x:v>
      </x:c>
      <x:c r="F54" s="32" t="n">
        <x:v>9</x:v>
      </x:c>
      <x:c r="G54" s="32" t="n">
        <x:v>897.3</x:v>
      </x:c>
      <x:c r="H54" s="32" t="n">
        <x:v>35.8</x:v>
      </x:c>
      <x:c r="I54" s="32" t="n">
        <x:v>636.3</x:v>
      </x:c>
      <x:c r="J54" s="36" t="n">
        <x:v>0.7092</x:v>
      </x:c>
    </x:row>
    <x:row r="55">
      <x:c r="A55" s="34" t="n">
        <x:v>45348</x:v>
      </x:c>
      <x:c r="B55" s="28" t="str">
        <x:v>Grupo Industrial S.A.</x:v>
      </x:c>
      <x:c r="C55" s="28" t="str">
        <x:v>Planta Curitiba</x:v>
      </x:c>
      <x:c r="D55" s="28" t="str">
        <x:v>Linha 6 - Finalização</x:v>
      </x:c>
      <x:c r="E55" s="28" t="str">
        <x:v>1º/2º/3º</x:v>
      </x:c>
      <x:c r="F55" s="32" t="n">
        <x:v>12</x:v>
      </x:c>
      <x:c r="G55" s="32" t="n">
        <x:v>1220.2</x:v>
      </x:c>
      <x:c r="H55" s="32" t="n">
        <x:v>49.5</x:v>
      </x:c>
      <x:c r="I55" s="32" t="n">
        <x:v>863</x:v>
      </x:c>
      <x:c r="J55" s="36" t="n">
        <x:v>0.7072</x:v>
      </x:c>
    </x:row>
    <x:row r="56">
      <x:c r="A56" s="34" t="n">
        <x:v>45355</x:v>
      </x:c>
      <x:c r="B56" s="28" t="str">
        <x:v>Grupo Industrial S.A.</x:v>
      </x:c>
      <x:c r="C56" s="28" t="str">
        <x:v>Planta São Paulo</x:v>
      </x:c>
      <x:c r="D56" s="28" t="str">
        <x:v>Linha 1 - Corte</x:v>
      </x:c>
      <x:c r="E56" s="28" t="str">
        <x:v>1º/2º/3º</x:v>
      </x:c>
      <x:c r="F56" s="32" t="n">
        <x:v>8</x:v>
      </x:c>
      <x:c r="G56" s="32" t="n">
        <x:v>854.4</x:v>
      </x:c>
      <x:c r="H56" s="32" t="n">
        <x:v>47.8</x:v>
      </x:c>
      <x:c r="I56" s="32" t="n">
        <x:v>743.9</x:v>
      </x:c>
      <x:c r="J56" s="36" t="n">
        <x:v>0.8707</x:v>
      </x:c>
    </x:row>
    <x:row r="57">
      <x:c r="A57" s="34" t="n">
        <x:v>45355</x:v>
      </x:c>
      <x:c r="B57" s="28" t="str">
        <x:v>Grupo Industrial S.A.</x:v>
      </x:c>
      <x:c r="C57" s="28" t="str">
        <x:v>Planta São Paulo</x:v>
      </x:c>
      <x:c r="D57" s="28" t="str">
        <x:v>Linha 2 - Montagem</x:v>
      </x:c>
      <x:c r="E57" s="28" t="str">
        <x:v>1º/2º/3º</x:v>
      </x:c>
      <x:c r="F57" s="32" t="n">
        <x:v>10</x:v>
      </x:c>
      <x:c r="G57" s="32" t="n">
        <x:v>1029.3</x:v>
      </x:c>
      <x:c r="H57" s="32" t="n">
        <x:v>50.7</x:v>
      </x:c>
      <x:c r="I57" s="32" t="n">
        <x:v>823.6</x:v>
      </x:c>
      <x:c r="J57" s="36" t="n">
        <x:v>0.8001</x:v>
      </x:c>
    </x:row>
    <x:row r="58">
      <x:c r="A58" s="34" t="n">
        <x:v>45355</x:v>
      </x:c>
      <x:c r="B58" s="28" t="str">
        <x:v>Grupo Industrial S.A.</x:v>
      </x:c>
      <x:c r="C58" s="28" t="str">
        <x:v>Planta Campinas</x:v>
      </x:c>
      <x:c r="D58" s="28" t="str">
        <x:v>Linha 3 - Extrusão</x:v>
      </x:c>
      <x:c r="E58" s="28" t="str">
        <x:v>1º/2º/3º</x:v>
      </x:c>
      <x:c r="F58" s="32" t="n">
        <x:v>9</x:v>
      </x:c>
      <x:c r="G58" s="32" t="n">
        <x:v>867</x:v>
      </x:c>
      <x:c r="H58" s="32" t="n">
        <x:v>73</x:v>
      </x:c>
      <x:c r="I58" s="32" t="n">
        <x:v>597.9</x:v>
      </x:c>
      <x:c r="J58" s="36" t="n">
        <x:v>0.6896</x:v>
      </x:c>
    </x:row>
    <x:row r="59">
      <x:c r="A59" s="34" t="n">
        <x:v>45355</x:v>
      </x:c>
      <x:c r="B59" s="28" t="str">
        <x:v>Grupo Industrial S.A.</x:v>
      </x:c>
      <x:c r="C59" s="28" t="str">
        <x:v>Planta Campinas</x:v>
      </x:c>
      <x:c r="D59" s="28" t="str">
        <x:v>Linha 4 - Embalagem</x:v>
      </x:c>
      <x:c r="E59" s="28" t="str">
        <x:v>1º/2º/3º</x:v>
      </x:c>
      <x:c r="F59" s="32" t="n">
        <x:v>11</x:v>
      </x:c>
      <x:c r="G59" s="32" t="n">
        <x:v>1075.4</x:v>
      </x:c>
      <x:c r="H59" s="32" t="n">
        <x:v>67.9</x:v>
      </x:c>
      <x:c r="I59" s="32" t="n">
        <x:v>790.7</x:v>
      </x:c>
      <x:c r="J59" s="36" t="n">
        <x:v>0.7353</x:v>
      </x:c>
    </x:row>
    <x:row r="60">
      <x:c r="A60" s="34" t="n">
        <x:v>45355</x:v>
      </x:c>
      <x:c r="B60" s="28" t="str">
        <x:v>Grupo Industrial S.A.</x:v>
      </x:c>
      <x:c r="C60" s="28" t="str">
        <x:v>Planta Curitiba</x:v>
      </x:c>
      <x:c r="D60" s="28" t="str">
        <x:v>Linha 5 - Usinagem</x:v>
      </x:c>
      <x:c r="E60" s="28" t="str">
        <x:v>1º/2º/3º</x:v>
      </x:c>
      <x:c r="F60" s="32" t="n">
        <x:v>9</x:v>
      </x:c>
      <x:c r="G60" s="32" t="n">
        <x:v>900.4</x:v>
      </x:c>
      <x:c r="H60" s="32" t="n">
        <x:v>45.2</x:v>
      </x:c>
      <x:c r="I60" s="32" t="n">
        <x:v>627.2</x:v>
      </x:c>
      <x:c r="J60" s="36" t="n">
        <x:v>0.6966</x:v>
      </x:c>
    </x:row>
    <x:row r="61">
      <x:c r="A61" s="34" t="n">
        <x:v>45355</x:v>
      </x:c>
      <x:c r="B61" s="28" t="str">
        <x:v>Grupo Industrial S.A.</x:v>
      </x:c>
      <x:c r="C61" s="28" t="str">
        <x:v>Planta Curitiba</x:v>
      </x:c>
      <x:c r="D61" s="28" t="str">
        <x:v>Linha 6 - Finalização</x:v>
      </x:c>
      <x:c r="E61" s="28" t="str">
        <x:v>1º/2º/3º</x:v>
      </x:c>
      <x:c r="F61" s="32" t="n">
        <x:v>12</x:v>
      </x:c>
      <x:c r="G61" s="32" t="n">
        <x:v>1235.5</x:v>
      </x:c>
      <x:c r="H61" s="32" t="n">
        <x:v>56.4</x:v>
      </x:c>
      <x:c r="I61" s="32" t="n">
        <x:v>933.2</x:v>
      </x:c>
      <x:c r="J61" s="36" t="n">
        <x:v>0.7553</x:v>
      </x:c>
    </x:row>
    <x:row r="62">
      <x:c r="A62" s="34" t="n">
        <x:v>45362</x:v>
      </x:c>
      <x:c r="B62" s="28" t="str">
        <x:v>Grupo Industrial S.A.</x:v>
      </x:c>
      <x:c r="C62" s="28" t="str">
        <x:v>Planta São Paulo</x:v>
      </x:c>
      <x:c r="D62" s="28" t="str">
        <x:v>Linha 1 - Corte</x:v>
      </x:c>
      <x:c r="E62" s="28" t="str">
        <x:v>1º/2º/3º</x:v>
      </x:c>
      <x:c r="F62" s="32" t="n">
        <x:v>8</x:v>
      </x:c>
      <x:c r="G62" s="32" t="n">
        <x:v>860.1</x:v>
      </x:c>
      <x:c r="H62" s="32" t="n">
        <x:v>34.2</x:v>
      </x:c>
      <x:c r="I62" s="32" t="n">
        <x:v>752.5</x:v>
      </x:c>
      <x:c r="J62" s="36" t="n">
        <x:v>0.8749</x:v>
      </x:c>
    </x:row>
    <x:row r="63">
      <x:c r="A63" s="34" t="n">
        <x:v>45362</x:v>
      </x:c>
      <x:c r="B63" s="28" t="str">
        <x:v>Grupo Industrial S.A.</x:v>
      </x:c>
      <x:c r="C63" s="28" t="str">
        <x:v>Planta São Paulo</x:v>
      </x:c>
      <x:c r="D63" s="28" t="str">
        <x:v>Linha 2 - Montagem</x:v>
      </x:c>
      <x:c r="E63" s="28" t="str">
        <x:v>1º/2º/3º</x:v>
      </x:c>
      <x:c r="F63" s="32" t="n">
        <x:v>10</x:v>
      </x:c>
      <x:c r="G63" s="32" t="n">
        <x:v>1054.9</x:v>
      </x:c>
      <x:c r="H63" s="32" t="n">
        <x:v>39.7</x:v>
      </x:c>
      <x:c r="I63" s="32" t="n">
        <x:v>829.1</x:v>
      </x:c>
      <x:c r="J63" s="36" t="n">
        <x:v>0.7859</x:v>
      </x:c>
    </x:row>
    <x:row r="64">
      <x:c r="A64" s="34" t="n">
        <x:v>45362</x:v>
      </x:c>
      <x:c r="B64" s="28" t="str">
        <x:v>Grupo Industrial S.A.</x:v>
      </x:c>
      <x:c r="C64" s="28" t="str">
        <x:v>Planta Campinas</x:v>
      </x:c>
      <x:c r="D64" s="28" t="str">
        <x:v>Linha 3 - Extrusão</x:v>
      </x:c>
      <x:c r="E64" s="28" t="str">
        <x:v>1º/2º/3º</x:v>
      </x:c>
      <x:c r="F64" s="32" t="n">
        <x:v>9</x:v>
      </x:c>
      <x:c r="G64" s="32" t="n">
        <x:v>849.7</x:v>
      </x:c>
      <x:c r="H64" s="32" t="n">
        <x:v>72.2</x:v>
      </x:c>
      <x:c r="I64" s="32" t="n">
        <x:v>621.9</x:v>
      </x:c>
      <x:c r="J64" s="36" t="n">
        <x:v>0.732</x:v>
      </x:c>
    </x:row>
    <x:row r="65">
      <x:c r="A65" s="34" t="n">
        <x:v>45362</x:v>
      </x:c>
      <x:c r="B65" s="28" t="str">
        <x:v>Grupo Industrial S.A.</x:v>
      </x:c>
      <x:c r="C65" s="28" t="str">
        <x:v>Planta Campinas</x:v>
      </x:c>
      <x:c r="D65" s="28" t="str">
        <x:v>Linha 4 - Embalagem</x:v>
      </x:c>
      <x:c r="E65" s="28" t="str">
        <x:v>1º/2º/3º</x:v>
      </x:c>
      <x:c r="F65" s="32" t="n">
        <x:v>11</x:v>
      </x:c>
      <x:c r="G65" s="32" t="n">
        <x:v>1055.6</x:v>
      </x:c>
      <x:c r="H65" s="32" t="n">
        <x:v>60.5</x:v>
      </x:c>
      <x:c r="I65" s="32" t="n">
        <x:v>785.2</x:v>
      </x:c>
      <x:c r="J65" s="36" t="n">
        <x:v>0.7438</x:v>
      </x:c>
    </x:row>
    <x:row r="66">
      <x:c r="A66" s="34" t="n">
        <x:v>45362</x:v>
      </x:c>
      <x:c r="B66" s="28" t="str">
        <x:v>Grupo Industrial S.A.</x:v>
      </x:c>
      <x:c r="C66" s="28" t="str">
        <x:v>Planta Curitiba</x:v>
      </x:c>
      <x:c r="D66" s="28" t="str">
        <x:v>Linha 5 - Usinagem</x:v>
      </x:c>
      <x:c r="E66" s="28" t="str">
        <x:v>1º/2º/3º</x:v>
      </x:c>
      <x:c r="F66" s="32" t="n">
        <x:v>9</x:v>
      </x:c>
      <x:c r="G66" s="32" t="n">
        <x:v>890.4</x:v>
      </x:c>
      <x:c r="H66" s="32" t="n">
        <x:v>39.2</x:v>
      </x:c>
      <x:c r="I66" s="32" t="n">
        <x:v>682.8</x:v>
      </x:c>
      <x:c r="J66" s="36" t="n">
        <x:v>0.7668</x:v>
      </x:c>
    </x:row>
    <x:row r="67">
      <x:c r="A67" s="34" t="n">
        <x:v>45362</x:v>
      </x:c>
      <x:c r="B67" s="28" t="str">
        <x:v>Grupo Industrial S.A.</x:v>
      </x:c>
      <x:c r="C67" s="28" t="str">
        <x:v>Planta Curitiba</x:v>
      </x:c>
      <x:c r="D67" s="28" t="str">
        <x:v>Linha 6 - Finalização</x:v>
      </x:c>
      <x:c r="E67" s="28" t="str">
        <x:v>1º/2º/3º</x:v>
      </x:c>
      <x:c r="F67" s="32" t="n">
        <x:v>12</x:v>
      </x:c>
      <x:c r="G67" s="32" t="n">
        <x:v>1231</x:v>
      </x:c>
      <x:c r="H67" s="32" t="n">
        <x:v>58.7</x:v>
      </x:c>
      <x:c r="I67" s="32" t="n">
        <x:v>902.2</x:v>
      </x:c>
      <x:c r="J67" s="36" t="n">
        <x:v>0.7329</x:v>
      </x:c>
    </x:row>
    <x:row r="68">
      <x:c r="A68" s="34" t="n">
        <x:v>45369</x:v>
      </x:c>
      <x:c r="B68" s="28" t="str">
        <x:v>Grupo Industrial S.A.</x:v>
      </x:c>
      <x:c r="C68" s="28" t="str">
        <x:v>Planta São Paulo</x:v>
      </x:c>
      <x:c r="D68" s="28" t="str">
        <x:v>Linha 1 - Corte</x:v>
      </x:c>
      <x:c r="E68" s="28" t="str">
        <x:v>1º/2º/3º</x:v>
      </x:c>
      <x:c r="F68" s="32" t="n">
        <x:v>8</x:v>
      </x:c>
      <x:c r="G68" s="32" t="n">
        <x:v>850.9</x:v>
      </x:c>
      <x:c r="H68" s="32" t="n">
        <x:v>43.9</x:v>
      </x:c>
      <x:c r="I68" s="32" t="n">
        <x:v>743.8</x:v>
      </x:c>
      <x:c r="J68" s="36" t="n">
        <x:v>0.8741</x:v>
      </x:c>
    </x:row>
    <x:row r="69">
      <x:c r="A69" s="34" t="n">
        <x:v>45369</x:v>
      </x:c>
      <x:c r="B69" s="28" t="str">
        <x:v>Grupo Industrial S.A.</x:v>
      </x:c>
      <x:c r="C69" s="28" t="str">
        <x:v>Planta São Paulo</x:v>
      </x:c>
      <x:c r="D69" s="28" t="str">
        <x:v>Linha 2 - Montagem</x:v>
      </x:c>
      <x:c r="E69" s="28" t="str">
        <x:v>1º/2º/3º</x:v>
      </x:c>
      <x:c r="F69" s="32" t="n">
        <x:v>10</x:v>
      </x:c>
      <x:c r="G69" s="32" t="n">
        <x:v>1023.9</x:v>
      </x:c>
      <x:c r="H69" s="32" t="n">
        <x:v>37.7</x:v>
      </x:c>
      <x:c r="I69" s="32" t="n">
        <x:v>840.1</x:v>
      </x:c>
      <x:c r="J69" s="36" t="n">
        <x:v>0.8205</x:v>
      </x:c>
    </x:row>
    <x:row r="70">
      <x:c r="A70" s="34" t="n">
        <x:v>45369</x:v>
      </x:c>
      <x:c r="B70" s="28" t="str">
        <x:v>Grupo Industrial S.A.</x:v>
      </x:c>
      <x:c r="C70" s="28" t="str">
        <x:v>Planta Campinas</x:v>
      </x:c>
      <x:c r="D70" s="28" t="str">
        <x:v>Linha 3 - Extrusão</x:v>
      </x:c>
      <x:c r="E70" s="28" t="str">
        <x:v>1º/2º/3º</x:v>
      </x:c>
      <x:c r="F70" s="32" t="n">
        <x:v>9</x:v>
      </x:c>
      <x:c r="G70" s="32" t="n">
        <x:v>847.5</x:v>
      </x:c>
      <x:c r="H70" s="32" t="n">
        <x:v>55.7</x:v>
      </x:c>
      <x:c r="I70" s="32" t="n">
        <x:v>668.8</x:v>
      </x:c>
      <x:c r="J70" s="36" t="n">
        <x:v>0.7891</x:v>
      </x:c>
    </x:row>
    <x:row r="71">
      <x:c r="A71" s="34" t="n">
        <x:v>45369</x:v>
      </x:c>
      <x:c r="B71" s="28" t="str">
        <x:v>Grupo Industrial S.A.</x:v>
      </x:c>
      <x:c r="C71" s="28" t="str">
        <x:v>Planta Campinas</x:v>
      </x:c>
      <x:c r="D71" s="28" t="str">
        <x:v>Linha 4 - Embalagem</x:v>
      </x:c>
      <x:c r="E71" s="28" t="str">
        <x:v>1º/2º/3º</x:v>
      </x:c>
      <x:c r="F71" s="32" t="n">
        <x:v>11</x:v>
      </x:c>
      <x:c r="G71" s="32" t="n">
        <x:v>1054.1</x:v>
      </x:c>
      <x:c r="H71" s="32" t="n">
        <x:v>75.9</x:v>
      </x:c>
      <x:c r="I71" s="32" t="n">
        <x:v>708.4</x:v>
      </x:c>
      <x:c r="J71" s="36" t="n">
        <x:v>0.672</x:v>
      </x:c>
    </x:row>
    <x:row r="72">
      <x:c r="A72" s="34" t="n">
        <x:v>45369</x:v>
      </x:c>
      <x:c r="B72" s="28" t="str">
        <x:v>Grupo Industrial S.A.</x:v>
      </x:c>
      <x:c r="C72" s="28" t="str">
        <x:v>Planta Curitiba</x:v>
      </x:c>
      <x:c r="D72" s="28" t="str">
        <x:v>Linha 5 - Usinagem</x:v>
      </x:c>
      <x:c r="E72" s="28" t="str">
        <x:v>1º/2º/3º</x:v>
      </x:c>
      <x:c r="F72" s="32" t="n">
        <x:v>9</x:v>
      </x:c>
      <x:c r="G72" s="32" t="n">
        <x:v>888.8</x:v>
      </x:c>
      <x:c r="H72" s="32" t="n">
        <x:v>31.2</x:v>
      </x:c>
      <x:c r="I72" s="32" t="n">
        <x:v>645.7</x:v>
      </x:c>
      <x:c r="J72" s="36" t="n">
        <x:v>0.7264</x:v>
      </x:c>
    </x:row>
    <x:row r="73">
      <x:c r="A73" s="34" t="n">
        <x:v>45369</x:v>
      </x:c>
      <x:c r="B73" s="28" t="str">
        <x:v>Grupo Industrial S.A.</x:v>
      </x:c>
      <x:c r="C73" s="28" t="str">
        <x:v>Planta Curitiba</x:v>
      </x:c>
      <x:c r="D73" s="28" t="str">
        <x:v>Linha 6 - Finalização</x:v>
      </x:c>
      <x:c r="E73" s="28" t="str">
        <x:v>1º/2º/3º</x:v>
      </x:c>
      <x:c r="F73" s="32" t="n">
        <x:v>12</x:v>
      </x:c>
      <x:c r="G73" s="32" t="n">
        <x:v>1219.1</x:v>
      </x:c>
      <x:c r="H73" s="32" t="n">
        <x:v>55.6</x:v>
      </x:c>
      <x:c r="I73" s="32" t="n">
        <x:v>951.2</x:v>
      </x:c>
      <x:c r="J73" s="36" t="n">
        <x:v>0.7803</x:v>
      </x:c>
    </x:row>
    <x:row r="74">
      <x:c r="A74" s="34" t="n">
        <x:v>45376</x:v>
      </x:c>
      <x:c r="B74" s="28" t="str">
        <x:v>Grupo Industrial S.A.</x:v>
      </x:c>
      <x:c r="C74" s="28" t="str">
        <x:v>Planta São Paulo</x:v>
      </x:c>
      <x:c r="D74" s="28" t="str">
        <x:v>Linha 1 - Corte</x:v>
      </x:c>
      <x:c r="E74" s="28" t="str">
        <x:v>1º/2º/3º</x:v>
      </x:c>
      <x:c r="F74" s="32" t="n">
        <x:v>8</x:v>
      </x:c>
      <x:c r="G74" s="32" t="n">
        <x:v>832</x:v>
      </x:c>
      <x:c r="H74" s="32" t="n">
        <x:v>38.9</x:v>
      </x:c>
      <x:c r="I74" s="32" t="n">
        <x:v>750.9</x:v>
      </x:c>
      <x:c r="J74" s="36" t="n">
        <x:v>0.9025</x:v>
      </x:c>
    </x:row>
    <x:row r="75">
      <x:c r="A75" s="34" t="n">
        <x:v>45376</x:v>
      </x:c>
      <x:c r="B75" s="28" t="str">
        <x:v>Grupo Industrial S.A.</x:v>
      </x:c>
      <x:c r="C75" s="28" t="str">
        <x:v>Planta São Paulo</x:v>
      </x:c>
      <x:c r="D75" s="28" t="str">
        <x:v>Linha 2 - Montagem</x:v>
      </x:c>
      <x:c r="E75" s="28" t="str">
        <x:v>1º/2º/3º</x:v>
      </x:c>
      <x:c r="F75" s="32" t="n">
        <x:v>10</x:v>
      </x:c>
      <x:c r="G75" s="32" t="n">
        <x:v>1061.2</x:v>
      </x:c>
      <x:c r="H75" s="32" t="n">
        <x:v>65.7</x:v>
      </x:c>
      <x:c r="I75" s="32" t="n">
        <x:v>909.7</x:v>
      </x:c>
      <x:c r="J75" s="36" t="n">
        <x:v>0.8573</x:v>
      </x:c>
    </x:row>
    <x:row r="76">
      <x:c r="A76" s="34" t="n">
        <x:v>45376</x:v>
      </x:c>
      <x:c r="B76" s="28" t="str">
        <x:v>Grupo Industrial S.A.</x:v>
      </x:c>
      <x:c r="C76" s="28" t="str">
        <x:v>Planta Campinas</x:v>
      </x:c>
      <x:c r="D76" s="28" t="str">
        <x:v>Linha 3 - Extrusão</x:v>
      </x:c>
      <x:c r="E76" s="28" t="str">
        <x:v>1º/2º/3º</x:v>
      </x:c>
      <x:c r="F76" s="32" t="n">
        <x:v>9</x:v>
      </x:c>
      <x:c r="G76" s="32" t="n">
        <x:v>865.8</x:v>
      </x:c>
      <x:c r="H76" s="32" t="n">
        <x:v>71.1</x:v>
      </x:c>
      <x:c r="I76" s="32" t="n">
        <x:v>658.3</x:v>
      </x:c>
      <x:c r="J76" s="36" t="n">
        <x:v>0.7603</x:v>
      </x:c>
    </x:row>
    <x:row r="77">
      <x:c r="A77" s="34" t="n">
        <x:v>45376</x:v>
      </x:c>
      <x:c r="B77" s="28" t="str">
        <x:v>Grupo Industrial S.A.</x:v>
      </x:c>
      <x:c r="C77" s="28" t="str">
        <x:v>Planta Campinas</x:v>
      </x:c>
      <x:c r="D77" s="28" t="str">
        <x:v>Linha 4 - Embalagem</x:v>
      </x:c>
      <x:c r="E77" s="28" t="str">
        <x:v>1º/2º/3º</x:v>
      </x:c>
      <x:c r="F77" s="32" t="n">
        <x:v>11</x:v>
      </x:c>
      <x:c r="G77" s="32" t="n">
        <x:v>1042</x:v>
      </x:c>
      <x:c r="H77" s="32" t="n">
        <x:v>61.3</x:v>
      </x:c>
      <x:c r="I77" s="32" t="n">
        <x:v>774</x:v>
      </x:c>
      <x:c r="J77" s="36" t="n">
        <x:v>0.7428</x:v>
      </x:c>
    </x:row>
    <x:row r="78">
      <x:c r="A78" s="34" t="n">
        <x:v>45376</x:v>
      </x:c>
      <x:c r="B78" s="28" t="str">
        <x:v>Grupo Industrial S.A.</x:v>
      </x:c>
      <x:c r="C78" s="28" t="str">
        <x:v>Planta Curitiba</x:v>
      </x:c>
      <x:c r="D78" s="28" t="str">
        <x:v>Linha 5 - Usinagem</x:v>
      </x:c>
      <x:c r="E78" s="28" t="str">
        <x:v>1º/2º/3º</x:v>
      </x:c>
      <x:c r="F78" s="32" t="n">
        <x:v>9</x:v>
      </x:c>
      <x:c r="G78" s="32" t="n">
        <x:v>890.3</x:v>
      </x:c>
      <x:c r="H78" s="32" t="n">
        <x:v>35</x:v>
      </x:c>
      <x:c r="I78" s="32" t="n">
        <x:v>660.8</x:v>
      </x:c>
      <x:c r="J78" s="36" t="n">
        <x:v>0.7422</x:v>
      </x:c>
    </x:row>
    <x:row r="79">
      <x:c r="A79" s="34" t="n">
        <x:v>45376</x:v>
      </x:c>
      <x:c r="B79" s="28" t="str">
        <x:v>Grupo Industrial S.A.</x:v>
      </x:c>
      <x:c r="C79" s="28" t="str">
        <x:v>Planta Curitiba</x:v>
      </x:c>
      <x:c r="D79" s="28" t="str">
        <x:v>Linha 6 - Finalização</x:v>
      </x:c>
      <x:c r="E79" s="28" t="str">
        <x:v>1º/2º/3º</x:v>
      </x:c>
      <x:c r="F79" s="32" t="n">
        <x:v>12</x:v>
      </x:c>
      <x:c r="G79" s="32" t="n">
        <x:v>1183.3</x:v>
      </x:c>
      <x:c r="H79" s="32" t="n">
        <x:v>53</x:v>
      </x:c>
      <x:c r="I79" s="32" t="n">
        <x:v>895.5</x:v>
      </x:c>
      <x:c r="J79" s="36" t="n">
        <x:v>0.7568</x:v>
      </x:c>
    </x:row>
    <x:row r="80">
      <x:c r="A80" s="34" t="n">
        <x:v>45383</x:v>
      </x:c>
      <x:c r="B80" s="28" t="str">
        <x:v>Grupo Industrial S.A.</x:v>
      </x:c>
      <x:c r="C80" s="28" t="str">
        <x:v>Planta São Paulo</x:v>
      </x:c>
      <x:c r="D80" s="28" t="str">
        <x:v>Linha 1 - Corte</x:v>
      </x:c>
      <x:c r="E80" s="28" t="str">
        <x:v>1º/2º/3º</x:v>
      </x:c>
      <x:c r="F80" s="32" t="n">
        <x:v>8</x:v>
      </x:c>
      <x:c r="G80" s="32" t="n">
        <x:v>859.2</x:v>
      </x:c>
      <x:c r="H80" s="32" t="n">
        <x:v>31.6</x:v>
      </x:c>
      <x:c r="I80" s="32" t="n">
        <x:v>705.5</x:v>
      </x:c>
      <x:c r="J80" s="36" t="n">
        <x:v>0.8211</x:v>
      </x:c>
    </x:row>
    <x:row r="81">
      <x:c r="A81" s="34" t="n">
        <x:v>45383</x:v>
      </x:c>
      <x:c r="B81" s="28" t="str">
        <x:v>Grupo Industrial S.A.</x:v>
      </x:c>
      <x:c r="C81" s="28" t="str">
        <x:v>Planta São Paulo</x:v>
      </x:c>
      <x:c r="D81" s="28" t="str">
        <x:v>Linha 2 - Montagem</x:v>
      </x:c>
      <x:c r="E81" s="28" t="str">
        <x:v>1º/2º/3º</x:v>
      </x:c>
      <x:c r="F81" s="32" t="n">
        <x:v>10</x:v>
      </x:c>
      <x:c r="G81" s="32" t="n">
        <x:v>1060</x:v>
      </x:c>
      <x:c r="H81" s="32" t="n">
        <x:v>65.8</x:v>
      </x:c>
      <x:c r="I81" s="32" t="n">
        <x:v>882.3</x:v>
      </x:c>
      <x:c r="J81" s="36" t="n">
        <x:v>0.8324</x:v>
      </x:c>
    </x:row>
    <x:row r="82">
      <x:c r="A82" s="34" t="n">
        <x:v>45383</x:v>
      </x:c>
      <x:c r="B82" s="28" t="str">
        <x:v>Grupo Industrial S.A.</x:v>
      </x:c>
      <x:c r="C82" s="28" t="str">
        <x:v>Planta Campinas</x:v>
      </x:c>
      <x:c r="D82" s="28" t="str">
        <x:v>Linha 3 - Extrusão</x:v>
      </x:c>
      <x:c r="E82" s="28" t="str">
        <x:v>1º/2º/3º</x:v>
      </x:c>
      <x:c r="F82" s="32" t="n">
        <x:v>9</x:v>
      </x:c>
      <x:c r="G82" s="32" t="n">
        <x:v>861.1</x:v>
      </x:c>
      <x:c r="H82" s="32" t="n">
        <x:v>55.9</x:v>
      </x:c>
      <x:c r="I82" s="32" t="n">
        <x:v>612.3</x:v>
      </x:c>
      <x:c r="J82" s="36" t="n">
        <x:v>0.711</x:v>
      </x:c>
    </x:row>
    <x:row r="83">
      <x:c r="A83" s="34" t="n">
        <x:v>45383</x:v>
      </x:c>
      <x:c r="B83" s="28" t="str">
        <x:v>Grupo Industrial S.A.</x:v>
      </x:c>
      <x:c r="C83" s="28" t="str">
        <x:v>Planta Campinas</x:v>
      </x:c>
      <x:c r="D83" s="28" t="str">
        <x:v>Linha 4 - Embalagem</x:v>
      </x:c>
      <x:c r="E83" s="28" t="str">
        <x:v>1º/2º/3º</x:v>
      </x:c>
      <x:c r="F83" s="32" t="n">
        <x:v>11</x:v>
      </x:c>
      <x:c r="G83" s="32" t="n">
        <x:v>1067</x:v>
      </x:c>
      <x:c r="H83" s="32" t="n">
        <x:v>66.6</x:v>
      </x:c>
      <x:c r="I83" s="32" t="n">
        <x:v>740.3</x:v>
      </x:c>
      <x:c r="J83" s="36" t="n">
        <x:v>0.6938</x:v>
      </x:c>
    </x:row>
    <x:row r="84">
      <x:c r="A84" s="34" t="n">
        <x:v>45383</x:v>
      </x:c>
      <x:c r="B84" s="28" t="str">
        <x:v>Grupo Industrial S.A.</x:v>
      </x:c>
      <x:c r="C84" s="28" t="str">
        <x:v>Planta Curitiba</x:v>
      </x:c>
      <x:c r="D84" s="28" t="str">
        <x:v>Linha 5 - Usinagem</x:v>
      </x:c>
      <x:c r="E84" s="28" t="str">
        <x:v>1º/2º/3º</x:v>
      </x:c>
      <x:c r="F84" s="32" t="n">
        <x:v>9</x:v>
      </x:c>
      <x:c r="G84" s="32" t="n">
        <x:v>916.8</x:v>
      </x:c>
      <x:c r="H84" s="32" t="n">
        <x:v>55.2</x:v>
      </x:c>
      <x:c r="I84" s="32" t="n">
        <x:v>622.2</x:v>
      </x:c>
      <x:c r="J84" s="36" t="n">
        <x:v>0.6787</x:v>
      </x:c>
    </x:row>
    <x:row r="85">
      <x:c r="A85" s="34" t="n">
        <x:v>45383</x:v>
      </x:c>
      <x:c r="B85" s="28" t="str">
        <x:v>Grupo Industrial S.A.</x:v>
      </x:c>
      <x:c r="C85" s="28" t="str">
        <x:v>Planta Curitiba</x:v>
      </x:c>
      <x:c r="D85" s="28" t="str">
        <x:v>Linha 6 - Finalização</x:v>
      </x:c>
      <x:c r="E85" s="28" t="str">
        <x:v>1º/2º/3º</x:v>
      </x:c>
      <x:c r="F85" s="32" t="n">
        <x:v>12</x:v>
      </x:c>
      <x:c r="G85" s="32" t="n">
        <x:v>1197.1</x:v>
      </x:c>
      <x:c r="H85" s="32" t="n">
        <x:v>75.2</x:v>
      </x:c>
      <x:c r="I85" s="32" t="n">
        <x:v>929.7</x:v>
      </x:c>
      <x:c r="J85" s="36" t="n">
        <x:v>0.7766</x:v>
      </x:c>
    </x:row>
    <x:row r="86">
      <x:c r="A86" s="34" t="n">
        <x:v>45390</x:v>
      </x:c>
      <x:c r="B86" s="28" t="str">
        <x:v>Grupo Industrial S.A.</x:v>
      </x:c>
      <x:c r="C86" s="28" t="str">
        <x:v>Planta São Paulo</x:v>
      </x:c>
      <x:c r="D86" s="28" t="str">
        <x:v>Linha 1 - Corte</x:v>
      </x:c>
      <x:c r="E86" s="28" t="str">
        <x:v>1º/2º/3º</x:v>
      </x:c>
      <x:c r="F86" s="32" t="n">
        <x:v>8</x:v>
      </x:c>
      <x:c r="G86" s="32" t="n">
        <x:v>844.3</x:v>
      </x:c>
      <x:c r="H86" s="32" t="n">
        <x:v>32.9</x:v>
      </x:c>
      <x:c r="I86" s="32" t="n">
        <x:v>736.1</x:v>
      </x:c>
      <x:c r="J86" s="36" t="n">
        <x:v>0.8719</x:v>
      </x:c>
    </x:row>
    <x:row r="87">
      <x:c r="A87" s="34" t="n">
        <x:v>45390</x:v>
      </x:c>
      <x:c r="B87" s="28" t="str">
        <x:v>Grupo Industrial S.A.</x:v>
      </x:c>
      <x:c r="C87" s="28" t="str">
        <x:v>Planta São Paulo</x:v>
      </x:c>
      <x:c r="D87" s="28" t="str">
        <x:v>Linha 2 - Montagem</x:v>
      </x:c>
      <x:c r="E87" s="28" t="str">
        <x:v>1º/2º/3º</x:v>
      </x:c>
      <x:c r="F87" s="32" t="n">
        <x:v>10</x:v>
      </x:c>
      <x:c r="G87" s="32" t="n">
        <x:v>1042.9</x:v>
      </x:c>
      <x:c r="H87" s="32" t="n">
        <x:v>63.5</x:v>
      </x:c>
      <x:c r="I87" s="32" t="n">
        <x:v>803.9</x:v>
      </x:c>
      <x:c r="J87" s="36" t="n">
        <x:v>0.7709</x:v>
      </x:c>
    </x:row>
    <x:row r="88">
      <x:c r="A88" s="34" t="n">
        <x:v>45390</x:v>
      </x:c>
      <x:c r="B88" s="28" t="str">
        <x:v>Grupo Industrial S.A.</x:v>
      </x:c>
      <x:c r="C88" s="28" t="str">
        <x:v>Planta Campinas</x:v>
      </x:c>
      <x:c r="D88" s="28" t="str">
        <x:v>Linha 3 - Extrusão</x:v>
      </x:c>
      <x:c r="E88" s="28" t="str">
        <x:v>1º/2º/3º</x:v>
      </x:c>
      <x:c r="F88" s="32" t="n">
        <x:v>9</x:v>
      </x:c>
      <x:c r="G88" s="32" t="n">
        <x:v>894.1</x:v>
      </x:c>
      <x:c r="H88" s="32" t="n">
        <x:v>68.4</x:v>
      </x:c>
      <x:c r="I88" s="32" t="n">
        <x:v>637.9</x:v>
      </x:c>
      <x:c r="J88" s="36" t="n">
        <x:v>0.7135</x:v>
      </x:c>
    </x:row>
    <x:row r="89">
      <x:c r="A89" s="34" t="n">
        <x:v>45390</x:v>
      </x:c>
      <x:c r="B89" s="28" t="str">
        <x:v>Grupo Industrial S.A.</x:v>
      </x:c>
      <x:c r="C89" s="28" t="str">
        <x:v>Planta Campinas</x:v>
      </x:c>
      <x:c r="D89" s="28" t="str">
        <x:v>Linha 4 - Embalagem</x:v>
      </x:c>
      <x:c r="E89" s="28" t="str">
        <x:v>1º/2º/3º</x:v>
      </x:c>
      <x:c r="F89" s="32" t="n">
        <x:v>11</x:v>
      </x:c>
      <x:c r="G89" s="32" t="n">
        <x:v>1073.2</x:v>
      </x:c>
      <x:c r="H89" s="32" t="n">
        <x:v>85.1</x:v>
      </x:c>
      <x:c r="I89" s="32" t="n">
        <x:v>790.2</x:v>
      </x:c>
      <x:c r="J89" s="36" t="n">
        <x:v>0.7363</x:v>
      </x:c>
    </x:row>
    <x:row r="90">
      <x:c r="A90" s="34" t="n">
        <x:v>45390</x:v>
      </x:c>
      <x:c r="B90" s="28" t="str">
        <x:v>Grupo Industrial S.A.</x:v>
      </x:c>
      <x:c r="C90" s="28" t="str">
        <x:v>Planta Curitiba</x:v>
      </x:c>
      <x:c r="D90" s="28" t="str">
        <x:v>Linha 5 - Usinagem</x:v>
      </x:c>
      <x:c r="E90" s="28" t="str">
        <x:v>1º/2º/3º</x:v>
      </x:c>
      <x:c r="F90" s="32" t="n">
        <x:v>9</x:v>
      </x:c>
      <x:c r="G90" s="32" t="n">
        <x:v>912.3</x:v>
      </x:c>
      <x:c r="H90" s="32" t="n">
        <x:v>44</x:v>
      </x:c>
      <x:c r="I90" s="32" t="n">
        <x:v>667.2</x:v>
      </x:c>
      <x:c r="J90" s="36" t="n">
        <x:v>0.7314</x:v>
      </x:c>
    </x:row>
    <x:row r="91">
      <x:c r="A91" s="34" t="n">
        <x:v>45390</x:v>
      </x:c>
      <x:c r="B91" s="28" t="str">
        <x:v>Grupo Industrial S.A.</x:v>
      </x:c>
      <x:c r="C91" s="28" t="str">
        <x:v>Planta Curitiba</x:v>
      </x:c>
      <x:c r="D91" s="28" t="str">
        <x:v>Linha 6 - Finalização</x:v>
      </x:c>
      <x:c r="E91" s="28" t="str">
        <x:v>1º/2º/3º</x:v>
      </x:c>
      <x:c r="F91" s="32" t="n">
        <x:v>12</x:v>
      </x:c>
      <x:c r="G91" s="32" t="n">
        <x:v>1252.2</x:v>
      </x:c>
      <x:c r="H91" s="32" t="n">
        <x:v>47.6</x:v>
      </x:c>
      <x:c r="I91" s="32" t="n">
        <x:v>928.8</x:v>
      </x:c>
      <x:c r="J91" s="36" t="n">
        <x:v>0.7417</x:v>
      </x:c>
    </x:row>
    <x:row r="92">
      <x:c r="A92" s="34" t="n">
        <x:v>45397</x:v>
      </x:c>
      <x:c r="B92" s="28" t="str">
        <x:v>Grupo Industrial S.A.</x:v>
      </x:c>
      <x:c r="C92" s="28" t="str">
        <x:v>Planta São Paulo</x:v>
      </x:c>
      <x:c r="D92" s="28" t="str">
        <x:v>Linha 1 - Corte</x:v>
      </x:c>
      <x:c r="E92" s="28" t="str">
        <x:v>1º/2º/3º</x:v>
      </x:c>
      <x:c r="F92" s="32" t="n">
        <x:v>8</x:v>
      </x:c>
      <x:c r="G92" s="32" t="n">
        <x:v>823.6</x:v>
      </x:c>
      <x:c r="H92" s="32" t="n">
        <x:v>37.9</x:v>
      </x:c>
      <x:c r="I92" s="32" t="n">
        <x:v>710.4</x:v>
      </x:c>
      <x:c r="J92" s="36" t="n">
        <x:v>0.8625</x:v>
      </x:c>
    </x:row>
    <x:row r="93">
      <x:c r="A93" s="34" t="n">
        <x:v>45397</x:v>
      </x:c>
      <x:c r="B93" s="28" t="str">
        <x:v>Grupo Industrial S.A.</x:v>
      </x:c>
      <x:c r="C93" s="28" t="str">
        <x:v>Planta São Paulo</x:v>
      </x:c>
      <x:c r="D93" s="28" t="str">
        <x:v>Linha 2 - Montagem</x:v>
      </x:c>
      <x:c r="E93" s="28" t="str">
        <x:v>1º/2º/3º</x:v>
      </x:c>
      <x:c r="F93" s="32" t="n">
        <x:v>10</x:v>
      </x:c>
      <x:c r="G93" s="32" t="n">
        <x:v>1054.8</x:v>
      </x:c>
      <x:c r="H93" s="32" t="n">
        <x:v>46.7</x:v>
      </x:c>
      <x:c r="I93" s="32" t="n">
        <x:v>873.2</x:v>
      </x:c>
      <x:c r="J93" s="36" t="n">
        <x:v>0.8278</x:v>
      </x:c>
    </x:row>
    <x:row r="94">
      <x:c r="A94" s="34" t="n">
        <x:v>45397</x:v>
      </x:c>
      <x:c r="B94" s="28" t="str">
        <x:v>Grupo Industrial S.A.</x:v>
      </x:c>
      <x:c r="C94" s="28" t="str">
        <x:v>Planta Campinas</x:v>
      </x:c>
      <x:c r="D94" s="28" t="str">
        <x:v>Linha 3 - Extrusão</x:v>
      </x:c>
      <x:c r="E94" s="28" t="str">
        <x:v>1º/2º/3º</x:v>
      </x:c>
      <x:c r="F94" s="32" t="n">
        <x:v>9</x:v>
      </x:c>
      <x:c r="G94" s="32" t="n">
        <x:v>860.3</x:v>
      </x:c>
      <x:c r="H94" s="32" t="n">
        <x:v>71.6</x:v>
      </x:c>
      <x:c r="I94" s="32" t="n">
        <x:v>598.4</x:v>
      </x:c>
      <x:c r="J94" s="36" t="n">
        <x:v>0.6956</x:v>
      </x:c>
    </x:row>
    <x:row r="95">
      <x:c r="A95" s="34" t="n">
        <x:v>45397</x:v>
      </x:c>
      <x:c r="B95" s="28" t="str">
        <x:v>Grupo Industrial S.A.</x:v>
      </x:c>
      <x:c r="C95" s="28" t="str">
        <x:v>Planta Campinas</x:v>
      </x:c>
      <x:c r="D95" s="28" t="str">
        <x:v>Linha 4 - Embalagem</x:v>
      </x:c>
      <x:c r="E95" s="28" t="str">
        <x:v>1º/2º/3º</x:v>
      </x:c>
      <x:c r="F95" s="32" t="n">
        <x:v>11</x:v>
      </x:c>
      <x:c r="G95" s="32" t="n">
        <x:v>1082.3</x:v>
      </x:c>
      <x:c r="H95" s="32" t="n">
        <x:v>60.1</x:v>
      </x:c>
      <x:c r="I95" s="32" t="n">
        <x:v>771.3</x:v>
      </x:c>
      <x:c r="J95" s="36" t="n">
        <x:v>0.7127</x:v>
      </x:c>
    </x:row>
    <x:row r="96">
      <x:c r="A96" s="34" t="n">
        <x:v>45397</x:v>
      </x:c>
      <x:c r="B96" s="28" t="str">
        <x:v>Grupo Industrial S.A.</x:v>
      </x:c>
      <x:c r="C96" s="28" t="str">
        <x:v>Planta Curitiba</x:v>
      </x:c>
      <x:c r="D96" s="28" t="str">
        <x:v>Linha 5 - Usinagem</x:v>
      </x:c>
      <x:c r="E96" s="28" t="str">
        <x:v>1º/2º/3º</x:v>
      </x:c>
      <x:c r="F96" s="32" t="n">
        <x:v>9</x:v>
      </x:c>
      <x:c r="G96" s="32" t="n">
        <x:v>923.7</x:v>
      </x:c>
      <x:c r="H96" s="32" t="n">
        <x:v>59</x:v>
      </x:c>
      <x:c r="I96" s="32" t="n">
        <x:v>632.5</x:v>
      </x:c>
      <x:c r="J96" s="36" t="n">
        <x:v>0.6847</x:v>
      </x:c>
    </x:row>
    <x:row r="97">
      <x:c r="A97" s="34" t="n">
        <x:v>45397</x:v>
      </x:c>
      <x:c r="B97" s="28" t="str">
        <x:v>Grupo Industrial S.A.</x:v>
      </x:c>
      <x:c r="C97" s="28" t="str">
        <x:v>Planta Curitiba</x:v>
      </x:c>
      <x:c r="D97" s="28" t="str">
        <x:v>Linha 6 - Finalização</x:v>
      </x:c>
      <x:c r="E97" s="28" t="str">
        <x:v>1º/2º/3º</x:v>
      </x:c>
      <x:c r="F97" s="32" t="n">
        <x:v>12</x:v>
      </x:c>
      <x:c r="G97" s="32" t="n">
        <x:v>1187.2</x:v>
      </x:c>
      <x:c r="H97" s="32" t="n">
        <x:v>76.2</x:v>
      </x:c>
      <x:c r="I97" s="32" t="n">
        <x:v>916.5</x:v>
      </x:c>
      <x:c r="J97" s="36" t="n">
        <x:v>0.772</x:v>
      </x:c>
    </x:row>
    <x:row r="98">
      <x:c r="A98" s="34" t="n">
        <x:v>45404</x:v>
      </x:c>
      <x:c r="B98" s="28" t="str">
        <x:v>Grupo Industrial S.A.</x:v>
      </x:c>
      <x:c r="C98" s="28" t="str">
        <x:v>Planta São Paulo</x:v>
      </x:c>
      <x:c r="D98" s="28" t="str">
        <x:v>Linha 1 - Corte</x:v>
      </x:c>
      <x:c r="E98" s="28" t="str">
        <x:v>1º/2º/3º</x:v>
      </x:c>
      <x:c r="F98" s="32" t="n">
        <x:v>8</x:v>
      </x:c>
      <x:c r="G98" s="32" t="n">
        <x:v>860.9</x:v>
      </x:c>
      <x:c r="H98" s="32" t="n">
        <x:v>40</x:v>
      </x:c>
      <x:c r="I98" s="32" t="n">
        <x:v>764.7</x:v>
      </x:c>
      <x:c r="J98" s="36" t="n">
        <x:v>0.8883</x:v>
      </x:c>
    </x:row>
    <x:row r="99">
      <x:c r="A99" s="34" t="n">
        <x:v>45404</x:v>
      </x:c>
      <x:c r="B99" s="28" t="str">
        <x:v>Grupo Industrial S.A.</x:v>
      </x:c>
      <x:c r="C99" s="28" t="str">
        <x:v>Planta São Paulo</x:v>
      </x:c>
      <x:c r="D99" s="28" t="str">
        <x:v>Linha 2 - Montagem</x:v>
      </x:c>
      <x:c r="E99" s="28" t="str">
        <x:v>1º/2º/3º</x:v>
      </x:c>
      <x:c r="F99" s="32" t="n">
        <x:v>10</x:v>
      </x:c>
      <x:c r="G99" s="32" t="n">
        <x:v>1027.2</x:v>
      </x:c>
      <x:c r="H99" s="32" t="n">
        <x:v>37.6</x:v>
      </x:c>
      <x:c r="I99" s="32" t="n">
        <x:v>829.4</x:v>
      </x:c>
      <x:c r="J99" s="36" t="n">
        <x:v>0.8075</x:v>
      </x:c>
    </x:row>
    <x:row r="100">
      <x:c r="A100" s="34" t="n">
        <x:v>45404</x:v>
      </x:c>
      <x:c r="B100" s="28" t="str">
        <x:v>Grupo Industrial S.A.</x:v>
      </x:c>
      <x:c r="C100" s="28" t="str">
        <x:v>Planta Campinas</x:v>
      </x:c>
      <x:c r="D100" s="28" t="str">
        <x:v>Linha 3 - Extrusão</x:v>
      </x:c>
      <x:c r="E100" s="28" t="str">
        <x:v>1º/2º/3º</x:v>
      </x:c>
      <x:c r="F100" s="32" t="n">
        <x:v>9</x:v>
      </x:c>
      <x:c r="G100" s="32" t="n">
        <x:v>842.7</x:v>
      </x:c>
      <x:c r="H100" s="32" t="n">
        <x:v>71.5</x:v>
      </x:c>
      <x:c r="I100" s="32" t="n">
        <x:v>609.9</x:v>
      </x:c>
      <x:c r="J100" s="36" t="n">
        <x:v>0.7238</x:v>
      </x:c>
    </x:row>
    <x:row r="101">
      <x:c r="A101" s="34" t="n">
        <x:v>45404</x:v>
      </x:c>
      <x:c r="B101" s="28" t="str">
        <x:v>Grupo Industrial S.A.</x:v>
      </x:c>
      <x:c r="C101" s="28" t="str">
        <x:v>Planta Campinas</x:v>
      </x:c>
      <x:c r="D101" s="28" t="str">
        <x:v>Linha 4 - Embalagem</x:v>
      </x:c>
      <x:c r="E101" s="28" t="str">
        <x:v>1º/2º/3º</x:v>
      </x:c>
      <x:c r="F101" s="32" t="n">
        <x:v>11</x:v>
      </x:c>
      <x:c r="G101" s="32" t="n">
        <x:v>1063.3</x:v>
      </x:c>
      <x:c r="H101" s="32" t="n">
        <x:v>73.2</x:v>
      </x:c>
      <x:c r="I101" s="32" t="n">
        <x:v>729.5</x:v>
      </x:c>
      <x:c r="J101" s="36" t="n">
        <x:v>0.6861</x:v>
      </x:c>
    </x:row>
    <x:row r="102">
      <x:c r="A102" s="34" t="n">
        <x:v>45404</x:v>
      </x:c>
      <x:c r="B102" s="28" t="str">
        <x:v>Grupo Industrial S.A.</x:v>
      </x:c>
      <x:c r="C102" s="28" t="str">
        <x:v>Planta Curitiba</x:v>
      </x:c>
      <x:c r="D102" s="28" t="str">
        <x:v>Linha 5 - Usinagem</x:v>
      </x:c>
      <x:c r="E102" s="28" t="str">
        <x:v>1º/2º/3º</x:v>
      </x:c>
      <x:c r="F102" s="32" t="n">
        <x:v>9</x:v>
      </x:c>
      <x:c r="G102" s="32" t="n">
        <x:v>907.2</x:v>
      </x:c>
      <x:c r="H102" s="32" t="n">
        <x:v>31.9</x:v>
      </x:c>
      <x:c r="I102" s="32" t="n">
        <x:v>654.8</x:v>
      </x:c>
      <x:c r="J102" s="36" t="n">
        <x:v>0.7218</x:v>
      </x:c>
    </x:row>
    <x:row r="103">
      <x:c r="A103" s="34" t="n">
        <x:v>45404</x:v>
      </x:c>
      <x:c r="B103" s="28" t="str">
        <x:v>Grupo Industrial S.A.</x:v>
      </x:c>
      <x:c r="C103" s="28" t="str">
        <x:v>Planta Curitiba</x:v>
      </x:c>
      <x:c r="D103" s="28" t="str">
        <x:v>Linha 6 - Finalização</x:v>
      </x:c>
      <x:c r="E103" s="28" t="str">
        <x:v>1º/2º/3º</x:v>
      </x:c>
      <x:c r="F103" s="32" t="n">
        <x:v>12</x:v>
      </x:c>
      <x:c r="G103" s="32" t="n">
        <x:v>1220.8</x:v>
      </x:c>
      <x:c r="H103" s="32" t="n">
        <x:v>46.2</x:v>
      </x:c>
      <x:c r="I103" s="32" t="n">
        <x:v>863.2</x:v>
      </x:c>
      <x:c r="J103" s="36" t="n">
        <x:v>0.7071</x:v>
      </x:c>
    </x:row>
    <x:row r="104">
      <x:c r="A104" s="34" t="n">
        <x:v>45411</x:v>
      </x:c>
      <x:c r="B104" s="28" t="str">
        <x:v>Grupo Industrial S.A.</x:v>
      </x:c>
      <x:c r="C104" s="28" t="str">
        <x:v>Planta São Paulo</x:v>
      </x:c>
      <x:c r="D104" s="28" t="str">
        <x:v>Linha 1 - Corte</x:v>
      </x:c>
      <x:c r="E104" s="28" t="str">
        <x:v>1º/2º/3º</x:v>
      </x:c>
      <x:c r="F104" s="32" t="n">
        <x:v>8</x:v>
      </x:c>
      <x:c r="G104" s="32" t="n">
        <x:v>854.3</x:v>
      </x:c>
      <x:c r="H104" s="32" t="n">
        <x:v>38.3</x:v>
      </x:c>
      <x:c r="I104" s="32" t="n">
        <x:v>724.1</x:v>
      </x:c>
      <x:c r="J104" s="36" t="n">
        <x:v>0.8475</x:v>
      </x:c>
    </x:row>
    <x:row r="105">
      <x:c r="A105" s="34" t="n">
        <x:v>45411</x:v>
      </x:c>
      <x:c r="B105" s="28" t="str">
        <x:v>Grupo Industrial S.A.</x:v>
      </x:c>
      <x:c r="C105" s="28" t="str">
        <x:v>Planta São Paulo</x:v>
      </x:c>
      <x:c r="D105" s="28" t="str">
        <x:v>Linha 2 - Montagem</x:v>
      </x:c>
      <x:c r="E105" s="28" t="str">
        <x:v>1º/2º/3º</x:v>
      </x:c>
      <x:c r="F105" s="32" t="n">
        <x:v>10</x:v>
      </x:c>
      <x:c r="G105" s="32" t="n">
        <x:v>1028.9</x:v>
      </x:c>
      <x:c r="H105" s="32" t="n">
        <x:v>43.7</x:v>
      </x:c>
      <x:c r="I105" s="32" t="n">
        <x:v>873</x:v>
      </x:c>
      <x:c r="J105" s="36" t="n">
        <x:v>0.8485</x:v>
      </x:c>
    </x:row>
    <x:row r="106">
      <x:c r="A106" s="34" t="n">
        <x:v>45411</x:v>
      </x:c>
      <x:c r="B106" s="28" t="str">
        <x:v>Grupo Industrial S.A.</x:v>
      </x:c>
      <x:c r="C106" s="28" t="str">
        <x:v>Planta Campinas</x:v>
      </x:c>
      <x:c r="D106" s="28" t="str">
        <x:v>Linha 3 - Extrusão</x:v>
      </x:c>
      <x:c r="E106" s="28" t="str">
        <x:v>1º/2º/3º</x:v>
      </x:c>
      <x:c r="F106" s="32" t="n">
        <x:v>9</x:v>
      </x:c>
      <x:c r="G106" s="32" t="n">
        <x:v>867.6</x:v>
      </x:c>
      <x:c r="H106" s="32" t="n">
        <x:v>72.8</x:v>
      </x:c>
      <x:c r="I106" s="32" t="n">
        <x:v>654.3</x:v>
      </x:c>
      <x:c r="J106" s="36" t="n">
        <x:v>0.7541</x:v>
      </x:c>
    </x:row>
    <x:row r="107">
      <x:c r="A107" s="34" t="n">
        <x:v>45411</x:v>
      </x:c>
      <x:c r="B107" s="28" t="str">
        <x:v>Grupo Industrial S.A.</x:v>
      </x:c>
      <x:c r="C107" s="28" t="str">
        <x:v>Planta Campinas</x:v>
      </x:c>
      <x:c r="D107" s="28" t="str">
        <x:v>Linha 4 - Embalagem</x:v>
      </x:c>
      <x:c r="E107" s="28" t="str">
        <x:v>1º/2º/3º</x:v>
      </x:c>
      <x:c r="F107" s="32" t="n">
        <x:v>11</x:v>
      </x:c>
      <x:c r="G107" s="32" t="n">
        <x:v>1034.4</x:v>
      </x:c>
      <x:c r="H107" s="32" t="n">
        <x:v>86.6</x:v>
      </x:c>
      <x:c r="I107" s="32" t="n">
        <x:v>689.5</x:v>
      </x:c>
      <x:c r="J107" s="36" t="n">
        <x:v>0.6665</x:v>
      </x:c>
    </x:row>
    <x:row r="108">
      <x:c r="A108" s="34" t="n">
        <x:v>45411</x:v>
      </x:c>
      <x:c r="B108" s="28" t="str">
        <x:v>Grupo Industrial S.A.</x:v>
      </x:c>
      <x:c r="C108" s="28" t="str">
        <x:v>Planta Curitiba</x:v>
      </x:c>
      <x:c r="D108" s="28" t="str">
        <x:v>Linha 5 - Usinagem</x:v>
      </x:c>
      <x:c r="E108" s="28" t="str">
        <x:v>1º/2º/3º</x:v>
      </x:c>
      <x:c r="F108" s="32" t="n">
        <x:v>9</x:v>
      </x:c>
      <x:c r="G108" s="32" t="n">
        <x:v>892.6</x:v>
      </x:c>
      <x:c r="H108" s="32" t="n">
        <x:v>47.7</x:v>
      </x:c>
      <x:c r="I108" s="32" t="n">
        <x:v>650.8</x:v>
      </x:c>
      <x:c r="J108" s="36" t="n">
        <x:v>0.7291</x:v>
      </x:c>
    </x:row>
    <x:row r="109">
      <x:c r="A109" s="34" t="n">
        <x:v>45411</x:v>
      </x:c>
      <x:c r="B109" s="28" t="str">
        <x:v>Grupo Industrial S.A.</x:v>
      </x:c>
      <x:c r="C109" s="28" t="str">
        <x:v>Planta Curitiba</x:v>
      </x:c>
      <x:c r="D109" s="28" t="str">
        <x:v>Linha 6 - Finalização</x:v>
      </x:c>
      <x:c r="E109" s="28" t="str">
        <x:v>1º/2º/3º</x:v>
      </x:c>
      <x:c r="F109" s="32" t="n">
        <x:v>12</x:v>
      </x:c>
      <x:c r="G109" s="32" t="n">
        <x:v>1215.4</x:v>
      </x:c>
      <x:c r="H109" s="32" t="n">
        <x:v>63.3</x:v>
      </x:c>
      <x:c r="I109" s="32" t="n">
        <x:v>885.5</x:v>
      </x:c>
      <x:c r="J109" s="36" t="n">
        <x:v>0.7286</x:v>
      </x:c>
    </x:row>
    <x:row r="110">
      <x:c r="A110" s="34" t="n">
        <x:v>45418</x:v>
      </x:c>
      <x:c r="B110" s="28" t="str">
        <x:v>Grupo Industrial S.A.</x:v>
      </x:c>
      <x:c r="C110" s="28" t="str">
        <x:v>Planta São Paulo</x:v>
      </x:c>
      <x:c r="D110" s="28" t="str">
        <x:v>Linha 1 - Corte</x:v>
      </x:c>
      <x:c r="E110" s="28" t="str">
        <x:v>1º/2º/3º</x:v>
      </x:c>
      <x:c r="F110" s="32" t="n">
        <x:v>8</x:v>
      </x:c>
      <x:c r="G110" s="32" t="n">
        <x:v>833.4</x:v>
      </x:c>
      <x:c r="H110" s="32" t="n">
        <x:v>45.4</x:v>
      </x:c>
      <x:c r="I110" s="32" t="n">
        <x:v>757.1</x:v>
      </x:c>
      <x:c r="J110" s="36" t="n">
        <x:v>0.9085</x:v>
      </x:c>
    </x:row>
    <x:row r="111">
      <x:c r="A111" s="34" t="n">
        <x:v>45418</x:v>
      </x:c>
      <x:c r="B111" s="28" t="str">
        <x:v>Grupo Industrial S.A.</x:v>
      </x:c>
      <x:c r="C111" s="28" t="str">
        <x:v>Planta São Paulo</x:v>
      </x:c>
      <x:c r="D111" s="28" t="str">
        <x:v>Linha 2 - Montagem</x:v>
      </x:c>
      <x:c r="E111" s="28" t="str">
        <x:v>1º/2º/3º</x:v>
      </x:c>
      <x:c r="F111" s="32" t="n">
        <x:v>10</x:v>
      </x:c>
      <x:c r="G111" s="32" t="n">
        <x:v>1072.2</x:v>
      </x:c>
      <x:c r="H111" s="32" t="n">
        <x:v>64.9</x:v>
      </x:c>
      <x:c r="I111" s="32" t="n">
        <x:v>907.7</x:v>
      </x:c>
      <x:c r="J111" s="36" t="n">
        <x:v>0.8465</x:v>
      </x:c>
    </x:row>
    <x:row r="112">
      <x:c r="A112" s="34" t="n">
        <x:v>45418</x:v>
      </x:c>
      <x:c r="B112" s="28" t="str">
        <x:v>Grupo Industrial S.A.</x:v>
      </x:c>
      <x:c r="C112" s="28" t="str">
        <x:v>Planta Campinas</x:v>
      </x:c>
      <x:c r="D112" s="28" t="str">
        <x:v>Linha 3 - Extrusão</x:v>
      </x:c>
      <x:c r="E112" s="28" t="str">
        <x:v>1º/2º/3º</x:v>
      </x:c>
      <x:c r="F112" s="32" t="n">
        <x:v>9</x:v>
      </x:c>
      <x:c r="G112" s="32" t="n">
        <x:v>876.5</x:v>
      </x:c>
      <x:c r="H112" s="32" t="n">
        <x:v>65.7</x:v>
      </x:c>
      <x:c r="I112" s="32" t="n">
        <x:v>668.4</x:v>
      </x:c>
      <x:c r="J112" s="36" t="n">
        <x:v>0.7626</x:v>
      </x:c>
    </x:row>
    <x:row r="113">
      <x:c r="A113" s="34" t="n">
        <x:v>45418</x:v>
      </x:c>
      <x:c r="B113" s="28" t="str">
        <x:v>Grupo Industrial S.A.</x:v>
      </x:c>
      <x:c r="C113" s="28" t="str">
        <x:v>Planta Campinas</x:v>
      </x:c>
      <x:c r="D113" s="28" t="str">
        <x:v>Linha 4 - Embalagem</x:v>
      </x:c>
      <x:c r="E113" s="28" t="str">
        <x:v>1º/2º/3º</x:v>
      </x:c>
      <x:c r="F113" s="32" t="n">
        <x:v>11</x:v>
      </x:c>
      <x:c r="G113" s="32" t="n">
        <x:v>1095.9</x:v>
      </x:c>
      <x:c r="H113" s="32" t="n">
        <x:v>69.8</x:v>
      </x:c>
      <x:c r="I113" s="32" t="n">
        <x:v>774.2</x:v>
      </x:c>
      <x:c r="J113" s="36" t="n">
        <x:v>0.7064</x:v>
      </x:c>
    </x:row>
    <x:row r="114">
      <x:c r="A114" s="34" t="n">
        <x:v>45418</x:v>
      </x:c>
      <x:c r="B114" s="28" t="str">
        <x:v>Grupo Industrial S.A.</x:v>
      </x:c>
      <x:c r="C114" s="28" t="str">
        <x:v>Planta Curitiba</x:v>
      </x:c>
      <x:c r="D114" s="28" t="str">
        <x:v>Linha 5 - Usinagem</x:v>
      </x:c>
      <x:c r="E114" s="28" t="str">
        <x:v>1º/2º/3º</x:v>
      </x:c>
      <x:c r="F114" s="32" t="n">
        <x:v>9</x:v>
      </x:c>
      <x:c r="G114" s="32" t="n">
        <x:v>895</x:v>
      </x:c>
      <x:c r="H114" s="32" t="n">
        <x:v>32.1</x:v>
      </x:c>
      <x:c r="I114" s="32" t="n">
        <x:v>672.3</x:v>
      </x:c>
      <x:c r="J114" s="36" t="n">
        <x:v>0.7512</x:v>
      </x:c>
    </x:row>
    <x:row r="115">
      <x:c r="A115" s="34" t="n">
        <x:v>45418</x:v>
      </x:c>
      <x:c r="B115" s="28" t="str">
        <x:v>Grupo Industrial S.A.</x:v>
      </x:c>
      <x:c r="C115" s="28" t="str">
        <x:v>Planta Curitiba</x:v>
      </x:c>
      <x:c r="D115" s="28" t="str">
        <x:v>Linha 6 - Finalização</x:v>
      </x:c>
      <x:c r="E115" s="28" t="str">
        <x:v>1º/2º/3º</x:v>
      </x:c>
      <x:c r="F115" s="32" t="n">
        <x:v>12</x:v>
      </x:c>
      <x:c r="G115" s="32" t="n">
        <x:v>1238.3</x:v>
      </x:c>
      <x:c r="H115" s="32" t="n">
        <x:v>47.7</x:v>
      </x:c>
      <x:c r="I115" s="32" t="n">
        <x:v>940</x:v>
      </x:c>
      <x:c r="J115" s="36" t="n">
        <x:v>0.7591</x:v>
      </x:c>
    </x:row>
    <x:row r="116">
      <x:c r="A116" s="34" t="n">
        <x:v>45425</x:v>
      </x:c>
      <x:c r="B116" s="28" t="str">
        <x:v>Grupo Industrial S.A.</x:v>
      </x:c>
      <x:c r="C116" s="28" t="str">
        <x:v>Planta São Paulo</x:v>
      </x:c>
      <x:c r="D116" s="28" t="str">
        <x:v>Linha 1 - Corte</x:v>
      </x:c>
      <x:c r="E116" s="28" t="str">
        <x:v>1º/2º/3º</x:v>
      </x:c>
      <x:c r="F116" s="32" t="n">
        <x:v>8</x:v>
      </x:c>
      <x:c r="G116" s="32" t="n">
        <x:v>841.4</x:v>
      </x:c>
      <x:c r="H116" s="32" t="n">
        <x:v>38.8</x:v>
      </x:c>
      <x:c r="I116" s="32" t="n">
        <x:v>722.1</x:v>
      </x:c>
      <x:c r="J116" s="36" t="n">
        <x:v>0.8582</x:v>
      </x:c>
    </x:row>
    <x:row r="117">
      <x:c r="A117" s="34" t="n">
        <x:v>45425</x:v>
      </x:c>
      <x:c r="B117" s="28" t="str">
        <x:v>Grupo Industrial S.A.</x:v>
      </x:c>
      <x:c r="C117" s="28" t="str">
        <x:v>Planta São Paulo</x:v>
      </x:c>
      <x:c r="D117" s="28" t="str">
        <x:v>Linha 2 - Montagem</x:v>
      </x:c>
      <x:c r="E117" s="28" t="str">
        <x:v>1º/2º/3º</x:v>
      </x:c>
      <x:c r="F117" s="32" t="n">
        <x:v>10</x:v>
      </x:c>
      <x:c r="G117" s="32" t="n">
        <x:v>1061.4</x:v>
      </x:c>
      <x:c r="H117" s="32" t="n">
        <x:v>55.7</x:v>
      </x:c>
      <x:c r="I117" s="32" t="n">
        <x:v>940.9</x:v>
      </x:c>
      <x:c r="J117" s="36" t="n">
        <x:v>0.8865</x:v>
      </x:c>
    </x:row>
    <x:row r="118">
      <x:c r="A118" s="34" t="n">
        <x:v>45425</x:v>
      </x:c>
      <x:c r="B118" s="28" t="str">
        <x:v>Grupo Industrial S.A.</x:v>
      </x:c>
      <x:c r="C118" s="28" t="str">
        <x:v>Planta Campinas</x:v>
      </x:c>
      <x:c r="D118" s="28" t="str">
        <x:v>Linha 3 - Extrusão</x:v>
      </x:c>
      <x:c r="E118" s="28" t="str">
        <x:v>1º/2º/3º</x:v>
      </x:c>
      <x:c r="F118" s="32" t="n">
        <x:v>9</x:v>
      </x:c>
      <x:c r="G118" s="32" t="n">
        <x:v>882.2</x:v>
      </x:c>
      <x:c r="H118" s="32" t="n">
        <x:v>68.6</x:v>
      </x:c>
      <x:c r="I118" s="32" t="n">
        <x:v>675.4</x:v>
      </x:c>
      <x:c r="J118" s="36" t="n">
        <x:v>0.7656</x:v>
      </x:c>
    </x:row>
    <x:row r="119">
      <x:c r="A119" s="34" t="n">
        <x:v>45425</x:v>
      </x:c>
      <x:c r="B119" s="28" t="str">
        <x:v>Grupo Industrial S.A.</x:v>
      </x:c>
      <x:c r="C119" s="28" t="str">
        <x:v>Planta Campinas</x:v>
      </x:c>
      <x:c r="D119" s="28" t="str">
        <x:v>Linha 4 - Embalagem</x:v>
      </x:c>
      <x:c r="E119" s="28" t="str">
        <x:v>1º/2º/3º</x:v>
      </x:c>
      <x:c r="F119" s="32" t="n">
        <x:v>11</x:v>
      </x:c>
      <x:c r="G119" s="32" t="n">
        <x:v>1093.8</x:v>
      </x:c>
      <x:c r="H119" s="32" t="n">
        <x:v>72.3</x:v>
      </x:c>
      <x:c r="I119" s="32" t="n">
        <x:v>817.7</x:v>
      </x:c>
      <x:c r="J119" s="36" t="n">
        <x:v>0.7476</x:v>
      </x:c>
    </x:row>
    <x:row r="120">
      <x:c r="A120" s="34" t="n">
        <x:v>45425</x:v>
      </x:c>
      <x:c r="B120" s="28" t="str">
        <x:v>Grupo Industrial S.A.</x:v>
      </x:c>
      <x:c r="C120" s="28" t="str">
        <x:v>Planta Curitiba</x:v>
      </x:c>
      <x:c r="D120" s="28" t="str">
        <x:v>Linha 5 - Usinagem</x:v>
      </x:c>
      <x:c r="E120" s="28" t="str">
        <x:v>1º/2º/3º</x:v>
      </x:c>
      <x:c r="F120" s="32" t="n">
        <x:v>9</x:v>
      </x:c>
      <x:c r="G120" s="32" t="n">
        <x:v>909.4</x:v>
      </x:c>
      <x:c r="H120" s="32" t="n">
        <x:v>39.6</x:v>
      </x:c>
      <x:c r="I120" s="32" t="n">
        <x:v>694.3</x:v>
      </x:c>
      <x:c r="J120" s="36" t="n">
        <x:v>0.7635</x:v>
      </x:c>
    </x:row>
    <x:row r="121">
      <x:c r="A121" s="34" t="n">
        <x:v>45425</x:v>
      </x:c>
      <x:c r="B121" s="28" t="str">
        <x:v>Grupo Industrial S.A.</x:v>
      </x:c>
      <x:c r="C121" s="28" t="str">
        <x:v>Planta Curitiba</x:v>
      </x:c>
      <x:c r="D121" s="28" t="str">
        <x:v>Linha 6 - Finalização</x:v>
      </x:c>
      <x:c r="E121" s="28" t="str">
        <x:v>1º/2º/3º</x:v>
      </x:c>
      <x:c r="F121" s="32" t="n">
        <x:v>12</x:v>
      </x:c>
      <x:c r="G121" s="32" t="n">
        <x:v>1242.3</x:v>
      </x:c>
      <x:c r="H121" s="32" t="n">
        <x:v>59.5</x:v>
      </x:c>
      <x:c r="I121" s="32" t="n">
        <x:v>878.2</x:v>
      </x:c>
      <x:c r="J121" s="36" t="n">
        <x:v>0.707</x:v>
      </x:c>
    </x:row>
    <x:row r="122">
      <x:c r="A122" s="34" t="n">
        <x:v>45432</x:v>
      </x:c>
      <x:c r="B122" s="28" t="str">
        <x:v>Grupo Industrial S.A.</x:v>
      </x:c>
      <x:c r="C122" s="28" t="str">
        <x:v>Planta São Paulo</x:v>
      </x:c>
      <x:c r="D122" s="28" t="str">
        <x:v>Linha 1 - Corte</x:v>
      </x:c>
      <x:c r="E122" s="28" t="str">
        <x:v>1º/2º/3º</x:v>
      </x:c>
      <x:c r="F122" s="32" t="n">
        <x:v>8</x:v>
      </x:c>
      <x:c r="G122" s="32" t="n">
        <x:v>859.3</x:v>
      </x:c>
      <x:c r="H122" s="32" t="n">
        <x:v>32.1</x:v>
      </x:c>
      <x:c r="I122" s="32" t="n">
        <x:v>734.5</x:v>
      </x:c>
      <x:c r="J122" s="36" t="n">
        <x:v>0.8547</x:v>
      </x:c>
    </x:row>
    <x:row r="123">
      <x:c r="A123" s="34" t="n">
        <x:v>45432</x:v>
      </x:c>
      <x:c r="B123" s="28" t="str">
        <x:v>Grupo Industrial S.A.</x:v>
      </x:c>
      <x:c r="C123" s="28" t="str">
        <x:v>Planta São Paulo</x:v>
      </x:c>
      <x:c r="D123" s="28" t="str">
        <x:v>Linha 2 - Montagem</x:v>
      </x:c>
      <x:c r="E123" s="28" t="str">
        <x:v>1º/2º/3º</x:v>
      </x:c>
      <x:c r="F123" s="32" t="n">
        <x:v>10</x:v>
      </x:c>
      <x:c r="G123" s="32" t="n">
        <x:v>1058.6</x:v>
      </x:c>
      <x:c r="H123" s="32" t="n">
        <x:v>51.3</x:v>
      </x:c>
      <x:c r="I123" s="32" t="n">
        <x:v>887.3</x:v>
      </x:c>
      <x:c r="J123" s="36" t="n">
        <x:v>0.8382</x:v>
      </x:c>
    </x:row>
    <x:row r="124">
      <x:c r="A124" s="34" t="n">
        <x:v>45432</x:v>
      </x:c>
      <x:c r="B124" s="28" t="str">
        <x:v>Grupo Industrial S.A.</x:v>
      </x:c>
      <x:c r="C124" s="28" t="str">
        <x:v>Planta Campinas</x:v>
      </x:c>
      <x:c r="D124" s="28" t="str">
        <x:v>Linha 3 - Extrusão</x:v>
      </x:c>
      <x:c r="E124" s="28" t="str">
        <x:v>1º/2º/3º</x:v>
      </x:c>
      <x:c r="F124" s="32" t="n">
        <x:v>9</x:v>
      </x:c>
      <x:c r="G124" s="32" t="n">
        <x:v>865.6</x:v>
      </x:c>
      <x:c r="H124" s="32" t="n">
        <x:v>51.3</x:v>
      </x:c>
      <x:c r="I124" s="32" t="n">
        <x:v>642.4</x:v>
      </x:c>
      <x:c r="J124" s="36" t="n">
        <x:v>0.7422</x:v>
      </x:c>
    </x:row>
    <x:row r="125">
      <x:c r="A125" s="34" t="n">
        <x:v>45432</x:v>
      </x:c>
      <x:c r="B125" s="28" t="str">
        <x:v>Grupo Industrial S.A.</x:v>
      </x:c>
      <x:c r="C125" s="28" t="str">
        <x:v>Planta Campinas</x:v>
      </x:c>
      <x:c r="D125" s="28" t="str">
        <x:v>Linha 4 - Embalagem</x:v>
      </x:c>
      <x:c r="E125" s="28" t="str">
        <x:v>1º/2º/3º</x:v>
      </x:c>
      <x:c r="F125" s="32" t="n">
        <x:v>11</x:v>
      </x:c>
      <x:c r="G125" s="32" t="n">
        <x:v>1092.7</x:v>
      </x:c>
      <x:c r="H125" s="32" t="n">
        <x:v>73.9</x:v>
      </x:c>
      <x:c r="I125" s="32" t="n">
        <x:v>731.3</x:v>
      </x:c>
      <x:c r="J125" s="36" t="n">
        <x:v>0.6693</x:v>
      </x:c>
    </x:row>
    <x:row r="126">
      <x:c r="A126" s="34" t="n">
        <x:v>45432</x:v>
      </x:c>
      <x:c r="B126" s="28" t="str">
        <x:v>Grupo Industrial S.A.</x:v>
      </x:c>
      <x:c r="C126" s="28" t="str">
        <x:v>Planta Curitiba</x:v>
      </x:c>
      <x:c r="D126" s="28" t="str">
        <x:v>Linha 5 - Usinagem</x:v>
      </x:c>
      <x:c r="E126" s="28" t="str">
        <x:v>1º/2º/3º</x:v>
      </x:c>
      <x:c r="F126" s="32" t="n">
        <x:v>9</x:v>
      </x:c>
      <x:c r="G126" s="32" t="n">
        <x:v>920.4</x:v>
      </x:c>
      <x:c r="H126" s="32" t="n">
        <x:v>42.9</x:v>
      </x:c>
      <x:c r="I126" s="32" t="n">
        <x:v>660</x:v>
      </x:c>
      <x:c r="J126" s="36" t="n">
        <x:v>0.717</x:v>
      </x:c>
    </x:row>
    <x:row r="127">
      <x:c r="A127" s="34" t="n">
        <x:v>45432</x:v>
      </x:c>
      <x:c r="B127" s="28" t="str">
        <x:v>Grupo Industrial S.A.</x:v>
      </x:c>
      <x:c r="C127" s="28" t="str">
        <x:v>Planta Curitiba</x:v>
      </x:c>
      <x:c r="D127" s="28" t="str">
        <x:v>Linha 6 - Finalização</x:v>
      </x:c>
      <x:c r="E127" s="28" t="str">
        <x:v>1º/2º/3º</x:v>
      </x:c>
      <x:c r="F127" s="32" t="n">
        <x:v>12</x:v>
      </x:c>
      <x:c r="G127" s="32" t="n">
        <x:v>1251.2</x:v>
      </x:c>
      <x:c r="H127" s="32" t="n">
        <x:v>58.9</x:v>
      </x:c>
      <x:c r="I127" s="32" t="n">
        <x:v>939</x:v>
      </x:c>
      <x:c r="J127" s="36" t="n">
        <x:v>0.7505</x:v>
      </x:c>
    </x:row>
    <x:row r="128">
      <x:c r="A128" s="34" t="n">
        <x:v>45439</x:v>
      </x:c>
      <x:c r="B128" s="28" t="str">
        <x:v>Grupo Industrial S.A.</x:v>
      </x:c>
      <x:c r="C128" s="28" t="str">
        <x:v>Planta São Paulo</x:v>
      </x:c>
      <x:c r="D128" s="28" t="str">
        <x:v>Linha 1 - Corte</x:v>
      </x:c>
      <x:c r="E128" s="28" t="str">
        <x:v>1º/2º/3º</x:v>
      </x:c>
      <x:c r="F128" s="32" t="n">
        <x:v>8</x:v>
      </x:c>
      <x:c r="G128" s="32" t="n">
        <x:v>816.6</x:v>
      </x:c>
      <x:c r="H128" s="32" t="n">
        <x:v>36.6</x:v>
      </x:c>
      <x:c r="I128" s="32" t="n">
        <x:v>716.1</x:v>
      </x:c>
      <x:c r="J128" s="36" t="n">
        <x:v>0.8769</x:v>
      </x:c>
    </x:row>
    <x:row r="129">
      <x:c r="A129" s="34" t="n">
        <x:v>45439</x:v>
      </x:c>
      <x:c r="B129" s="28" t="str">
        <x:v>Grupo Industrial S.A.</x:v>
      </x:c>
      <x:c r="C129" s="28" t="str">
        <x:v>Planta São Paulo</x:v>
      </x:c>
      <x:c r="D129" s="28" t="str">
        <x:v>Linha 2 - Montagem</x:v>
      </x:c>
      <x:c r="E129" s="28" t="str">
        <x:v>1º/2º/3º</x:v>
      </x:c>
      <x:c r="F129" s="32" t="n">
        <x:v>10</x:v>
      </x:c>
      <x:c r="G129" s="32" t="n">
        <x:v>1073.2</x:v>
      </x:c>
      <x:c r="H129" s="32" t="n">
        <x:v>48.2</x:v>
      </x:c>
      <x:c r="I129" s="32" t="n">
        <x:v>854.8</x:v>
      </x:c>
      <x:c r="J129" s="36" t="n">
        <x:v>0.7964</x:v>
      </x:c>
    </x:row>
    <x:row r="130">
      <x:c r="A130" s="34" t="n">
        <x:v>45439</x:v>
      </x:c>
      <x:c r="B130" s="28" t="str">
        <x:v>Grupo Industrial S.A.</x:v>
      </x:c>
      <x:c r="C130" s="28" t="str">
        <x:v>Planta Campinas</x:v>
      </x:c>
      <x:c r="D130" s="28" t="str">
        <x:v>Linha 3 - Extrusão</x:v>
      </x:c>
      <x:c r="E130" s="28" t="str">
        <x:v>1º/2º/3º</x:v>
      </x:c>
      <x:c r="F130" s="32" t="n">
        <x:v>9</x:v>
      </x:c>
      <x:c r="G130" s="32" t="n">
        <x:v>888.6</x:v>
      </x:c>
      <x:c r="H130" s="32" t="n">
        <x:v>64.5</x:v>
      </x:c>
      <x:c r="I130" s="32" t="n">
        <x:v>643.4</x:v>
      </x:c>
      <x:c r="J130" s="36" t="n">
        <x:v>0.7241</x:v>
      </x:c>
    </x:row>
    <x:row r="131">
      <x:c r="A131" s="34" t="n">
        <x:v>45439</x:v>
      </x:c>
      <x:c r="B131" s="28" t="str">
        <x:v>Grupo Industrial S.A.</x:v>
      </x:c>
      <x:c r="C131" s="28" t="str">
        <x:v>Planta Campinas</x:v>
      </x:c>
      <x:c r="D131" s="28" t="str">
        <x:v>Linha 4 - Embalagem</x:v>
      </x:c>
      <x:c r="E131" s="28" t="str">
        <x:v>1º/2º/3º</x:v>
      </x:c>
      <x:c r="F131" s="32" t="n">
        <x:v>11</x:v>
      </x:c>
      <x:c r="G131" s="32" t="n">
        <x:v>1045.4</x:v>
      </x:c>
      <x:c r="H131" s="32" t="n">
        <x:v>83</x:v>
      </x:c>
      <x:c r="I131" s="32" t="n">
        <x:v>772.6</x:v>
      </x:c>
      <x:c r="J131" s="36" t="n">
        <x:v>0.7391</x:v>
      </x:c>
    </x:row>
    <x:row r="132">
      <x:c r="A132" s="34" t="n">
        <x:v>45439</x:v>
      </x:c>
      <x:c r="B132" s="28" t="str">
        <x:v>Grupo Industrial S.A.</x:v>
      </x:c>
      <x:c r="C132" s="28" t="str">
        <x:v>Planta Curitiba</x:v>
      </x:c>
      <x:c r="D132" s="28" t="str">
        <x:v>Linha 5 - Usinagem</x:v>
      </x:c>
      <x:c r="E132" s="28" t="str">
        <x:v>1º/2º/3º</x:v>
      </x:c>
      <x:c r="F132" s="32" t="n">
        <x:v>9</x:v>
      </x:c>
      <x:c r="G132" s="32" t="n">
        <x:v>922.7</x:v>
      </x:c>
      <x:c r="H132" s="32" t="n">
        <x:v>43.2</x:v>
      </x:c>
      <x:c r="I132" s="32" t="n">
        <x:v>703.8</x:v>
      </x:c>
      <x:c r="J132" s="36" t="n">
        <x:v>0.7627</x:v>
      </x:c>
    </x:row>
    <x:row r="133">
      <x:c r="A133" s="34" t="n">
        <x:v>45439</x:v>
      </x:c>
      <x:c r="B133" s="28" t="str">
        <x:v>Grupo Industrial S.A.</x:v>
      </x:c>
      <x:c r="C133" s="28" t="str">
        <x:v>Planta Curitiba</x:v>
      </x:c>
      <x:c r="D133" s="28" t="str">
        <x:v>Linha 6 - Finalização</x:v>
      </x:c>
      <x:c r="E133" s="28" t="str">
        <x:v>1º/2º/3º</x:v>
      </x:c>
      <x:c r="F133" s="32" t="n">
        <x:v>12</x:v>
      </x:c>
      <x:c r="G133" s="32" t="n">
        <x:v>1194.9</x:v>
      </x:c>
      <x:c r="H133" s="32" t="n">
        <x:v>75.2</x:v>
      </x:c>
      <x:c r="I133" s="32" t="n">
        <x:v>906.2</x:v>
      </x:c>
      <x:c r="J133" s="36" t="n">
        <x:v>0.7584</x:v>
      </x:c>
    </x:row>
    <x:row r="134">
      <x:c r="A134" s="34" t="n">
        <x:v>45446</x:v>
      </x:c>
      <x:c r="B134" s="28" t="str">
        <x:v>Grupo Industrial S.A.</x:v>
      </x:c>
      <x:c r="C134" s="28" t="str">
        <x:v>Planta São Paulo</x:v>
      </x:c>
      <x:c r="D134" s="28" t="str">
        <x:v>Linha 1 - Corte</x:v>
      </x:c>
      <x:c r="E134" s="28" t="str">
        <x:v>1º/2º/3º</x:v>
      </x:c>
      <x:c r="F134" s="32" t="n">
        <x:v>8</x:v>
      </x:c>
      <x:c r="G134" s="32" t="n">
        <x:v>861.5</x:v>
      </x:c>
      <x:c r="H134" s="32" t="n">
        <x:v>52.2</x:v>
      </x:c>
      <x:c r="I134" s="32" t="n">
        <x:v>719.9</x:v>
      </x:c>
      <x:c r="J134" s="36" t="n">
        <x:v>0.8356</x:v>
      </x:c>
    </x:row>
    <x:row r="135">
      <x:c r="A135" s="34" t="n">
        <x:v>45446</x:v>
      </x:c>
      <x:c r="B135" s="28" t="str">
        <x:v>Grupo Industrial S.A.</x:v>
      </x:c>
      <x:c r="C135" s="28" t="str">
        <x:v>Planta São Paulo</x:v>
      </x:c>
      <x:c r="D135" s="28" t="str">
        <x:v>Linha 2 - Montagem</x:v>
      </x:c>
      <x:c r="E135" s="28" t="str">
        <x:v>1º/2º/3º</x:v>
      </x:c>
      <x:c r="F135" s="32" t="n">
        <x:v>10</x:v>
      </x:c>
      <x:c r="G135" s="32" t="n">
        <x:v>1053.3</x:v>
      </x:c>
      <x:c r="H135" s="32" t="n">
        <x:v>42.1</x:v>
      </x:c>
      <x:c r="I135" s="32" t="n">
        <x:v>875.6</x:v>
      </x:c>
      <x:c r="J135" s="36" t="n">
        <x:v>0.8313</x:v>
      </x:c>
    </x:row>
    <x:row r="136">
      <x:c r="A136" s="34" t="n">
        <x:v>45446</x:v>
      </x:c>
      <x:c r="B136" s="28" t="str">
        <x:v>Grupo Industrial S.A.</x:v>
      </x:c>
      <x:c r="C136" s="28" t="str">
        <x:v>Planta Campinas</x:v>
      </x:c>
      <x:c r="D136" s="28" t="str">
        <x:v>Linha 3 - Extrusão</x:v>
      </x:c>
      <x:c r="E136" s="28" t="str">
        <x:v>1º/2º/3º</x:v>
      </x:c>
      <x:c r="F136" s="32" t="n">
        <x:v>9</x:v>
      </x:c>
      <x:c r="G136" s="32" t="n">
        <x:v>884</x:v>
      </x:c>
      <x:c r="H136" s="32" t="n">
        <x:v>60.2</x:v>
      </x:c>
      <x:c r="I136" s="32" t="n">
        <x:v>646.8</x:v>
      </x:c>
      <x:c r="J136" s="36" t="n">
        <x:v>0.7317</x:v>
      </x:c>
    </x:row>
    <x:row r="137">
      <x:c r="A137" s="34" t="n">
        <x:v>45446</x:v>
      </x:c>
      <x:c r="B137" s="28" t="str">
        <x:v>Grupo Industrial S.A.</x:v>
      </x:c>
      <x:c r="C137" s="28" t="str">
        <x:v>Planta Campinas</x:v>
      </x:c>
      <x:c r="D137" s="28" t="str">
        <x:v>Linha 4 - Embalagem</x:v>
      </x:c>
      <x:c r="E137" s="28" t="str">
        <x:v>1º/2º/3º</x:v>
      </x:c>
      <x:c r="F137" s="32" t="n">
        <x:v>11</x:v>
      </x:c>
      <x:c r="G137" s="32" t="n">
        <x:v>1083.2</x:v>
      </x:c>
      <x:c r="H137" s="32" t="n">
        <x:v>79.3</x:v>
      </x:c>
      <x:c r="I137" s="32" t="n">
        <x:v>702.7</x:v>
      </x:c>
      <x:c r="J137" s="36" t="n">
        <x:v>0.6487</x:v>
      </x:c>
    </x:row>
    <x:row r="138">
      <x:c r="A138" s="34" t="n">
        <x:v>45446</x:v>
      </x:c>
      <x:c r="B138" s="28" t="str">
        <x:v>Grupo Industrial S.A.</x:v>
      </x:c>
      <x:c r="C138" s="28" t="str">
        <x:v>Planta Curitiba</x:v>
      </x:c>
      <x:c r="D138" s="28" t="str">
        <x:v>Linha 5 - Usinagem</x:v>
      </x:c>
      <x:c r="E138" s="28" t="str">
        <x:v>1º/2º/3º</x:v>
      </x:c>
      <x:c r="F138" s="32" t="n">
        <x:v>9</x:v>
      </x:c>
      <x:c r="G138" s="32" t="n">
        <x:v>915.8</x:v>
      </x:c>
      <x:c r="H138" s="32" t="n">
        <x:v>44.8</x:v>
      </x:c>
      <x:c r="I138" s="32" t="n">
        <x:v>652.9</x:v>
      </x:c>
      <x:c r="J138" s="36" t="n">
        <x:v>0.7129</x:v>
      </x:c>
    </x:row>
    <x:row r="139">
      <x:c r="A139" s="34" t="n">
        <x:v>45446</x:v>
      </x:c>
      <x:c r="B139" s="28" t="str">
        <x:v>Grupo Industrial S.A.</x:v>
      </x:c>
      <x:c r="C139" s="28" t="str">
        <x:v>Planta Curitiba</x:v>
      </x:c>
      <x:c r="D139" s="28" t="str">
        <x:v>Linha 6 - Finalização</x:v>
      </x:c>
      <x:c r="E139" s="28" t="str">
        <x:v>1º/2º/3º</x:v>
      </x:c>
      <x:c r="F139" s="32" t="n">
        <x:v>12</x:v>
      </x:c>
      <x:c r="G139" s="32" t="n">
        <x:v>1250.7</x:v>
      </x:c>
      <x:c r="H139" s="32" t="n">
        <x:v>53.5</x:v>
      </x:c>
      <x:c r="I139" s="32" t="n">
        <x:v>910.5</x:v>
      </x:c>
      <x:c r="J139" s="36" t="n">
        <x:v>0.728</x:v>
      </x:c>
    </x:row>
    <x:row r="140">
      <x:c r="A140" s="34" t="n">
        <x:v>45453</x:v>
      </x:c>
      <x:c r="B140" s="28" t="str">
        <x:v>Grupo Industrial S.A.</x:v>
      </x:c>
      <x:c r="C140" s="28" t="str">
        <x:v>Planta São Paulo</x:v>
      </x:c>
      <x:c r="D140" s="28" t="str">
        <x:v>Linha 1 - Corte</x:v>
      </x:c>
      <x:c r="E140" s="28" t="str">
        <x:v>1º/2º/3º</x:v>
      </x:c>
      <x:c r="F140" s="32" t="n">
        <x:v>8</x:v>
      </x:c>
      <x:c r="G140" s="32" t="n">
        <x:v>824.5</x:v>
      </x:c>
      <x:c r="H140" s="32" t="n">
        <x:v>45.9</x:v>
      </x:c>
      <x:c r="I140" s="32" t="n">
        <x:v>730.1</x:v>
      </x:c>
      <x:c r="J140" s="36" t="n">
        <x:v>0.8855</x:v>
      </x:c>
    </x:row>
    <x:row r="141">
      <x:c r="A141" s="34" t="n">
        <x:v>45453</x:v>
      </x:c>
      <x:c r="B141" s="28" t="str">
        <x:v>Grupo Industrial S.A.</x:v>
      </x:c>
      <x:c r="C141" s="28" t="str">
        <x:v>Planta São Paulo</x:v>
      </x:c>
      <x:c r="D141" s="28" t="str">
        <x:v>Linha 2 - Montagem</x:v>
      </x:c>
      <x:c r="E141" s="28" t="str">
        <x:v>1º/2º/3º</x:v>
      </x:c>
      <x:c r="F141" s="32" t="n">
        <x:v>10</x:v>
      </x:c>
      <x:c r="G141" s="32" t="n">
        <x:v>1051.4</x:v>
      </x:c>
      <x:c r="H141" s="32" t="n">
        <x:v>68</x:v>
      </x:c>
      <x:c r="I141" s="32" t="n">
        <x:v>896.8</x:v>
      </x:c>
      <x:c r="J141" s="36" t="n">
        <x:v>0.853</x:v>
      </x:c>
    </x:row>
    <x:row r="142">
      <x:c r="A142" s="34" t="n">
        <x:v>45453</x:v>
      </x:c>
      <x:c r="B142" s="28" t="str">
        <x:v>Grupo Industrial S.A.</x:v>
      </x:c>
      <x:c r="C142" s="28" t="str">
        <x:v>Planta Campinas</x:v>
      </x:c>
      <x:c r="D142" s="28" t="str">
        <x:v>Linha 3 - Extrusão</x:v>
      </x:c>
      <x:c r="E142" s="28" t="str">
        <x:v>1º/2º/3º</x:v>
      </x:c>
      <x:c r="F142" s="32" t="n">
        <x:v>9</x:v>
      </x:c>
      <x:c r="G142" s="32" t="n">
        <x:v>849.5</x:v>
      </x:c>
      <x:c r="H142" s="32" t="n">
        <x:v>61.2</x:v>
      </x:c>
      <x:c r="I142" s="32" t="n">
        <x:v>642.4</x:v>
      </x:c>
      <x:c r="J142" s="36" t="n">
        <x:v>0.7563</x:v>
      </x:c>
    </x:row>
    <x:row r="143">
      <x:c r="A143" s="34" t="n">
        <x:v>45453</x:v>
      </x:c>
      <x:c r="B143" s="28" t="str">
        <x:v>Grupo Industrial S.A.</x:v>
      </x:c>
      <x:c r="C143" s="28" t="str">
        <x:v>Planta Campinas</x:v>
      </x:c>
      <x:c r="D143" s="28" t="str">
        <x:v>Linha 4 - Embalagem</x:v>
      </x:c>
      <x:c r="E143" s="28" t="str">
        <x:v>1º/2º/3º</x:v>
      </x:c>
      <x:c r="F143" s="32" t="n">
        <x:v>11</x:v>
      </x:c>
      <x:c r="G143" s="32" t="n">
        <x:v>1043</x:v>
      </x:c>
      <x:c r="H143" s="32" t="n">
        <x:v>67.6</x:v>
      </x:c>
      <x:c r="I143" s="32" t="n">
        <x:v>698.7</x:v>
      </x:c>
      <x:c r="J143" s="36" t="n">
        <x:v>0.6699</x:v>
      </x:c>
    </x:row>
    <x:row r="144">
      <x:c r="A144" s="34" t="n">
        <x:v>45453</x:v>
      </x:c>
      <x:c r="B144" s="28" t="str">
        <x:v>Grupo Industrial S.A.</x:v>
      </x:c>
      <x:c r="C144" s="28" t="str">
        <x:v>Planta Curitiba</x:v>
      </x:c>
      <x:c r="D144" s="28" t="str">
        <x:v>Linha 5 - Usinagem</x:v>
      </x:c>
      <x:c r="E144" s="28" t="str">
        <x:v>1º/2º/3º</x:v>
      </x:c>
      <x:c r="F144" s="32" t="n">
        <x:v>9</x:v>
      </x:c>
      <x:c r="G144" s="32" t="n">
        <x:v>935.6</x:v>
      </x:c>
      <x:c r="H144" s="32" t="n">
        <x:v>51.8</x:v>
      </x:c>
      <x:c r="I144" s="32" t="n">
        <x:v>653.5</x:v>
      </x:c>
      <x:c r="J144" s="36" t="n">
        <x:v>0.6985</x:v>
      </x:c>
    </x:row>
    <x:row r="145">
      <x:c r="A145" s="34" t="n">
        <x:v>45453</x:v>
      </x:c>
      <x:c r="B145" s="28" t="str">
        <x:v>Grupo Industrial S.A.</x:v>
      </x:c>
      <x:c r="C145" s="28" t="str">
        <x:v>Planta Curitiba</x:v>
      </x:c>
      <x:c r="D145" s="28" t="str">
        <x:v>Linha 6 - Finalização</x:v>
      </x:c>
      <x:c r="E145" s="28" t="str">
        <x:v>1º/2º/3º</x:v>
      </x:c>
      <x:c r="F145" s="32" t="n">
        <x:v>12</x:v>
      </x:c>
      <x:c r="G145" s="32" t="n">
        <x:v>1219</x:v>
      </x:c>
      <x:c r="H145" s="32" t="n">
        <x:v>53.7</x:v>
      </x:c>
      <x:c r="I145" s="32" t="n">
        <x:v>885.5</x:v>
      </x:c>
      <x:c r="J145" s="36" t="n">
        <x:v>0.7264</x:v>
      </x:c>
    </x:row>
    <x:row r="146">
      <x:c r="A146" s="34" t="n">
        <x:v>45460</x:v>
      </x:c>
      <x:c r="B146" s="28" t="str">
        <x:v>Grupo Industrial S.A.</x:v>
      </x:c>
      <x:c r="C146" s="28" t="str">
        <x:v>Planta São Paulo</x:v>
      </x:c>
      <x:c r="D146" s="28" t="str">
        <x:v>Linha 1 - Corte</x:v>
      </x:c>
      <x:c r="E146" s="28" t="str">
        <x:v>1º/2º/3º</x:v>
      </x:c>
      <x:c r="F146" s="32" t="n">
        <x:v>8</x:v>
      </x:c>
      <x:c r="G146" s="32" t="n">
        <x:v>831.6</x:v>
      </x:c>
      <x:c r="H146" s="32" t="n">
        <x:v>44</x:v>
      </x:c>
      <x:c r="I146" s="32" t="n">
        <x:v>704.7</x:v>
      </x:c>
      <x:c r="J146" s="36" t="n">
        <x:v>0.8474</x:v>
      </x:c>
    </x:row>
    <x:row r="147">
      <x:c r="A147" s="34" t="n">
        <x:v>45460</x:v>
      </x:c>
      <x:c r="B147" s="28" t="str">
        <x:v>Grupo Industrial S.A.</x:v>
      </x:c>
      <x:c r="C147" s="28" t="str">
        <x:v>Planta São Paulo</x:v>
      </x:c>
      <x:c r="D147" s="28" t="str">
        <x:v>Linha 2 - Montagem</x:v>
      </x:c>
      <x:c r="E147" s="28" t="str">
        <x:v>1º/2º/3º</x:v>
      </x:c>
      <x:c r="F147" s="32" t="n">
        <x:v>10</x:v>
      </x:c>
      <x:c r="G147" s="32" t="n">
        <x:v>1065.4</x:v>
      </x:c>
      <x:c r="H147" s="32" t="n">
        <x:v>64.4</x:v>
      </x:c>
      <x:c r="I147" s="32" t="n">
        <x:v>886.1</x:v>
      </x:c>
      <x:c r="J147" s="36" t="n">
        <x:v>0.8317</x:v>
      </x:c>
    </x:row>
    <x:row r="148">
      <x:c r="A148" s="34" t="n">
        <x:v>45460</x:v>
      </x:c>
      <x:c r="B148" s="28" t="str">
        <x:v>Grupo Industrial S.A.</x:v>
      </x:c>
      <x:c r="C148" s="28" t="str">
        <x:v>Planta Campinas</x:v>
      </x:c>
      <x:c r="D148" s="28" t="str">
        <x:v>Linha 3 - Extrusão</x:v>
      </x:c>
      <x:c r="E148" s="28" t="str">
        <x:v>1º/2º/3º</x:v>
      </x:c>
      <x:c r="F148" s="32" t="n">
        <x:v>9</x:v>
      </x:c>
      <x:c r="G148" s="32" t="n">
        <x:v>890</x:v>
      </x:c>
      <x:c r="H148" s="32" t="n">
        <x:v>53.5</x:v>
      </x:c>
      <x:c r="I148" s="32" t="n">
        <x:v>631.4</x:v>
      </x:c>
      <x:c r="J148" s="36" t="n">
        <x:v>0.7095</x:v>
      </x:c>
    </x:row>
    <x:row r="149">
      <x:c r="A149" s="34" t="n">
        <x:v>45460</x:v>
      </x:c>
      <x:c r="B149" s="28" t="str">
        <x:v>Grupo Industrial S.A.</x:v>
      </x:c>
      <x:c r="C149" s="28" t="str">
        <x:v>Planta Campinas</x:v>
      </x:c>
      <x:c r="D149" s="28" t="str">
        <x:v>Linha 4 - Embalagem</x:v>
      </x:c>
      <x:c r="E149" s="28" t="str">
        <x:v>1º/2º/3º</x:v>
      </x:c>
      <x:c r="F149" s="32" t="n">
        <x:v>11</x:v>
      </x:c>
      <x:c r="G149" s="32" t="n">
        <x:v>1086.7</x:v>
      </x:c>
      <x:c r="H149" s="32" t="n">
        <x:v>71.2</x:v>
      </x:c>
      <x:c r="I149" s="32" t="n">
        <x:v>774.4</x:v>
      </x:c>
      <x:c r="J149" s="36" t="n">
        <x:v>0.7126</x:v>
      </x:c>
    </x:row>
    <x:row r="150">
      <x:c r="A150" s="34" t="n">
        <x:v>45460</x:v>
      </x:c>
      <x:c r="B150" s="28" t="str">
        <x:v>Grupo Industrial S.A.</x:v>
      </x:c>
      <x:c r="C150" s="28" t="str">
        <x:v>Planta Curitiba</x:v>
      </x:c>
      <x:c r="D150" s="28" t="str">
        <x:v>Linha 5 - Usinagem</x:v>
      </x:c>
      <x:c r="E150" s="28" t="str">
        <x:v>1º/2º/3º</x:v>
      </x:c>
      <x:c r="F150" s="32" t="n">
        <x:v>9</x:v>
      </x:c>
      <x:c r="G150" s="32" t="n">
        <x:v>910</x:v>
      </x:c>
      <x:c r="H150" s="32" t="n">
        <x:v>46.5</x:v>
      </x:c>
      <x:c r="I150" s="32" t="n">
        <x:v>681.5</x:v>
      </x:c>
      <x:c r="J150" s="36" t="n">
        <x:v>0.7489</x:v>
      </x:c>
    </x:row>
    <x:row r="151">
      <x:c r="A151" s="34" t="n">
        <x:v>45460</x:v>
      </x:c>
      <x:c r="B151" s="28" t="str">
        <x:v>Grupo Industrial S.A.</x:v>
      </x:c>
      <x:c r="C151" s="28" t="str">
        <x:v>Planta Curitiba</x:v>
      </x:c>
      <x:c r="D151" s="28" t="str">
        <x:v>Linha 6 - Finalização</x:v>
      </x:c>
      <x:c r="E151" s="28" t="str">
        <x:v>1º/2º/3º</x:v>
      </x:c>
      <x:c r="F151" s="32" t="n">
        <x:v>12</x:v>
      </x:c>
      <x:c r="G151" s="32" t="n">
        <x:v>1249.8</x:v>
      </x:c>
      <x:c r="H151" s="32" t="n">
        <x:v>55.2</x:v>
      </x:c>
      <x:c r="I151" s="32" t="n">
        <x:v>902.5</x:v>
      </x:c>
      <x:c r="J151" s="36" t="n">
        <x:v>0.7221</x:v>
      </x:c>
    </x:row>
    <x:row r="152">
      <x:c r="A152" s="34" t="n">
        <x:v>45467</x:v>
      </x:c>
      <x:c r="B152" s="28" t="str">
        <x:v>Grupo Industrial S.A.</x:v>
      </x:c>
      <x:c r="C152" s="28" t="str">
        <x:v>Planta São Paulo</x:v>
      </x:c>
      <x:c r="D152" s="28" t="str">
        <x:v>Linha 1 - Corte</x:v>
      </x:c>
      <x:c r="E152" s="28" t="str">
        <x:v>1º/2º/3º</x:v>
      </x:c>
      <x:c r="F152" s="32" t="n">
        <x:v>8</x:v>
      </x:c>
      <x:c r="G152" s="32" t="n">
        <x:v>819.5</x:v>
      </x:c>
      <x:c r="H152" s="32" t="n">
        <x:v>29.8</x:v>
      </x:c>
      <x:c r="I152" s="32" t="n">
        <x:v>739.2</x:v>
      </x:c>
      <x:c r="J152" s="36" t="n">
        <x:v>0.9019</x:v>
      </x:c>
    </x:row>
    <x:row r="153">
      <x:c r="A153" s="34" t="n">
        <x:v>45467</x:v>
      </x:c>
      <x:c r="B153" s="28" t="str">
        <x:v>Grupo Industrial S.A.</x:v>
      </x:c>
      <x:c r="C153" s="28" t="str">
        <x:v>Planta São Paulo</x:v>
      </x:c>
      <x:c r="D153" s="28" t="str">
        <x:v>Linha 2 - Montagem</x:v>
      </x:c>
      <x:c r="E153" s="28" t="str">
        <x:v>1º/2º/3º</x:v>
      </x:c>
      <x:c r="F153" s="32" t="n">
        <x:v>10</x:v>
      </x:c>
      <x:c r="G153" s="32" t="n">
        <x:v>1046.5</x:v>
      </x:c>
      <x:c r="H153" s="32" t="n">
        <x:v>53</x:v>
      </x:c>
      <x:c r="I153" s="32" t="n">
        <x:v>912.2</x:v>
      </x:c>
      <x:c r="J153" s="36" t="n">
        <x:v>0.8716</x:v>
      </x:c>
    </x:row>
    <x:row r="154">
      <x:c r="A154" s="34" t="n">
        <x:v>45467</x:v>
      </x:c>
      <x:c r="B154" s="28" t="str">
        <x:v>Grupo Industrial S.A.</x:v>
      </x:c>
      <x:c r="C154" s="28" t="str">
        <x:v>Planta Campinas</x:v>
      </x:c>
      <x:c r="D154" s="28" t="str">
        <x:v>Linha 3 - Extrusão</x:v>
      </x:c>
      <x:c r="E154" s="28" t="str">
        <x:v>1º/2º/3º</x:v>
      </x:c>
      <x:c r="F154" s="32" t="n">
        <x:v>9</x:v>
      </x:c>
      <x:c r="G154" s="32" t="n">
        <x:v>884.3</x:v>
      </x:c>
      <x:c r="H154" s="32" t="n">
        <x:v>52.6</x:v>
      </x:c>
      <x:c r="I154" s="32" t="n">
        <x:v>616.6</x:v>
      </x:c>
      <x:c r="J154" s="36" t="n">
        <x:v>0.6973</x:v>
      </x:c>
    </x:row>
    <x:row r="155">
      <x:c r="A155" s="34" t="n">
        <x:v>45467</x:v>
      </x:c>
      <x:c r="B155" s="28" t="str">
        <x:v>Grupo Industrial S.A.</x:v>
      </x:c>
      <x:c r="C155" s="28" t="str">
        <x:v>Planta Campinas</x:v>
      </x:c>
      <x:c r="D155" s="28" t="str">
        <x:v>Linha 4 - Embalagem</x:v>
      </x:c>
      <x:c r="E155" s="28" t="str">
        <x:v>1º/2º/3º</x:v>
      </x:c>
      <x:c r="F155" s="32" t="n">
        <x:v>11</x:v>
      </x:c>
      <x:c r="G155" s="32" t="n">
        <x:v>1076.8</x:v>
      </x:c>
      <x:c r="H155" s="32" t="n">
        <x:v>80.5</x:v>
      </x:c>
      <x:c r="I155" s="32" t="n">
        <x:v>750</x:v>
      </x:c>
      <x:c r="J155" s="36" t="n">
        <x:v>0.6965</x:v>
      </x:c>
    </x:row>
    <x:row r="156">
      <x:c r="A156" s="34" t="n">
        <x:v>45467</x:v>
      </x:c>
      <x:c r="B156" s="28" t="str">
        <x:v>Grupo Industrial S.A.</x:v>
      </x:c>
      <x:c r="C156" s="28" t="str">
        <x:v>Planta Curitiba</x:v>
      </x:c>
      <x:c r="D156" s="28" t="str">
        <x:v>Linha 5 - Usinagem</x:v>
      </x:c>
      <x:c r="E156" s="28" t="str">
        <x:v>1º/2º/3º</x:v>
      </x:c>
      <x:c r="F156" s="32" t="n">
        <x:v>9</x:v>
      </x:c>
      <x:c r="G156" s="32" t="n">
        <x:v>934.1</x:v>
      </x:c>
      <x:c r="H156" s="32" t="n">
        <x:v>47</x:v>
      </x:c>
      <x:c r="I156" s="32" t="n">
        <x:v>700.4</x:v>
      </x:c>
      <x:c r="J156" s="36" t="n">
        <x:v>0.7498</x:v>
      </x:c>
    </x:row>
    <x:row r="157">
      <x:c r="A157" s="34" t="n">
        <x:v>45467</x:v>
      </x:c>
      <x:c r="B157" s="28" t="str">
        <x:v>Grupo Industrial S.A.</x:v>
      </x:c>
      <x:c r="C157" s="28" t="str">
        <x:v>Planta Curitiba</x:v>
      </x:c>
      <x:c r="D157" s="28" t="str">
        <x:v>Linha 6 - Finalização</x:v>
      </x:c>
      <x:c r="E157" s="28" t="str">
        <x:v>1º/2º/3º</x:v>
      </x:c>
      <x:c r="F157" s="32" t="n">
        <x:v>12</x:v>
      </x:c>
      <x:c r="G157" s="32" t="n">
        <x:v>1194.4</x:v>
      </x:c>
      <x:c r="H157" s="32" t="n">
        <x:v>45</x:v>
      </x:c>
      <x:c r="I157" s="32" t="n">
        <x:v>901.8</x:v>
      </x:c>
      <x:c r="J157" s="36" t="n">
        <x:v>0.755</x:v>
      </x:c>
    </x:row>
    <x:row r="158">
      <x:c r="A158" s="34" t="n">
        <x:v>45474</x:v>
      </x:c>
      <x:c r="B158" s="28" t="str">
        <x:v>Grupo Industrial S.A.</x:v>
      </x:c>
      <x:c r="C158" s="28" t="str">
        <x:v>Planta São Paulo</x:v>
      </x:c>
      <x:c r="D158" s="28" t="str">
        <x:v>Linha 1 - Corte</x:v>
      </x:c>
      <x:c r="E158" s="28" t="str">
        <x:v>1º/2º/3º</x:v>
      </x:c>
      <x:c r="F158" s="32" t="n">
        <x:v>8</x:v>
      </x:c>
      <x:c r="G158" s="32" t="n">
        <x:v>829.8</x:v>
      </x:c>
      <x:c r="H158" s="32" t="n">
        <x:v>42.8</x:v>
      </x:c>
      <x:c r="I158" s="32" t="n">
        <x:v>719.3</x:v>
      </x:c>
      <x:c r="J158" s="36" t="n">
        <x:v>0.8668</x:v>
      </x:c>
    </x:row>
    <x:row r="159">
      <x:c r="A159" s="34" t="n">
        <x:v>45474</x:v>
      </x:c>
      <x:c r="B159" s="28" t="str">
        <x:v>Grupo Industrial S.A.</x:v>
      </x:c>
      <x:c r="C159" s="28" t="str">
        <x:v>Planta São Paulo</x:v>
      </x:c>
      <x:c r="D159" s="28" t="str">
        <x:v>Linha 2 - Montagem</x:v>
      </x:c>
      <x:c r="E159" s="28" t="str">
        <x:v>1º/2º/3º</x:v>
      </x:c>
      <x:c r="F159" s="32" t="n">
        <x:v>10</x:v>
      </x:c>
      <x:c r="G159" s="32" t="n">
        <x:v>1075.7</x:v>
      </x:c>
      <x:c r="H159" s="32" t="n">
        <x:v>63</x:v>
      </x:c>
      <x:c r="I159" s="32" t="n">
        <x:v>861.1</x:v>
      </x:c>
      <x:c r="J159" s="36" t="n">
        <x:v>0.8005</x:v>
      </x:c>
    </x:row>
    <x:row r="160">
      <x:c r="A160" s="34" t="n">
        <x:v>45474</x:v>
      </x:c>
      <x:c r="B160" s="28" t="str">
        <x:v>Grupo Industrial S.A.</x:v>
      </x:c>
      <x:c r="C160" s="28" t="str">
        <x:v>Planta Campinas</x:v>
      </x:c>
      <x:c r="D160" s="28" t="str">
        <x:v>Linha 3 - Extrusão</x:v>
      </x:c>
      <x:c r="E160" s="28" t="str">
        <x:v>1º/2º/3º</x:v>
      </x:c>
      <x:c r="F160" s="32" t="n">
        <x:v>9</x:v>
      </x:c>
      <x:c r="G160" s="32" t="n">
        <x:v>893.2</x:v>
      </x:c>
      <x:c r="H160" s="32" t="n">
        <x:v>71.3</x:v>
      </x:c>
      <x:c r="I160" s="32" t="n">
        <x:v>633.6</x:v>
      </x:c>
      <x:c r="J160" s="36" t="n">
        <x:v>0.7094</x:v>
      </x:c>
    </x:row>
    <x:row r="161">
      <x:c r="A161" s="34" t="n">
        <x:v>45474</x:v>
      </x:c>
      <x:c r="B161" s="28" t="str">
        <x:v>Grupo Industrial S.A.</x:v>
      </x:c>
      <x:c r="C161" s="28" t="str">
        <x:v>Planta Campinas</x:v>
      </x:c>
      <x:c r="D161" s="28" t="str">
        <x:v>Linha 4 - Embalagem</x:v>
      </x:c>
      <x:c r="E161" s="28" t="str">
        <x:v>1º/2º/3º</x:v>
      </x:c>
      <x:c r="F161" s="32" t="n">
        <x:v>11</x:v>
      </x:c>
      <x:c r="G161" s="32" t="n">
        <x:v>1091.3</x:v>
      </x:c>
      <x:c r="H161" s="32" t="n">
        <x:v>60.9</x:v>
      </x:c>
      <x:c r="I161" s="32" t="n">
        <x:v>698.9</x:v>
      </x:c>
      <x:c r="J161" s="36" t="n">
        <x:v>0.6405</x:v>
      </x:c>
    </x:row>
    <x:row r="162">
      <x:c r="A162" s="34" t="n">
        <x:v>45474</x:v>
      </x:c>
      <x:c r="B162" s="28" t="str">
        <x:v>Grupo Industrial S.A.</x:v>
      </x:c>
      <x:c r="C162" s="28" t="str">
        <x:v>Planta Curitiba</x:v>
      </x:c>
      <x:c r="D162" s="28" t="str">
        <x:v>Linha 5 - Usinagem</x:v>
      </x:c>
      <x:c r="E162" s="28" t="str">
        <x:v>1º/2º/3º</x:v>
      </x:c>
      <x:c r="F162" s="32" t="n">
        <x:v>9</x:v>
      </x:c>
      <x:c r="G162" s="32" t="n">
        <x:v>920.8</x:v>
      </x:c>
      <x:c r="H162" s="32" t="n">
        <x:v>38.1</x:v>
      </x:c>
      <x:c r="I162" s="32" t="n">
        <x:v>597.3</x:v>
      </x:c>
      <x:c r="J162" s="36" t="n">
        <x:v>0.6487</x:v>
      </x:c>
    </x:row>
    <x:row r="163">
      <x:c r="A163" s="34" t="n">
        <x:v>45474</x:v>
      </x:c>
      <x:c r="B163" s="28" t="str">
        <x:v>Grupo Industrial S.A.</x:v>
      </x:c>
      <x:c r="C163" s="28" t="str">
        <x:v>Planta Curitiba</x:v>
      </x:c>
      <x:c r="D163" s="28" t="str">
        <x:v>Linha 6 - Finalização</x:v>
      </x:c>
      <x:c r="E163" s="28" t="str">
        <x:v>1º/2º/3º</x:v>
      </x:c>
      <x:c r="F163" s="32" t="n">
        <x:v>12</x:v>
      </x:c>
      <x:c r="G163" s="32" t="n">
        <x:v>1212.3</x:v>
      </x:c>
      <x:c r="H163" s="32" t="n">
        <x:v>74.6</x:v>
      </x:c>
      <x:c r="I163" s="32" t="n">
        <x:v>865.8</x:v>
      </x:c>
      <x:c r="J163" s="36" t="n">
        <x:v>0.7141</x:v>
      </x:c>
    </x:row>
    <x:row r="164">
      <x:c r="A164" s="34" t="n">
        <x:v>45481</x:v>
      </x:c>
      <x:c r="B164" s="28" t="str">
        <x:v>Grupo Industrial S.A.</x:v>
      </x:c>
      <x:c r="C164" s="28" t="str">
        <x:v>Planta São Paulo</x:v>
      </x:c>
      <x:c r="D164" s="28" t="str">
        <x:v>Linha 1 - Corte</x:v>
      </x:c>
      <x:c r="E164" s="28" t="str">
        <x:v>1º/2º/3º</x:v>
      </x:c>
      <x:c r="F164" s="32" t="n">
        <x:v>8</x:v>
      </x:c>
      <x:c r="G164" s="32" t="n">
        <x:v>827.2</x:v>
      </x:c>
      <x:c r="H164" s="32" t="n">
        <x:v>35.5</x:v>
      </x:c>
      <x:c r="I164" s="32" t="n">
        <x:v>746.1</x:v>
      </x:c>
      <x:c r="J164" s="36" t="n">
        <x:v>0.902</x:v>
      </x:c>
    </x:row>
    <x:row r="165">
      <x:c r="A165" s="34" t="n">
        <x:v>45481</x:v>
      </x:c>
      <x:c r="B165" s="28" t="str">
        <x:v>Grupo Industrial S.A.</x:v>
      </x:c>
      <x:c r="C165" s="28" t="str">
        <x:v>Planta São Paulo</x:v>
      </x:c>
      <x:c r="D165" s="28" t="str">
        <x:v>Linha 2 - Montagem</x:v>
      </x:c>
      <x:c r="E165" s="28" t="str">
        <x:v>1º/2º/3º</x:v>
      </x:c>
      <x:c r="F165" s="32" t="n">
        <x:v>10</x:v>
      </x:c>
      <x:c r="G165" s="32" t="n">
        <x:v>1029.7</x:v>
      </x:c>
      <x:c r="H165" s="32" t="n">
        <x:v>58.2</x:v>
      </x:c>
      <x:c r="I165" s="32" t="n">
        <x:v>826.9</x:v>
      </x:c>
      <x:c r="J165" s="36" t="n">
        <x:v>0.803</x:v>
      </x:c>
    </x:row>
    <x:row r="166">
      <x:c r="A166" s="34" t="n">
        <x:v>45481</x:v>
      </x:c>
      <x:c r="B166" s="28" t="str">
        <x:v>Grupo Industrial S.A.</x:v>
      </x:c>
      <x:c r="C166" s="28" t="str">
        <x:v>Planta Campinas</x:v>
      </x:c>
      <x:c r="D166" s="28" t="str">
        <x:v>Linha 3 - Extrusão</x:v>
      </x:c>
      <x:c r="E166" s="28" t="str">
        <x:v>1º/2º/3º</x:v>
      </x:c>
      <x:c r="F166" s="32" t="n">
        <x:v>9</x:v>
      </x:c>
      <x:c r="G166" s="32" t="n">
        <x:v>860.3</x:v>
      </x:c>
      <x:c r="H166" s="32" t="n">
        <x:v>51.5</x:v>
      </x:c>
      <x:c r="I166" s="32" t="n">
        <x:v>603.9</x:v>
      </x:c>
      <x:c r="J166" s="36" t="n">
        <x:v>0.702</x:v>
      </x:c>
    </x:row>
    <x:row r="167">
      <x:c r="A167" s="34" t="n">
        <x:v>45481</x:v>
      </x:c>
      <x:c r="B167" s="28" t="str">
        <x:v>Grupo Industrial S.A.</x:v>
      </x:c>
      <x:c r="C167" s="28" t="str">
        <x:v>Planta Campinas</x:v>
      </x:c>
      <x:c r="D167" s="28" t="str">
        <x:v>Linha 4 - Embalagem</x:v>
      </x:c>
      <x:c r="E167" s="28" t="str">
        <x:v>1º/2º/3º</x:v>
      </x:c>
      <x:c r="F167" s="32" t="n">
        <x:v>11</x:v>
      </x:c>
      <x:c r="G167" s="32" t="n">
        <x:v>1090.9</x:v>
      </x:c>
      <x:c r="H167" s="32" t="n">
        <x:v>71.5</x:v>
      </x:c>
      <x:c r="I167" s="32" t="n">
        <x:v>714.3</x:v>
      </x:c>
      <x:c r="J167" s="36" t="n">
        <x:v>0.6548</x:v>
      </x:c>
    </x:row>
    <x:row r="168">
      <x:c r="A168" s="34" t="n">
        <x:v>45481</x:v>
      </x:c>
      <x:c r="B168" s="28" t="str">
        <x:v>Grupo Industrial S.A.</x:v>
      </x:c>
      <x:c r="C168" s="28" t="str">
        <x:v>Planta Curitiba</x:v>
      </x:c>
      <x:c r="D168" s="28" t="str">
        <x:v>Linha 5 - Usinagem</x:v>
      </x:c>
      <x:c r="E168" s="28" t="str">
        <x:v>1º/2º/3º</x:v>
      </x:c>
      <x:c r="F168" s="32" t="n">
        <x:v>9</x:v>
      </x:c>
      <x:c r="G168" s="32" t="n">
        <x:v>929.4</x:v>
      </x:c>
      <x:c r="H168" s="32" t="n">
        <x:v>34.8</x:v>
      </x:c>
      <x:c r="I168" s="32" t="n">
        <x:v>640.5</x:v>
      </x:c>
      <x:c r="J168" s="36" t="n">
        <x:v>0.6892</x:v>
      </x:c>
    </x:row>
    <x:row r="169">
      <x:c r="A169" s="34" t="n">
        <x:v>45481</x:v>
      </x:c>
      <x:c r="B169" s="28" t="str">
        <x:v>Grupo Industrial S.A.</x:v>
      </x:c>
      <x:c r="C169" s="28" t="str">
        <x:v>Planta Curitiba</x:v>
      </x:c>
      <x:c r="D169" s="28" t="str">
        <x:v>Linha 6 - Finalização</x:v>
      </x:c>
      <x:c r="E169" s="28" t="str">
        <x:v>1º/2º/3º</x:v>
      </x:c>
      <x:c r="F169" s="32" t="n">
        <x:v>12</x:v>
      </x:c>
      <x:c r="G169" s="32" t="n">
        <x:v>1209.2</x:v>
      </x:c>
      <x:c r="H169" s="32" t="n">
        <x:v>54.8</x:v>
      </x:c>
      <x:c r="I169" s="32" t="n">
        <x:v>895.8</x:v>
      </x:c>
      <x:c r="J169" s="36" t="n">
        <x:v>0.7408</x:v>
      </x:c>
    </x:row>
    <x:row r="170">
      <x:c r="A170" s="34" t="n">
        <x:v>45488</x:v>
      </x:c>
      <x:c r="B170" s="28" t="str">
        <x:v>Grupo Industrial S.A.</x:v>
      </x:c>
      <x:c r="C170" s="28" t="str">
        <x:v>Planta São Paulo</x:v>
      </x:c>
      <x:c r="D170" s="28" t="str">
        <x:v>Linha 1 - Corte</x:v>
      </x:c>
      <x:c r="E170" s="28" t="str">
        <x:v>1º/2º/3º</x:v>
      </x:c>
      <x:c r="F170" s="32" t="n">
        <x:v>8</x:v>
      </x:c>
      <x:c r="G170" s="32" t="n">
        <x:v>826</x:v>
      </x:c>
      <x:c r="H170" s="32" t="n">
        <x:v>39</x:v>
      </x:c>
      <x:c r="I170" s="32" t="n">
        <x:v>753.4</x:v>
      </x:c>
      <x:c r="J170" s="36" t="n">
        <x:v>0.912</x:v>
      </x:c>
    </x:row>
    <x:row r="171">
      <x:c r="A171" s="34" t="n">
        <x:v>45488</x:v>
      </x:c>
      <x:c r="B171" s="28" t="str">
        <x:v>Grupo Industrial S.A.</x:v>
      </x:c>
      <x:c r="C171" s="28" t="str">
        <x:v>Planta São Paulo</x:v>
      </x:c>
      <x:c r="D171" s="28" t="str">
        <x:v>Linha 2 - Montagem</x:v>
      </x:c>
      <x:c r="E171" s="28" t="str">
        <x:v>1º/2º/3º</x:v>
      </x:c>
      <x:c r="F171" s="32" t="n">
        <x:v>10</x:v>
      </x:c>
      <x:c r="G171" s="32" t="n">
        <x:v>1078.9</x:v>
      </x:c>
      <x:c r="H171" s="32" t="n">
        <x:v>41.4</x:v>
      </x:c>
      <x:c r="I171" s="32" t="n">
        <x:v>833.9</x:v>
      </x:c>
      <x:c r="J171" s="36" t="n">
        <x:v>0.7729</x:v>
      </x:c>
    </x:row>
    <x:row r="172">
      <x:c r="A172" s="34" t="n">
        <x:v>45488</x:v>
      </x:c>
      <x:c r="B172" s="28" t="str">
        <x:v>Grupo Industrial S.A.</x:v>
      </x:c>
      <x:c r="C172" s="28" t="str">
        <x:v>Planta Campinas</x:v>
      </x:c>
      <x:c r="D172" s="28" t="str">
        <x:v>Linha 3 - Extrusão</x:v>
      </x:c>
      <x:c r="E172" s="28" t="str">
        <x:v>1º/2º/3º</x:v>
      </x:c>
      <x:c r="F172" s="32" t="n">
        <x:v>9</x:v>
      </x:c>
      <x:c r="G172" s="32" t="n">
        <x:v>888.8</x:v>
      </x:c>
      <x:c r="H172" s="32" t="n">
        <x:v>60.5</x:v>
      </x:c>
      <x:c r="I172" s="32" t="n">
        <x:v>603.9</x:v>
      </x:c>
      <x:c r="J172" s="36" t="n">
        <x:v>0.6795</x:v>
      </x:c>
    </x:row>
    <x:row r="173">
      <x:c r="A173" s="34" t="n">
        <x:v>45488</x:v>
      </x:c>
      <x:c r="B173" s="28" t="str">
        <x:v>Grupo Industrial S.A.</x:v>
      </x:c>
      <x:c r="C173" s="28" t="str">
        <x:v>Planta Campinas</x:v>
      </x:c>
      <x:c r="D173" s="28" t="str">
        <x:v>Linha 4 - Embalagem</x:v>
      </x:c>
      <x:c r="E173" s="28" t="str">
        <x:v>1º/2º/3º</x:v>
      </x:c>
      <x:c r="F173" s="32" t="n">
        <x:v>11</x:v>
      </x:c>
      <x:c r="G173" s="32" t="n">
        <x:v>1082.5</x:v>
      </x:c>
      <x:c r="H173" s="32" t="n">
        <x:v>72.8</x:v>
      </x:c>
      <x:c r="I173" s="32" t="n">
        <x:v>729.1</x:v>
      </x:c>
      <x:c r="J173" s="36" t="n">
        <x:v>0.6735</x:v>
      </x:c>
    </x:row>
    <x:row r="174">
      <x:c r="A174" s="34" t="n">
        <x:v>45488</x:v>
      </x:c>
      <x:c r="B174" s="28" t="str">
        <x:v>Grupo Industrial S.A.</x:v>
      </x:c>
      <x:c r="C174" s="28" t="str">
        <x:v>Planta Curitiba</x:v>
      </x:c>
      <x:c r="D174" s="28" t="str">
        <x:v>Linha 5 - Usinagem</x:v>
      </x:c>
      <x:c r="E174" s="28" t="str">
        <x:v>1º/2º/3º</x:v>
      </x:c>
      <x:c r="F174" s="32" t="n">
        <x:v>9</x:v>
      </x:c>
      <x:c r="G174" s="32" t="n">
        <x:v>916.3</x:v>
      </x:c>
      <x:c r="H174" s="32" t="n">
        <x:v>53.9</x:v>
      </x:c>
      <x:c r="I174" s="32" t="n">
        <x:v>641.2</x:v>
      </x:c>
      <x:c r="J174" s="36" t="n">
        <x:v>0.6998</x:v>
      </x:c>
    </x:row>
    <x:row r="175">
      <x:c r="A175" s="34" t="n">
        <x:v>45488</x:v>
      </x:c>
      <x:c r="B175" s="28" t="str">
        <x:v>Grupo Industrial S.A.</x:v>
      </x:c>
      <x:c r="C175" s="28" t="str">
        <x:v>Planta Curitiba</x:v>
      </x:c>
      <x:c r="D175" s="28" t="str">
        <x:v>Linha 6 - Finalização</x:v>
      </x:c>
      <x:c r="E175" s="28" t="str">
        <x:v>1º/2º/3º</x:v>
      </x:c>
      <x:c r="F175" s="32" t="n">
        <x:v>12</x:v>
      </x:c>
      <x:c r="G175" s="32" t="n">
        <x:v>1187.3</x:v>
      </x:c>
      <x:c r="H175" s="32" t="n">
        <x:v>66.6</x:v>
      </x:c>
      <x:c r="I175" s="32" t="n">
        <x:v>867</x:v>
      </x:c>
      <x:c r="J175" s="36" t="n">
        <x:v>0.7302</x:v>
      </x:c>
    </x:row>
    <x:row r="176">
      <x:c r="A176" s="34" t="n">
        <x:v>45495</x:v>
      </x:c>
      <x:c r="B176" s="28" t="str">
        <x:v>Grupo Industrial S.A.</x:v>
      </x:c>
      <x:c r="C176" s="28" t="str">
        <x:v>Planta São Paulo</x:v>
      </x:c>
      <x:c r="D176" s="28" t="str">
        <x:v>Linha 1 - Corte</x:v>
      </x:c>
      <x:c r="E176" s="28" t="str">
        <x:v>1º/2º/3º</x:v>
      </x:c>
      <x:c r="F176" s="32" t="n">
        <x:v>8</x:v>
      </x:c>
      <x:c r="G176" s="32" t="n">
        <x:v>861.6</x:v>
      </x:c>
      <x:c r="H176" s="32" t="n">
        <x:v>35.1</x:v>
      </x:c>
      <x:c r="I176" s="32" t="n">
        <x:v>674.6</x:v>
      </x:c>
      <x:c r="J176" s="36" t="n">
        <x:v>0.783</x:v>
      </x:c>
    </x:row>
    <x:row r="177">
      <x:c r="A177" s="34" t="n">
        <x:v>45495</x:v>
      </x:c>
      <x:c r="B177" s="28" t="str">
        <x:v>Grupo Industrial S.A.</x:v>
      </x:c>
      <x:c r="C177" s="28" t="str">
        <x:v>Planta São Paulo</x:v>
      </x:c>
      <x:c r="D177" s="28" t="str">
        <x:v>Linha 2 - Montagem</x:v>
      </x:c>
      <x:c r="E177" s="28" t="str">
        <x:v>1º/2º/3º</x:v>
      </x:c>
      <x:c r="F177" s="32" t="n">
        <x:v>10</x:v>
      </x:c>
      <x:c r="G177" s="32" t="n">
        <x:v>1036.9</x:v>
      </x:c>
      <x:c r="H177" s="32" t="n">
        <x:v>39.4</x:v>
      </x:c>
      <x:c r="I177" s="32" t="n">
        <x:v>822.9</x:v>
      </x:c>
      <x:c r="J177" s="36" t="n">
        <x:v>0.7936</x:v>
      </x:c>
    </x:row>
    <x:row r="178">
      <x:c r="A178" s="34" t="n">
        <x:v>45495</x:v>
      </x:c>
      <x:c r="B178" s="28" t="str">
        <x:v>Grupo Industrial S.A.</x:v>
      </x:c>
      <x:c r="C178" s="28" t="str">
        <x:v>Planta Campinas</x:v>
      </x:c>
      <x:c r="D178" s="28" t="str">
        <x:v>Linha 3 - Extrusão</x:v>
      </x:c>
      <x:c r="E178" s="28" t="str">
        <x:v>1º/2º/3º</x:v>
      </x:c>
      <x:c r="F178" s="32" t="n">
        <x:v>9</x:v>
      </x:c>
      <x:c r="G178" s="32" t="n">
        <x:v>875.1</x:v>
      </x:c>
      <x:c r="H178" s="32" t="n">
        <x:v>66</x:v>
      </x:c>
      <x:c r="I178" s="32" t="n">
        <x:v>658.1</x:v>
      </x:c>
      <x:c r="J178" s="36" t="n">
        <x:v>0.7521</x:v>
      </x:c>
    </x:row>
    <x:row r="179">
      <x:c r="A179" s="34" t="n">
        <x:v>45495</x:v>
      </x:c>
      <x:c r="B179" s="28" t="str">
        <x:v>Grupo Industrial S.A.</x:v>
      </x:c>
      <x:c r="C179" s="28" t="str">
        <x:v>Planta Campinas</x:v>
      </x:c>
      <x:c r="D179" s="28" t="str">
        <x:v>Linha 4 - Embalagem</x:v>
      </x:c>
      <x:c r="E179" s="28" t="str">
        <x:v>1º/2º/3º</x:v>
      </x:c>
      <x:c r="F179" s="32" t="n">
        <x:v>11</x:v>
      </x:c>
      <x:c r="G179" s="32" t="n">
        <x:v>1035.8</x:v>
      </x:c>
      <x:c r="H179" s="32" t="n">
        <x:v>76.7</x:v>
      </x:c>
      <x:c r="I179" s="32" t="n">
        <x:v>746.5</x:v>
      </x:c>
      <x:c r="J179" s="36" t="n">
        <x:v>0.7207</x:v>
      </x:c>
    </x:row>
    <x:row r="180">
      <x:c r="A180" s="34" t="n">
        <x:v>45495</x:v>
      </x:c>
      <x:c r="B180" s="28" t="str">
        <x:v>Grupo Industrial S.A.</x:v>
      </x:c>
      <x:c r="C180" s="28" t="str">
        <x:v>Planta Curitiba</x:v>
      </x:c>
      <x:c r="D180" s="28" t="str">
        <x:v>Linha 5 - Usinagem</x:v>
      </x:c>
      <x:c r="E180" s="28" t="str">
        <x:v>1º/2º/3º</x:v>
      </x:c>
      <x:c r="F180" s="32" t="n">
        <x:v>9</x:v>
      </x:c>
      <x:c r="G180" s="32" t="n">
        <x:v>903.1</x:v>
      </x:c>
      <x:c r="H180" s="32" t="n">
        <x:v>47.3</x:v>
      </x:c>
      <x:c r="I180" s="32" t="n">
        <x:v>652.6</x:v>
      </x:c>
      <x:c r="J180" s="36" t="n">
        <x:v>0.7225</x:v>
      </x:c>
    </x:row>
    <x:row r="181">
      <x:c r="A181" s="34" t="n">
        <x:v>45495</x:v>
      </x:c>
      <x:c r="B181" s="28" t="str">
        <x:v>Grupo Industrial S.A.</x:v>
      </x:c>
      <x:c r="C181" s="28" t="str">
        <x:v>Planta Curitiba</x:v>
      </x:c>
      <x:c r="D181" s="28" t="str">
        <x:v>Linha 6 - Finalização</x:v>
      </x:c>
      <x:c r="E181" s="28" t="str">
        <x:v>1º/2º/3º</x:v>
      </x:c>
      <x:c r="F181" s="32" t="n">
        <x:v>12</x:v>
      </x:c>
      <x:c r="G181" s="32" t="n">
        <x:v>1240.6</x:v>
      </x:c>
      <x:c r="H181" s="32" t="n">
        <x:v>49.7</x:v>
      </x:c>
      <x:c r="I181" s="32" t="n">
        <x:v>835.5</x:v>
      </x:c>
      <x:c r="J181" s="36" t="n">
        <x:v>0.6735</x:v>
      </x:c>
    </x:row>
    <x:row r="182">
      <x:c r="A182" s="34" t="n">
        <x:v>45502</x:v>
      </x:c>
      <x:c r="B182" s="28" t="str">
        <x:v>Grupo Industrial S.A.</x:v>
      </x:c>
      <x:c r="C182" s="28" t="str">
        <x:v>Planta São Paulo</x:v>
      </x:c>
      <x:c r="D182" s="28" t="str">
        <x:v>Linha 1 - Corte</x:v>
      </x:c>
      <x:c r="E182" s="28" t="str">
        <x:v>1º/2º/3º</x:v>
      </x:c>
      <x:c r="F182" s="32" t="n">
        <x:v>8</x:v>
      </x:c>
      <x:c r="G182" s="32" t="n">
        <x:v>841.4</x:v>
      </x:c>
      <x:c r="H182" s="32" t="n">
        <x:v>37.6</x:v>
      </x:c>
      <x:c r="I182" s="32" t="n">
        <x:v>691</x:v>
      </x:c>
      <x:c r="J182" s="36" t="n">
        <x:v>0.8213</x:v>
      </x:c>
    </x:row>
    <x:row r="183">
      <x:c r="A183" s="34" t="n">
        <x:v>45502</x:v>
      </x:c>
      <x:c r="B183" s="28" t="str">
        <x:v>Grupo Industrial S.A.</x:v>
      </x:c>
      <x:c r="C183" s="28" t="str">
        <x:v>Planta São Paulo</x:v>
      </x:c>
      <x:c r="D183" s="28" t="str">
        <x:v>Linha 2 - Montagem</x:v>
      </x:c>
      <x:c r="E183" s="28" t="str">
        <x:v>1º/2º/3º</x:v>
      </x:c>
      <x:c r="F183" s="32" t="n">
        <x:v>10</x:v>
      </x:c>
      <x:c r="G183" s="32" t="n">
        <x:v>1034.2</x:v>
      </x:c>
      <x:c r="H183" s="32" t="n">
        <x:v>57.5</x:v>
      </x:c>
      <x:c r="I183" s="32" t="n">
        <x:v>858.7</x:v>
      </x:c>
      <x:c r="J183" s="36" t="n">
        <x:v>0.8304</x:v>
      </x:c>
    </x:row>
    <x:row r="184">
      <x:c r="A184" s="34" t="n">
        <x:v>45502</x:v>
      </x:c>
      <x:c r="B184" s="28" t="str">
        <x:v>Grupo Industrial S.A.</x:v>
      </x:c>
      <x:c r="C184" s="28" t="str">
        <x:v>Planta Campinas</x:v>
      </x:c>
      <x:c r="D184" s="28" t="str">
        <x:v>Linha 3 - Extrusão</x:v>
      </x:c>
      <x:c r="E184" s="28" t="str">
        <x:v>1º/2º/3º</x:v>
      </x:c>
      <x:c r="F184" s="32" t="n">
        <x:v>9</x:v>
      </x:c>
      <x:c r="G184" s="32" t="n">
        <x:v>876.3</x:v>
      </x:c>
      <x:c r="H184" s="32" t="n">
        <x:v>63.2</x:v>
      </x:c>
      <x:c r="I184" s="32" t="n">
        <x:v>600.3</x:v>
      </x:c>
      <x:c r="J184" s="36" t="n">
        <x:v>0.685</x:v>
      </x:c>
    </x:row>
    <x:row r="185">
      <x:c r="A185" s="34" t="n">
        <x:v>45502</x:v>
      </x:c>
      <x:c r="B185" s="28" t="str">
        <x:v>Grupo Industrial S.A.</x:v>
      </x:c>
      <x:c r="C185" s="28" t="str">
        <x:v>Planta Campinas</x:v>
      </x:c>
      <x:c r="D185" s="28" t="str">
        <x:v>Linha 4 - Embalagem</x:v>
      </x:c>
      <x:c r="E185" s="28" t="str">
        <x:v>1º/2º/3º</x:v>
      </x:c>
      <x:c r="F185" s="32" t="n">
        <x:v>11</x:v>
      </x:c>
      <x:c r="G185" s="32" t="n">
        <x:v>1036.9</x:v>
      </x:c>
      <x:c r="H185" s="32" t="n">
        <x:v>65.2</x:v>
      </x:c>
      <x:c r="I185" s="32" t="n">
        <x:v>707.7</x:v>
      </x:c>
      <x:c r="J185" s="36" t="n">
        <x:v>0.6826</x:v>
      </x:c>
    </x:row>
    <x:row r="186">
      <x:c r="A186" s="34" t="n">
        <x:v>45502</x:v>
      </x:c>
      <x:c r="B186" s="28" t="str">
        <x:v>Grupo Industrial S.A.</x:v>
      </x:c>
      <x:c r="C186" s="28" t="str">
        <x:v>Planta Curitiba</x:v>
      </x:c>
      <x:c r="D186" s="28" t="str">
        <x:v>Linha 5 - Usinagem</x:v>
      </x:c>
      <x:c r="E186" s="28" t="str">
        <x:v>1º/2º/3º</x:v>
      </x:c>
      <x:c r="F186" s="32" t="n">
        <x:v>9</x:v>
      </x:c>
      <x:c r="G186" s="32" t="n">
        <x:v>923.4</x:v>
      </x:c>
      <x:c r="H186" s="32" t="n">
        <x:v>42.8</x:v>
      </x:c>
      <x:c r="I186" s="32" t="n">
        <x:v>637.3</x:v>
      </x:c>
      <x:c r="J186" s="36" t="n">
        <x:v>0.6902</x:v>
      </x:c>
    </x:row>
    <x:row r="187">
      <x:c r="A187" s="34" t="n">
        <x:v>45502</x:v>
      </x:c>
      <x:c r="B187" s="28" t="str">
        <x:v>Grupo Industrial S.A.</x:v>
      </x:c>
      <x:c r="C187" s="28" t="str">
        <x:v>Planta Curitiba</x:v>
      </x:c>
      <x:c r="D187" s="28" t="str">
        <x:v>Linha 6 - Finalização</x:v>
      </x:c>
      <x:c r="E187" s="28" t="str">
        <x:v>1º/2º/3º</x:v>
      </x:c>
      <x:c r="F187" s="32" t="n">
        <x:v>12</x:v>
      </x:c>
      <x:c r="G187" s="32" t="n">
        <x:v>1228</x:v>
      </x:c>
      <x:c r="H187" s="32" t="n">
        <x:v>48.4</x:v>
      </x:c>
      <x:c r="I187" s="32" t="n">
        <x:v>890.7</x:v>
      </x:c>
      <x:c r="J187" s="36" t="n">
        <x:v>0.7254</x:v>
      </x:c>
    </x:row>
    <x:row r="188">
      <x:c r="A188" s="34" t="n">
        <x:v>45509</x:v>
      </x:c>
      <x:c r="B188" s="28" t="str">
        <x:v>Grupo Industrial S.A.</x:v>
      </x:c>
      <x:c r="C188" s="28" t="str">
        <x:v>Planta São Paulo</x:v>
      </x:c>
      <x:c r="D188" s="28" t="str">
        <x:v>Linha 1 - Corte</x:v>
      </x:c>
      <x:c r="E188" s="28" t="str">
        <x:v>1º/2º/3º</x:v>
      </x:c>
      <x:c r="F188" s="32" t="n">
        <x:v>8</x:v>
      </x:c>
      <x:c r="G188" s="32" t="n">
        <x:v>862</x:v>
      </x:c>
      <x:c r="H188" s="32" t="n">
        <x:v>54.3</x:v>
      </x:c>
      <x:c r="I188" s="32" t="n">
        <x:v>724.3</x:v>
      </x:c>
      <x:c r="J188" s="36" t="n">
        <x:v>0.8403</x:v>
      </x:c>
    </x:row>
    <x:row r="189">
      <x:c r="A189" s="34" t="n">
        <x:v>45509</x:v>
      </x:c>
      <x:c r="B189" s="28" t="str">
        <x:v>Grupo Industrial S.A.</x:v>
      </x:c>
      <x:c r="C189" s="28" t="str">
        <x:v>Planta São Paulo</x:v>
      </x:c>
      <x:c r="D189" s="28" t="str">
        <x:v>Linha 2 - Montagem</x:v>
      </x:c>
      <x:c r="E189" s="28" t="str">
        <x:v>1º/2º/3º</x:v>
      </x:c>
      <x:c r="F189" s="32" t="n">
        <x:v>10</x:v>
      </x:c>
      <x:c r="G189" s="32" t="n">
        <x:v>1064.7</x:v>
      </x:c>
      <x:c r="H189" s="32" t="n">
        <x:v>52.4</x:v>
      </x:c>
      <x:c r="I189" s="32" t="n">
        <x:v>858.6</x:v>
      </x:c>
      <x:c r="J189" s="36" t="n">
        <x:v>0.8064</x:v>
      </x:c>
    </x:row>
    <x:row r="190">
      <x:c r="A190" s="34" t="n">
        <x:v>45509</x:v>
      </x:c>
      <x:c r="B190" s="28" t="str">
        <x:v>Grupo Industrial S.A.</x:v>
      </x:c>
      <x:c r="C190" s="28" t="str">
        <x:v>Planta Campinas</x:v>
      </x:c>
      <x:c r="D190" s="28" t="str">
        <x:v>Linha 3 - Extrusão</x:v>
      </x:c>
      <x:c r="E190" s="28" t="str">
        <x:v>1º/2º/3º</x:v>
      </x:c>
      <x:c r="F190" s="32" t="n">
        <x:v>9</x:v>
      </x:c>
      <x:c r="G190" s="32" t="n">
        <x:v>879.9</x:v>
      </x:c>
      <x:c r="H190" s="32" t="n">
        <x:v>55.5</x:v>
      </x:c>
      <x:c r="I190" s="32" t="n">
        <x:v>652.3</x:v>
      </x:c>
      <x:c r="J190" s="36" t="n">
        <x:v>0.7413</x:v>
      </x:c>
    </x:row>
    <x:row r="191">
      <x:c r="A191" s="34" t="n">
        <x:v>45509</x:v>
      </x:c>
      <x:c r="B191" s="28" t="str">
        <x:v>Grupo Industrial S.A.</x:v>
      </x:c>
      <x:c r="C191" s="28" t="str">
        <x:v>Planta Campinas</x:v>
      </x:c>
      <x:c r="D191" s="28" t="str">
        <x:v>Linha 4 - Embalagem</x:v>
      </x:c>
      <x:c r="E191" s="28" t="str">
        <x:v>1º/2º/3º</x:v>
      </x:c>
      <x:c r="F191" s="32" t="n">
        <x:v>11</x:v>
      </x:c>
      <x:c r="G191" s="32" t="n">
        <x:v>1095.6</x:v>
      </x:c>
      <x:c r="H191" s="32" t="n">
        <x:v>88</x:v>
      </x:c>
      <x:c r="I191" s="32" t="n">
        <x:v>729.1</x:v>
      </x:c>
      <x:c r="J191" s="36" t="n">
        <x:v>0.6654</x:v>
      </x:c>
    </x:row>
    <x:row r="192">
      <x:c r="A192" s="34" t="n">
        <x:v>45509</x:v>
      </x:c>
      <x:c r="B192" s="28" t="str">
        <x:v>Grupo Industrial S.A.</x:v>
      </x:c>
      <x:c r="C192" s="28" t="str">
        <x:v>Planta Curitiba</x:v>
      </x:c>
      <x:c r="D192" s="28" t="str">
        <x:v>Linha 5 - Usinagem</x:v>
      </x:c>
      <x:c r="E192" s="28" t="str">
        <x:v>1º/2º/3º</x:v>
      </x:c>
      <x:c r="F192" s="32" t="n">
        <x:v>9</x:v>
      </x:c>
      <x:c r="G192" s="32" t="n">
        <x:v>931.7</x:v>
      </x:c>
      <x:c r="H192" s="32" t="n">
        <x:v>52.8</x:v>
      </x:c>
      <x:c r="I192" s="32" t="n">
        <x:v>684.5</x:v>
      </x:c>
      <x:c r="J192" s="36" t="n">
        <x:v>0.7347</x:v>
      </x:c>
    </x:row>
    <x:row r="193">
      <x:c r="A193" s="34" t="n">
        <x:v>45509</x:v>
      </x:c>
      <x:c r="B193" s="28" t="str">
        <x:v>Grupo Industrial S.A.</x:v>
      </x:c>
      <x:c r="C193" s="28" t="str">
        <x:v>Planta Curitiba</x:v>
      </x:c>
      <x:c r="D193" s="28" t="str">
        <x:v>Linha 6 - Finalização</x:v>
      </x:c>
      <x:c r="E193" s="28" t="str">
        <x:v>1º/2º/3º</x:v>
      </x:c>
      <x:c r="F193" s="32" t="n">
        <x:v>12</x:v>
      </x:c>
      <x:c r="G193" s="32" t="n">
        <x:v>1187.9</x:v>
      </x:c>
      <x:c r="H193" s="32" t="n">
        <x:v>77.1</x:v>
      </x:c>
      <x:c r="I193" s="32" t="n">
        <x:v>937.8</x:v>
      </x:c>
      <x:c r="J193" s="36" t="n">
        <x:v>0.7894</x:v>
      </x:c>
    </x:row>
    <x:row r="194">
      <x:c r="A194" s="34" t="n">
        <x:v>45516</x:v>
      </x:c>
      <x:c r="B194" s="28" t="str">
        <x:v>Grupo Industrial S.A.</x:v>
      </x:c>
      <x:c r="C194" s="28" t="str">
        <x:v>Planta São Paulo</x:v>
      </x:c>
      <x:c r="D194" s="28" t="str">
        <x:v>Linha 1 - Corte</x:v>
      </x:c>
      <x:c r="E194" s="28" t="str">
        <x:v>1º/2º/3º</x:v>
      </x:c>
      <x:c r="F194" s="32" t="n">
        <x:v>8</x:v>
      </x:c>
      <x:c r="G194" s="32" t="n">
        <x:v>827.1</x:v>
      </x:c>
      <x:c r="H194" s="32" t="n">
        <x:v>47.4</x:v>
      </x:c>
      <x:c r="I194" s="32" t="n">
        <x:v>730.4</x:v>
      </x:c>
      <x:c r="J194" s="36" t="n">
        <x:v>0.8831</x:v>
      </x:c>
    </x:row>
    <x:row r="195">
      <x:c r="A195" s="34" t="n">
        <x:v>45516</x:v>
      </x:c>
      <x:c r="B195" s="28" t="str">
        <x:v>Grupo Industrial S.A.</x:v>
      </x:c>
      <x:c r="C195" s="28" t="str">
        <x:v>Planta São Paulo</x:v>
      </x:c>
      <x:c r="D195" s="28" t="str">
        <x:v>Linha 2 - Montagem</x:v>
      </x:c>
      <x:c r="E195" s="28" t="str">
        <x:v>1º/2º/3º</x:v>
      </x:c>
      <x:c r="F195" s="32" t="n">
        <x:v>10</x:v>
      </x:c>
      <x:c r="G195" s="32" t="n">
        <x:v>1030.2</x:v>
      </x:c>
      <x:c r="H195" s="32" t="n">
        <x:v>63.1</x:v>
      </x:c>
      <x:c r="I195" s="32" t="n">
        <x:v>867.2</x:v>
      </x:c>
      <x:c r="J195" s="36" t="n">
        <x:v>0.8418</x:v>
      </x:c>
    </x:row>
    <x:row r="196">
      <x:c r="A196" s="34" t="n">
        <x:v>45516</x:v>
      </x:c>
      <x:c r="B196" s="28" t="str">
        <x:v>Grupo Industrial S.A.</x:v>
      </x:c>
      <x:c r="C196" s="28" t="str">
        <x:v>Planta Campinas</x:v>
      </x:c>
      <x:c r="D196" s="28" t="str">
        <x:v>Linha 3 - Extrusão</x:v>
      </x:c>
      <x:c r="E196" s="28" t="str">
        <x:v>1º/2º/3º</x:v>
      </x:c>
      <x:c r="F196" s="32" t="n">
        <x:v>9</x:v>
      </x:c>
      <x:c r="G196" s="32" t="n">
        <x:v>894</x:v>
      </x:c>
      <x:c r="H196" s="32" t="n">
        <x:v>57.2</x:v>
      </x:c>
      <x:c r="I196" s="32" t="n">
        <x:v>626.8</x:v>
      </x:c>
      <x:c r="J196" s="36" t="n">
        <x:v>0.7011</x:v>
      </x:c>
    </x:row>
    <x:row r="197">
      <x:c r="A197" s="34" t="n">
        <x:v>45516</x:v>
      </x:c>
      <x:c r="B197" s="28" t="str">
        <x:v>Grupo Industrial S.A.</x:v>
      </x:c>
      <x:c r="C197" s="28" t="str">
        <x:v>Planta Campinas</x:v>
      </x:c>
      <x:c r="D197" s="28" t="str">
        <x:v>Linha 4 - Embalagem</x:v>
      </x:c>
      <x:c r="E197" s="28" t="str">
        <x:v>1º/2º/3º</x:v>
      </x:c>
      <x:c r="F197" s="32" t="n">
        <x:v>11</x:v>
      </x:c>
      <x:c r="G197" s="32" t="n">
        <x:v>1080.5</x:v>
      </x:c>
      <x:c r="H197" s="32" t="n">
        <x:v>66</x:v>
      </x:c>
      <x:c r="I197" s="32" t="n">
        <x:v>790.2</x:v>
      </x:c>
      <x:c r="J197" s="36" t="n">
        <x:v>0.7314</x:v>
      </x:c>
    </x:row>
    <x:row r="198">
      <x:c r="A198" s="34" t="n">
        <x:v>45516</x:v>
      </x:c>
      <x:c r="B198" s="28" t="str">
        <x:v>Grupo Industrial S.A.</x:v>
      </x:c>
      <x:c r="C198" s="28" t="str">
        <x:v>Planta Curitiba</x:v>
      </x:c>
      <x:c r="D198" s="28" t="str">
        <x:v>Linha 5 - Usinagem</x:v>
      </x:c>
      <x:c r="E198" s="28" t="str">
        <x:v>1º/2º/3º</x:v>
      </x:c>
      <x:c r="F198" s="32" t="n">
        <x:v>9</x:v>
      </x:c>
      <x:c r="G198" s="32" t="n">
        <x:v>899.4</x:v>
      </x:c>
      <x:c r="H198" s="32" t="n">
        <x:v>56.7</x:v>
      </x:c>
      <x:c r="I198" s="32" t="n">
        <x:v>636.3</x:v>
      </x:c>
      <x:c r="J198" s="36" t="n">
        <x:v>0.7075</x:v>
      </x:c>
    </x:row>
    <x:row r="199">
      <x:c r="A199" s="34" t="n">
        <x:v>45516</x:v>
      </x:c>
      <x:c r="B199" s="28" t="str">
        <x:v>Grupo Industrial S.A.</x:v>
      </x:c>
      <x:c r="C199" s="28" t="str">
        <x:v>Planta Curitiba</x:v>
      </x:c>
      <x:c r="D199" s="28" t="str">
        <x:v>Linha 6 - Finalização</x:v>
      </x:c>
      <x:c r="E199" s="28" t="str">
        <x:v>1º/2º/3º</x:v>
      </x:c>
      <x:c r="F199" s="32" t="n">
        <x:v>12</x:v>
      </x:c>
      <x:c r="G199" s="32" t="n">
        <x:v>1188.5</x:v>
      </x:c>
      <x:c r="H199" s="32" t="n">
        <x:v>55.4</x:v>
      </x:c>
      <x:c r="I199" s="32" t="n">
        <x:v>904.8</x:v>
      </x:c>
      <x:c r="J199" s="36" t="n">
        <x:v>0.7612</x:v>
      </x:c>
    </x:row>
    <x:row r="200">
      <x:c r="A200" s="34" t="n">
        <x:v>45523</x:v>
      </x:c>
      <x:c r="B200" s="28" t="str">
        <x:v>Grupo Industrial S.A.</x:v>
      </x:c>
      <x:c r="C200" s="28" t="str">
        <x:v>Planta São Paulo</x:v>
      </x:c>
      <x:c r="D200" s="28" t="str">
        <x:v>Linha 1 - Corte</x:v>
      </x:c>
      <x:c r="E200" s="28" t="str">
        <x:v>1º/2º/3º</x:v>
      </x:c>
      <x:c r="F200" s="32" t="n">
        <x:v>8</x:v>
      </x:c>
      <x:c r="G200" s="32" t="n">
        <x:v>851.2</x:v>
      </x:c>
      <x:c r="H200" s="32" t="n">
        <x:v>33.6</x:v>
      </x:c>
      <x:c r="I200" s="32" t="n">
        <x:v>740.1</x:v>
      </x:c>
      <x:c r="J200" s="36" t="n">
        <x:v>0.8694</x:v>
      </x:c>
    </x:row>
    <x:row r="201">
      <x:c r="A201" s="34" t="n">
        <x:v>45523</x:v>
      </x:c>
      <x:c r="B201" s="28" t="str">
        <x:v>Grupo Industrial S.A.</x:v>
      </x:c>
      <x:c r="C201" s="28" t="str">
        <x:v>Planta São Paulo</x:v>
      </x:c>
      <x:c r="D201" s="28" t="str">
        <x:v>Linha 2 - Montagem</x:v>
      </x:c>
      <x:c r="E201" s="28" t="str">
        <x:v>1º/2º/3º</x:v>
      </x:c>
      <x:c r="F201" s="32" t="n">
        <x:v>10</x:v>
      </x:c>
      <x:c r="G201" s="32" t="n">
        <x:v>1024.4</x:v>
      </x:c>
      <x:c r="H201" s="32" t="n">
        <x:v>53.2</x:v>
      </x:c>
      <x:c r="I201" s="32" t="n">
        <x:v>831</x:v>
      </x:c>
      <x:c r="J201" s="36" t="n">
        <x:v>0.8112</x:v>
      </x:c>
    </x:row>
    <x:row r="202">
      <x:c r="A202" s="34" t="n">
        <x:v>45523</x:v>
      </x:c>
      <x:c r="B202" s="28" t="str">
        <x:v>Grupo Industrial S.A.</x:v>
      </x:c>
      <x:c r="C202" s="28" t="str">
        <x:v>Planta Campinas</x:v>
      </x:c>
      <x:c r="D202" s="28" t="str">
        <x:v>Linha 3 - Extrusão</x:v>
      </x:c>
      <x:c r="E202" s="28" t="str">
        <x:v>1º/2º/3º</x:v>
      </x:c>
      <x:c r="F202" s="32" t="n">
        <x:v>9</x:v>
      </x:c>
      <x:c r="G202" s="32" t="n">
        <x:v>849.9</x:v>
      </x:c>
      <x:c r="H202" s="32" t="n">
        <x:v>68.6</x:v>
      </x:c>
      <x:c r="I202" s="32" t="n">
        <x:v>656.9</x:v>
      </x:c>
      <x:c r="J202" s="36" t="n">
        <x:v>0.773</x:v>
      </x:c>
    </x:row>
    <x:row r="203">
      <x:c r="A203" s="34" t="n">
        <x:v>45523</x:v>
      </x:c>
      <x:c r="B203" s="28" t="str">
        <x:v>Grupo Industrial S.A.</x:v>
      </x:c>
      <x:c r="C203" s="28" t="str">
        <x:v>Planta Campinas</x:v>
      </x:c>
      <x:c r="D203" s="28" t="str">
        <x:v>Linha 4 - Embalagem</x:v>
      </x:c>
      <x:c r="E203" s="28" t="str">
        <x:v>1º/2º/3º</x:v>
      </x:c>
      <x:c r="F203" s="32" t="n">
        <x:v>11</x:v>
      </x:c>
      <x:c r="G203" s="32" t="n">
        <x:v>1045</x:v>
      </x:c>
      <x:c r="H203" s="32" t="n">
        <x:v>74.5</x:v>
      </x:c>
      <x:c r="I203" s="32" t="n">
        <x:v>790</x:v>
      </x:c>
      <x:c r="J203" s="36" t="n">
        <x:v>0.756</x:v>
      </x:c>
    </x:row>
    <x:row r="204">
      <x:c r="A204" s="34" t="n">
        <x:v>45523</x:v>
      </x:c>
      <x:c r="B204" s="28" t="str">
        <x:v>Grupo Industrial S.A.</x:v>
      </x:c>
      <x:c r="C204" s="28" t="str">
        <x:v>Planta Curitiba</x:v>
      </x:c>
      <x:c r="D204" s="28" t="str">
        <x:v>Linha 5 - Usinagem</x:v>
      </x:c>
      <x:c r="E204" s="28" t="str">
        <x:v>1º/2º/3º</x:v>
      </x:c>
      <x:c r="F204" s="32" t="n">
        <x:v>9</x:v>
      </x:c>
      <x:c r="G204" s="32" t="n">
        <x:v>893.1</x:v>
      </x:c>
      <x:c r="H204" s="32" t="n">
        <x:v>48.6</x:v>
      </x:c>
      <x:c r="I204" s="32" t="n">
        <x:v>666.9</x:v>
      </x:c>
      <x:c r="J204" s="36" t="n">
        <x:v>0.7467</x:v>
      </x:c>
    </x:row>
    <x:row r="205">
      <x:c r="A205" s="34" t="n">
        <x:v>45523</x:v>
      </x:c>
      <x:c r="B205" s="28" t="str">
        <x:v>Grupo Industrial S.A.</x:v>
      </x:c>
      <x:c r="C205" s="28" t="str">
        <x:v>Planta Curitiba</x:v>
      </x:c>
      <x:c r="D205" s="28" t="str">
        <x:v>Linha 6 - Finalização</x:v>
      </x:c>
      <x:c r="E205" s="28" t="str">
        <x:v>1º/2º/3º</x:v>
      </x:c>
      <x:c r="F205" s="32" t="n">
        <x:v>12</x:v>
      </x:c>
      <x:c r="G205" s="32" t="n">
        <x:v>1235.6</x:v>
      </x:c>
      <x:c r="H205" s="32" t="n">
        <x:v>53.7</x:v>
      </x:c>
      <x:c r="I205" s="32" t="n">
        <x:v>917.2</x:v>
      </x:c>
      <x:c r="J205" s="36" t="n">
        <x:v>0.7424</x:v>
      </x:c>
    </x:row>
    <x:row r="206">
      <x:c r="A206" s="34" t="n">
        <x:v>45530</x:v>
      </x:c>
      <x:c r="B206" s="28" t="str">
        <x:v>Grupo Industrial S.A.</x:v>
      </x:c>
      <x:c r="C206" s="28" t="str">
        <x:v>Planta São Paulo</x:v>
      </x:c>
      <x:c r="D206" s="28" t="str">
        <x:v>Linha 1 - Corte</x:v>
      </x:c>
      <x:c r="E206" s="28" t="str">
        <x:v>1º/2º/3º</x:v>
      </x:c>
      <x:c r="F206" s="32" t="n">
        <x:v>8</x:v>
      </x:c>
      <x:c r="G206" s="32" t="n">
        <x:v>822.8</x:v>
      </x:c>
      <x:c r="H206" s="32" t="n">
        <x:v>52.9</x:v>
      </x:c>
      <x:c r="I206" s="32" t="n">
        <x:v>728.7</x:v>
      </x:c>
      <x:c r="J206" s="36" t="n">
        <x:v>0.8856</x:v>
      </x:c>
    </x:row>
    <x:row r="207">
      <x:c r="A207" s="34" t="n">
        <x:v>45530</x:v>
      </x:c>
      <x:c r="B207" s="28" t="str">
        <x:v>Grupo Industrial S.A.</x:v>
      </x:c>
      <x:c r="C207" s="28" t="str">
        <x:v>Planta São Paulo</x:v>
      </x:c>
      <x:c r="D207" s="28" t="str">
        <x:v>Linha 2 - Montagem</x:v>
      </x:c>
      <x:c r="E207" s="28" t="str">
        <x:v>1º/2º/3º</x:v>
      </x:c>
      <x:c r="F207" s="32" t="n">
        <x:v>10</x:v>
      </x:c>
      <x:c r="G207" s="32" t="n">
        <x:v>1060</x:v>
      </x:c>
      <x:c r="H207" s="32" t="n">
        <x:v>64.1</x:v>
      </x:c>
      <x:c r="I207" s="32" t="n">
        <x:v>791.4</x:v>
      </x:c>
      <x:c r="J207" s="36" t="n">
        <x:v>0.7466</x:v>
      </x:c>
    </x:row>
    <x:row r="208">
      <x:c r="A208" s="34" t="n">
        <x:v>45530</x:v>
      </x:c>
      <x:c r="B208" s="28" t="str">
        <x:v>Grupo Industrial S.A.</x:v>
      </x:c>
      <x:c r="C208" s="28" t="str">
        <x:v>Planta Campinas</x:v>
      </x:c>
      <x:c r="D208" s="28" t="str">
        <x:v>Linha 3 - Extrusão</x:v>
      </x:c>
      <x:c r="E208" s="28" t="str">
        <x:v>1º/2º/3º</x:v>
      </x:c>
      <x:c r="F208" s="32" t="n">
        <x:v>9</x:v>
      </x:c>
      <x:c r="G208" s="32" t="n">
        <x:v>864.7</x:v>
      </x:c>
      <x:c r="H208" s="32" t="n">
        <x:v>53.3</x:v>
      </x:c>
      <x:c r="I208" s="32" t="n">
        <x:v>606.6</x:v>
      </x:c>
      <x:c r="J208" s="36" t="n">
        <x:v>0.7015</x:v>
      </x:c>
    </x:row>
    <x:row r="209">
      <x:c r="A209" s="34" t="n">
        <x:v>45530</x:v>
      </x:c>
      <x:c r="B209" s="28" t="str">
        <x:v>Grupo Industrial S.A.</x:v>
      </x:c>
      <x:c r="C209" s="28" t="str">
        <x:v>Planta Campinas</x:v>
      </x:c>
      <x:c r="D209" s="28" t="str">
        <x:v>Linha 4 - Embalagem</x:v>
      </x:c>
      <x:c r="E209" s="28" t="str">
        <x:v>1º/2º/3º</x:v>
      </x:c>
      <x:c r="F209" s="32" t="n">
        <x:v>11</x:v>
      </x:c>
      <x:c r="G209" s="32" t="n">
        <x:v>1083.5</x:v>
      </x:c>
      <x:c r="H209" s="32" t="n">
        <x:v>75.6</x:v>
      </x:c>
      <x:c r="I209" s="32" t="n">
        <x:v>749.5</x:v>
      </x:c>
      <x:c r="J209" s="36" t="n">
        <x:v>0.6918</x:v>
      </x:c>
    </x:row>
    <x:row r="210">
      <x:c r="A210" s="34" t="n">
        <x:v>45530</x:v>
      </x:c>
      <x:c r="B210" s="28" t="str">
        <x:v>Grupo Industrial S.A.</x:v>
      </x:c>
      <x:c r="C210" s="28" t="str">
        <x:v>Planta Curitiba</x:v>
      </x:c>
      <x:c r="D210" s="28" t="str">
        <x:v>Linha 5 - Usinagem</x:v>
      </x:c>
      <x:c r="E210" s="28" t="str">
        <x:v>1º/2º/3º</x:v>
      </x:c>
      <x:c r="F210" s="32" t="n">
        <x:v>9</x:v>
      </x:c>
      <x:c r="G210" s="32" t="n">
        <x:v>917.1</x:v>
      </x:c>
      <x:c r="H210" s="32" t="n">
        <x:v>38.5</x:v>
      </x:c>
      <x:c r="I210" s="32" t="n">
        <x:v>658</x:v>
      </x:c>
      <x:c r="J210" s="36" t="n">
        <x:v>0.7175</x:v>
      </x:c>
    </x:row>
    <x:row r="211">
      <x:c r="A211" s="34" t="n">
        <x:v>45530</x:v>
      </x:c>
      <x:c r="B211" s="28" t="str">
        <x:v>Grupo Industrial S.A.</x:v>
      </x:c>
      <x:c r="C211" s="28" t="str">
        <x:v>Planta Curitiba</x:v>
      </x:c>
      <x:c r="D211" s="28" t="str">
        <x:v>Linha 6 - Finalização</x:v>
      </x:c>
      <x:c r="E211" s="28" t="str">
        <x:v>1º/2º/3º</x:v>
      </x:c>
      <x:c r="F211" s="32" t="n">
        <x:v>12</x:v>
      </x:c>
      <x:c r="G211" s="32" t="n">
        <x:v>1223.3</x:v>
      </x:c>
      <x:c r="H211" s="32" t="n">
        <x:v>54.7</x:v>
      </x:c>
      <x:c r="I211" s="32" t="n">
        <x:v>917</x:v>
      </x:c>
      <x:c r="J211" s="36" t="n">
        <x:v>0.7496</x:v>
      </x:c>
    </x:row>
    <x:row r="212">
      <x:c r="A212" s="34" t="n">
        <x:v>45537</x:v>
      </x:c>
      <x:c r="B212" s="28" t="str">
        <x:v>Grupo Industrial S.A.</x:v>
      </x:c>
      <x:c r="C212" s="28" t="str">
        <x:v>Planta São Paulo</x:v>
      </x:c>
      <x:c r="D212" s="28" t="str">
        <x:v>Linha 1 - Corte</x:v>
      </x:c>
      <x:c r="E212" s="28" t="str">
        <x:v>1º/2º/3º</x:v>
      </x:c>
      <x:c r="F212" s="32" t="n">
        <x:v>8</x:v>
      </x:c>
      <x:c r="G212" s="32" t="n">
        <x:v>823</x:v>
      </x:c>
      <x:c r="H212" s="32" t="n">
        <x:v>31.6</x:v>
      </x:c>
      <x:c r="I212" s="32" t="n">
        <x:v>754.4</x:v>
      </x:c>
      <x:c r="J212" s="36" t="n">
        <x:v>0.9166</x:v>
      </x:c>
    </x:row>
    <x:row r="213">
      <x:c r="A213" s="34" t="n">
        <x:v>45537</x:v>
      </x:c>
      <x:c r="B213" s="28" t="str">
        <x:v>Grupo Industrial S.A.</x:v>
      </x:c>
      <x:c r="C213" s="28" t="str">
        <x:v>Planta São Paulo</x:v>
      </x:c>
      <x:c r="D213" s="28" t="str">
        <x:v>Linha 2 - Montagem</x:v>
      </x:c>
      <x:c r="E213" s="28" t="str">
        <x:v>1º/2º/3º</x:v>
      </x:c>
      <x:c r="F213" s="32" t="n">
        <x:v>10</x:v>
      </x:c>
      <x:c r="G213" s="32" t="n">
        <x:v>1074</x:v>
      </x:c>
      <x:c r="H213" s="32" t="n">
        <x:v>67.8</x:v>
      </x:c>
      <x:c r="I213" s="32" t="n">
        <x:v>830.8</x:v>
      </x:c>
      <x:c r="J213" s="36" t="n">
        <x:v>0.7735</x:v>
      </x:c>
    </x:row>
    <x:row r="214">
      <x:c r="A214" s="34" t="n">
        <x:v>45537</x:v>
      </x:c>
      <x:c r="B214" s="28" t="str">
        <x:v>Grupo Industrial S.A.</x:v>
      </x:c>
      <x:c r="C214" s="28" t="str">
        <x:v>Planta Campinas</x:v>
      </x:c>
      <x:c r="D214" s="28" t="str">
        <x:v>Linha 3 - Extrusão</x:v>
      </x:c>
      <x:c r="E214" s="28" t="str">
        <x:v>1º/2º/3º</x:v>
      </x:c>
      <x:c r="F214" s="32" t="n">
        <x:v>9</x:v>
      </x:c>
      <x:c r="G214" s="32" t="n">
        <x:v>871.3</x:v>
      </x:c>
      <x:c r="H214" s="32" t="n">
        <x:v>49.3</x:v>
      </x:c>
      <x:c r="I214" s="32" t="n">
        <x:v>622.9</x:v>
      </x:c>
      <x:c r="J214" s="36" t="n">
        <x:v>0.715</x:v>
      </x:c>
    </x:row>
    <x:row r="215">
      <x:c r="A215" s="34" t="n">
        <x:v>45537</x:v>
      </x:c>
      <x:c r="B215" s="28" t="str">
        <x:v>Grupo Industrial S.A.</x:v>
      </x:c>
      <x:c r="C215" s="28" t="str">
        <x:v>Planta Campinas</x:v>
      </x:c>
      <x:c r="D215" s="28" t="str">
        <x:v>Linha 4 - Embalagem</x:v>
      </x:c>
      <x:c r="E215" s="28" t="str">
        <x:v>1º/2º/3º</x:v>
      </x:c>
      <x:c r="F215" s="32" t="n">
        <x:v>11</x:v>
      </x:c>
      <x:c r="G215" s="32" t="n">
        <x:v>1081.2</x:v>
      </x:c>
      <x:c r="H215" s="32" t="n">
        <x:v>78.1</x:v>
      </x:c>
      <x:c r="I215" s="32" t="n">
        <x:v>746.9</x:v>
      </x:c>
      <x:c r="J215" s="36" t="n">
        <x:v>0.6908</x:v>
      </x:c>
    </x:row>
    <x:row r="216">
      <x:c r="A216" s="34" t="n">
        <x:v>45537</x:v>
      </x:c>
      <x:c r="B216" s="28" t="str">
        <x:v>Grupo Industrial S.A.</x:v>
      </x:c>
      <x:c r="C216" s="28" t="str">
        <x:v>Planta Curitiba</x:v>
      </x:c>
      <x:c r="D216" s="28" t="str">
        <x:v>Linha 5 - Usinagem</x:v>
      </x:c>
      <x:c r="E216" s="28" t="str">
        <x:v>1º/2º/3º</x:v>
      </x:c>
      <x:c r="F216" s="32" t="n">
        <x:v>9</x:v>
      </x:c>
      <x:c r="G216" s="32" t="n">
        <x:v>929.8</x:v>
      </x:c>
      <x:c r="H216" s="32" t="n">
        <x:v>59</x:v>
      </x:c>
      <x:c r="I216" s="32" t="n">
        <x:v>656.9</x:v>
      </x:c>
      <x:c r="J216" s="36" t="n">
        <x:v>0.7065</x:v>
      </x:c>
    </x:row>
    <x:row r="217">
      <x:c r="A217" s="34" t="n">
        <x:v>45537</x:v>
      </x:c>
      <x:c r="B217" s="28" t="str">
        <x:v>Grupo Industrial S.A.</x:v>
      </x:c>
      <x:c r="C217" s="28" t="str">
        <x:v>Planta Curitiba</x:v>
      </x:c>
      <x:c r="D217" s="28" t="str">
        <x:v>Linha 6 - Finalização</x:v>
      </x:c>
      <x:c r="E217" s="28" t="str">
        <x:v>1º/2º/3º</x:v>
      </x:c>
      <x:c r="F217" s="32" t="n">
        <x:v>12</x:v>
      </x:c>
      <x:c r="G217" s="32" t="n">
        <x:v>1184.4</x:v>
      </x:c>
      <x:c r="H217" s="32" t="n">
        <x:v>53.3</x:v>
      </x:c>
      <x:c r="I217" s="32" t="n">
        <x:v>902</x:v>
      </x:c>
      <x:c r="J217" s="36" t="n">
        <x:v>0.7616</x:v>
      </x:c>
    </x:row>
    <x:row r="218">
      <x:c r="A218" s="34" t="n">
        <x:v>45544</x:v>
      </x:c>
      <x:c r="B218" s="28" t="str">
        <x:v>Grupo Industrial S.A.</x:v>
      </x:c>
      <x:c r="C218" s="28" t="str">
        <x:v>Planta São Paulo</x:v>
      </x:c>
      <x:c r="D218" s="28" t="str">
        <x:v>Linha 1 - Corte</x:v>
      </x:c>
      <x:c r="E218" s="28" t="str">
        <x:v>1º/2º/3º</x:v>
      </x:c>
      <x:c r="F218" s="32" t="n">
        <x:v>8</x:v>
      </x:c>
      <x:c r="G218" s="32" t="n">
        <x:v>825.6</x:v>
      </x:c>
      <x:c r="H218" s="32" t="n">
        <x:v>44.2</x:v>
      </x:c>
      <x:c r="I218" s="32" t="n">
        <x:v>757.1</x:v>
      </x:c>
      <x:c r="J218" s="36" t="n">
        <x:v>0.9171</x:v>
      </x:c>
    </x:row>
    <x:row r="219">
      <x:c r="A219" s="34" t="n">
        <x:v>45544</x:v>
      </x:c>
      <x:c r="B219" s="28" t="str">
        <x:v>Grupo Industrial S.A.</x:v>
      </x:c>
      <x:c r="C219" s="28" t="str">
        <x:v>Planta São Paulo</x:v>
      </x:c>
      <x:c r="D219" s="28" t="str">
        <x:v>Linha 2 - Montagem</x:v>
      </x:c>
      <x:c r="E219" s="28" t="str">
        <x:v>1º/2º/3º</x:v>
      </x:c>
      <x:c r="F219" s="32" t="n">
        <x:v>10</x:v>
      </x:c>
      <x:c r="G219" s="32" t="n">
        <x:v>1055.9</x:v>
      </x:c>
      <x:c r="H219" s="32" t="n">
        <x:v>62.8</x:v>
      </x:c>
      <x:c r="I219" s="32" t="n">
        <x:v>848.7</x:v>
      </x:c>
      <x:c r="J219" s="36" t="n">
        <x:v>0.8038</x:v>
      </x:c>
    </x:row>
    <x:row r="220">
      <x:c r="A220" s="34" t="n">
        <x:v>45544</x:v>
      </x:c>
      <x:c r="B220" s="28" t="str">
        <x:v>Grupo Industrial S.A.</x:v>
      </x:c>
      <x:c r="C220" s="28" t="str">
        <x:v>Planta Campinas</x:v>
      </x:c>
      <x:c r="D220" s="28" t="str">
        <x:v>Linha 3 - Extrusão</x:v>
      </x:c>
      <x:c r="E220" s="28" t="str">
        <x:v>1º/2º/3º</x:v>
      </x:c>
      <x:c r="F220" s="32" t="n">
        <x:v>9</x:v>
      </x:c>
      <x:c r="G220" s="32" t="n">
        <x:v>886</x:v>
      </x:c>
      <x:c r="H220" s="32" t="n">
        <x:v>58</x:v>
      </x:c>
      <x:c r="I220" s="32" t="n">
        <x:v>645.1</x:v>
      </x:c>
      <x:c r="J220" s="36" t="n">
        <x:v>0.7281</x:v>
      </x:c>
    </x:row>
    <x:row r="221">
      <x:c r="A221" s="34" t="n">
        <x:v>45544</x:v>
      </x:c>
      <x:c r="B221" s="28" t="str">
        <x:v>Grupo Industrial S.A.</x:v>
      </x:c>
      <x:c r="C221" s="28" t="str">
        <x:v>Planta Campinas</x:v>
      </x:c>
      <x:c r="D221" s="28" t="str">
        <x:v>Linha 4 - Embalagem</x:v>
      </x:c>
      <x:c r="E221" s="28" t="str">
        <x:v>1º/2º/3º</x:v>
      </x:c>
      <x:c r="F221" s="32" t="n">
        <x:v>11</x:v>
      </x:c>
      <x:c r="G221" s="32" t="n">
        <x:v>1076.8</x:v>
      </x:c>
      <x:c r="H221" s="32" t="n">
        <x:v>78.3</x:v>
      </x:c>
      <x:c r="I221" s="32" t="n">
        <x:v>753.1</x:v>
      </x:c>
      <x:c r="J221" s="36" t="n">
        <x:v>0.6994</x:v>
      </x:c>
    </x:row>
    <x:row r="222">
      <x:c r="A222" s="34" t="n">
        <x:v>45544</x:v>
      </x:c>
      <x:c r="B222" s="28" t="str">
        <x:v>Grupo Industrial S.A.</x:v>
      </x:c>
      <x:c r="C222" s="28" t="str">
        <x:v>Planta Curitiba</x:v>
      </x:c>
      <x:c r="D222" s="28" t="str">
        <x:v>Linha 5 - Usinagem</x:v>
      </x:c>
      <x:c r="E222" s="28" t="str">
        <x:v>1º/2º/3º</x:v>
      </x:c>
      <x:c r="F222" s="32" t="n">
        <x:v>9</x:v>
      </x:c>
      <x:c r="G222" s="32" t="n">
        <x:v>904.4</x:v>
      </x:c>
      <x:c r="H222" s="32" t="n">
        <x:v>47.3</x:v>
      </x:c>
      <x:c r="I222" s="32" t="n">
        <x:v>653.4</x:v>
      </x:c>
      <x:c r="J222" s="36" t="n">
        <x:v>0.7225</x:v>
      </x:c>
    </x:row>
    <x:row r="223">
      <x:c r="A223" s="34" t="n">
        <x:v>45544</x:v>
      </x:c>
      <x:c r="B223" s="28" t="str">
        <x:v>Grupo Industrial S.A.</x:v>
      </x:c>
      <x:c r="C223" s="28" t="str">
        <x:v>Planta Curitiba</x:v>
      </x:c>
      <x:c r="D223" s="28" t="str">
        <x:v>Linha 6 - Finalização</x:v>
      </x:c>
      <x:c r="E223" s="28" t="str">
        <x:v>1º/2º/3º</x:v>
      </x:c>
      <x:c r="F223" s="32" t="n">
        <x:v>12</x:v>
      </x:c>
      <x:c r="G223" s="32" t="n">
        <x:v>1193</x:v>
      </x:c>
      <x:c r="H223" s="32" t="n">
        <x:v>51.6</x:v>
      </x:c>
      <x:c r="I223" s="32" t="n">
        <x:v>957</x:v>
      </x:c>
      <x:c r="J223" s="36" t="n">
        <x:v>0.8022</x:v>
      </x:c>
    </x:row>
    <x:row r="224">
      <x:c r="A224" s="34" t="n">
        <x:v>45551</x:v>
      </x:c>
      <x:c r="B224" s="28" t="str">
        <x:v>Grupo Industrial S.A.</x:v>
      </x:c>
      <x:c r="C224" s="28" t="str">
        <x:v>Planta São Paulo</x:v>
      </x:c>
      <x:c r="D224" s="28" t="str">
        <x:v>Linha 1 - Corte</x:v>
      </x:c>
      <x:c r="E224" s="28" t="str">
        <x:v>1º/2º/3º</x:v>
      </x:c>
      <x:c r="F224" s="32" t="n">
        <x:v>8</x:v>
      </x:c>
      <x:c r="G224" s="32" t="n">
        <x:v>847.6</x:v>
      </x:c>
      <x:c r="H224" s="32" t="n">
        <x:v>32.4</x:v>
      </x:c>
      <x:c r="I224" s="32" t="n">
        <x:v>694.6</x:v>
      </x:c>
      <x:c r="J224" s="36" t="n">
        <x:v>0.8195</x:v>
      </x:c>
    </x:row>
    <x:row r="225">
      <x:c r="A225" s="34" t="n">
        <x:v>45551</x:v>
      </x:c>
      <x:c r="B225" s="28" t="str">
        <x:v>Grupo Industrial S.A.</x:v>
      </x:c>
      <x:c r="C225" s="28" t="str">
        <x:v>Planta São Paulo</x:v>
      </x:c>
      <x:c r="D225" s="28" t="str">
        <x:v>Linha 2 - Montagem</x:v>
      </x:c>
      <x:c r="E225" s="28" t="str">
        <x:v>1º/2º/3º</x:v>
      </x:c>
      <x:c r="F225" s="32" t="n">
        <x:v>10</x:v>
      </x:c>
      <x:c r="G225" s="32" t="n">
        <x:v>1036.9</x:v>
      </x:c>
      <x:c r="H225" s="32" t="n">
        <x:v>47.6</x:v>
      </x:c>
      <x:c r="I225" s="32" t="n">
        <x:v>831.9</x:v>
      </x:c>
      <x:c r="J225" s="36" t="n">
        <x:v>0.8023</x:v>
      </x:c>
    </x:row>
    <x:row r="226">
      <x:c r="A226" s="34" t="n">
        <x:v>45551</x:v>
      </x:c>
      <x:c r="B226" s="28" t="str">
        <x:v>Grupo Industrial S.A.</x:v>
      </x:c>
      <x:c r="C226" s="28" t="str">
        <x:v>Planta Campinas</x:v>
      </x:c>
      <x:c r="D226" s="28" t="str">
        <x:v>Linha 3 - Extrusão</x:v>
      </x:c>
      <x:c r="E226" s="28" t="str">
        <x:v>1º/2º/3º</x:v>
      </x:c>
      <x:c r="F226" s="32" t="n">
        <x:v>9</x:v>
      </x:c>
      <x:c r="G226" s="32" t="n">
        <x:v>847.5</x:v>
      </x:c>
      <x:c r="H226" s="32" t="n">
        <x:v>48.6</x:v>
      </x:c>
      <x:c r="I226" s="32" t="n">
        <x:v>604.3</x:v>
      </x:c>
      <x:c r="J226" s="36" t="n">
        <x:v>0.713</x:v>
      </x:c>
    </x:row>
    <x:row r="227">
      <x:c r="A227" s="34" t="n">
        <x:v>45551</x:v>
      </x:c>
      <x:c r="B227" s="28" t="str">
        <x:v>Grupo Industrial S.A.</x:v>
      </x:c>
      <x:c r="C227" s="28" t="str">
        <x:v>Planta Campinas</x:v>
      </x:c>
      <x:c r="D227" s="28" t="str">
        <x:v>Linha 4 - Embalagem</x:v>
      </x:c>
      <x:c r="E227" s="28" t="str">
        <x:v>1º/2º/3º</x:v>
      </x:c>
      <x:c r="F227" s="32" t="n">
        <x:v>11</x:v>
      </x:c>
      <x:c r="G227" s="32" t="n">
        <x:v>1087</x:v>
      </x:c>
      <x:c r="H227" s="32" t="n">
        <x:v>71</x:v>
      </x:c>
      <x:c r="I227" s="32" t="n">
        <x:v>754.8</x:v>
      </x:c>
      <x:c r="J227" s="36" t="n">
        <x:v>0.6944</x:v>
      </x:c>
    </x:row>
    <x:row r="228">
      <x:c r="A228" s="34" t="n">
        <x:v>45551</x:v>
      </x:c>
      <x:c r="B228" s="28" t="str">
        <x:v>Grupo Industrial S.A.</x:v>
      </x:c>
      <x:c r="C228" s="28" t="str">
        <x:v>Planta Curitiba</x:v>
      </x:c>
      <x:c r="D228" s="28" t="str">
        <x:v>Linha 5 - Usinagem</x:v>
      </x:c>
      <x:c r="E228" s="28" t="str">
        <x:v>1º/2º/3º</x:v>
      </x:c>
      <x:c r="F228" s="32" t="n">
        <x:v>9</x:v>
      </x:c>
      <x:c r="G228" s="32" t="n">
        <x:v>921.9</x:v>
      </x:c>
      <x:c r="H228" s="32" t="n">
        <x:v>50.1</x:v>
      </x:c>
      <x:c r="I228" s="32" t="n">
        <x:v>634.1</x:v>
      </x:c>
      <x:c r="J228" s="36" t="n">
        <x:v>0.6878</x:v>
      </x:c>
    </x:row>
    <x:row r="229">
      <x:c r="A229" s="34" t="n">
        <x:v>45551</x:v>
      </x:c>
      <x:c r="B229" s="28" t="str">
        <x:v>Grupo Industrial S.A.</x:v>
      </x:c>
      <x:c r="C229" s="28" t="str">
        <x:v>Planta Curitiba</x:v>
      </x:c>
      <x:c r="D229" s="28" t="str">
        <x:v>Linha 6 - Finalização</x:v>
      </x:c>
      <x:c r="E229" s="28" t="str">
        <x:v>1º/2º/3º</x:v>
      </x:c>
      <x:c r="F229" s="32" t="n">
        <x:v>12</x:v>
      </x:c>
      <x:c r="G229" s="32" t="n">
        <x:v>1192.3</x:v>
      </x:c>
      <x:c r="H229" s="32" t="n">
        <x:v>67</x:v>
      </x:c>
      <x:c r="I229" s="32" t="n">
        <x:v>914</x:v>
      </x:c>
      <x:c r="J229" s="36" t="n">
        <x:v>0.7666</x:v>
      </x:c>
    </x:row>
    <x:row r="230">
      <x:c r="A230" s="34" t="n">
        <x:v>45558</x:v>
      </x:c>
      <x:c r="B230" s="28" t="str">
        <x:v>Grupo Industrial S.A.</x:v>
      </x:c>
      <x:c r="C230" s="28" t="str">
        <x:v>Planta São Paulo</x:v>
      </x:c>
      <x:c r="D230" s="28" t="str">
        <x:v>Linha 1 - Corte</x:v>
      </x:c>
      <x:c r="E230" s="28" t="str">
        <x:v>1º/2º/3º</x:v>
      </x:c>
      <x:c r="F230" s="32" t="n">
        <x:v>8</x:v>
      </x:c>
      <x:c r="G230" s="32" t="n">
        <x:v>863.7</x:v>
      </x:c>
      <x:c r="H230" s="32" t="n">
        <x:v>46.4</x:v>
      </x:c>
      <x:c r="I230" s="32" t="n">
        <x:v>668</x:v>
      </x:c>
      <x:c r="J230" s="36" t="n">
        <x:v>0.7735</x:v>
      </x:c>
    </x:row>
    <x:row r="231">
      <x:c r="A231" s="34" t="n">
        <x:v>45558</x:v>
      </x:c>
      <x:c r="B231" s="28" t="str">
        <x:v>Grupo Industrial S.A.</x:v>
      </x:c>
      <x:c r="C231" s="28" t="str">
        <x:v>Planta São Paulo</x:v>
      </x:c>
      <x:c r="D231" s="28" t="str">
        <x:v>Linha 2 - Montagem</x:v>
      </x:c>
      <x:c r="E231" s="28" t="str">
        <x:v>1º/2º/3º</x:v>
      </x:c>
      <x:c r="F231" s="32" t="n">
        <x:v>10</x:v>
      </x:c>
      <x:c r="G231" s="32" t="n">
        <x:v>1074.7</x:v>
      </x:c>
      <x:c r="H231" s="32" t="n">
        <x:v>58.1</x:v>
      </x:c>
      <x:c r="I231" s="32" t="n">
        <x:v>844.4</x:v>
      </x:c>
      <x:c r="J231" s="36" t="n">
        <x:v>0.7857</x:v>
      </x:c>
    </x:row>
    <x:row r="232">
      <x:c r="A232" s="34" t="n">
        <x:v>45558</x:v>
      </x:c>
      <x:c r="B232" s="28" t="str">
        <x:v>Grupo Industrial S.A.</x:v>
      </x:c>
      <x:c r="C232" s="28" t="str">
        <x:v>Planta Campinas</x:v>
      </x:c>
      <x:c r="D232" s="28" t="str">
        <x:v>Linha 3 - Extrusão</x:v>
      </x:c>
      <x:c r="E232" s="28" t="str">
        <x:v>1º/2º/3º</x:v>
      </x:c>
      <x:c r="F232" s="32" t="n">
        <x:v>9</x:v>
      </x:c>
      <x:c r="G232" s="32" t="n">
        <x:v>885.5</x:v>
      </x:c>
      <x:c r="H232" s="32" t="n">
        <x:v>73.4</x:v>
      </x:c>
      <x:c r="I232" s="32" t="n">
        <x:v>613.9</x:v>
      </x:c>
      <x:c r="J232" s="36" t="n">
        <x:v>0.6933</x:v>
      </x:c>
    </x:row>
    <x:row r="233">
      <x:c r="A233" s="34" t="n">
        <x:v>45558</x:v>
      </x:c>
      <x:c r="B233" s="28" t="str">
        <x:v>Grupo Industrial S.A.</x:v>
      </x:c>
      <x:c r="C233" s="28" t="str">
        <x:v>Planta Campinas</x:v>
      </x:c>
      <x:c r="D233" s="28" t="str">
        <x:v>Linha 4 - Embalagem</x:v>
      </x:c>
      <x:c r="E233" s="28" t="str">
        <x:v>1º/2º/3º</x:v>
      </x:c>
      <x:c r="F233" s="32" t="n">
        <x:v>11</x:v>
      </x:c>
      <x:c r="G233" s="32" t="n">
        <x:v>1088</x:v>
      </x:c>
      <x:c r="H233" s="32" t="n">
        <x:v>83.3</x:v>
      </x:c>
      <x:c r="I233" s="32" t="n">
        <x:v>681.6</x:v>
      </x:c>
      <x:c r="J233" s="36" t="n">
        <x:v>0.6264</x:v>
      </x:c>
    </x:row>
    <x:row r="234">
      <x:c r="A234" s="34" t="n">
        <x:v>45558</x:v>
      </x:c>
      <x:c r="B234" s="28" t="str">
        <x:v>Grupo Industrial S.A.</x:v>
      </x:c>
      <x:c r="C234" s="28" t="str">
        <x:v>Planta Curitiba</x:v>
      </x:c>
      <x:c r="D234" s="28" t="str">
        <x:v>Linha 5 - Usinagem</x:v>
      </x:c>
      <x:c r="E234" s="28" t="str">
        <x:v>1º/2º/3º</x:v>
      </x:c>
      <x:c r="F234" s="32" t="n">
        <x:v>9</x:v>
      </x:c>
      <x:c r="G234" s="32" t="n">
        <x:v>911.7</x:v>
      </x:c>
      <x:c r="H234" s="32" t="n">
        <x:v>53.8</x:v>
      </x:c>
      <x:c r="I234" s="32" t="n">
        <x:v>681.8</x:v>
      </x:c>
      <x:c r="J234" s="36" t="n">
        <x:v>0.7479</x:v>
      </x:c>
    </x:row>
    <x:row r="235">
      <x:c r="A235" s="34" t="n">
        <x:v>45558</x:v>
      </x:c>
      <x:c r="B235" s="28" t="str">
        <x:v>Grupo Industrial S.A.</x:v>
      </x:c>
      <x:c r="C235" s="28" t="str">
        <x:v>Planta Curitiba</x:v>
      </x:c>
      <x:c r="D235" s="28" t="str">
        <x:v>Linha 6 - Finalização</x:v>
      </x:c>
      <x:c r="E235" s="28" t="str">
        <x:v>1º/2º/3º</x:v>
      </x:c>
      <x:c r="F235" s="32" t="n">
        <x:v>12</x:v>
      </x:c>
      <x:c r="G235" s="32" t="n">
        <x:v>1243.7</x:v>
      </x:c>
      <x:c r="H235" s="32" t="n">
        <x:v>75.5</x:v>
      </x:c>
      <x:c r="I235" s="32" t="n">
        <x:v>931.8</x:v>
      </x:c>
      <x:c r="J235" s="36" t="n">
        <x:v>0.7492</x:v>
      </x:c>
    </x:row>
    <x:row r="236">
      <x:c r="A236" s="34" t="n">
        <x:v>45565</x:v>
      </x:c>
      <x:c r="B236" s="28" t="str">
        <x:v>Grupo Industrial S.A.</x:v>
      </x:c>
      <x:c r="C236" s="28" t="str">
        <x:v>Planta São Paulo</x:v>
      </x:c>
      <x:c r="D236" s="28" t="str">
        <x:v>Linha 1 - Corte</x:v>
      </x:c>
      <x:c r="E236" s="28" t="str">
        <x:v>1º/2º/3º</x:v>
      </x:c>
      <x:c r="F236" s="32" t="n">
        <x:v>8</x:v>
      </x:c>
      <x:c r="G236" s="32" t="n">
        <x:v>824.9</x:v>
      </x:c>
      <x:c r="H236" s="32" t="n">
        <x:v>42.6</x:v>
      </x:c>
      <x:c r="I236" s="32" t="n">
        <x:v>694.9</x:v>
      </x:c>
      <x:c r="J236" s="36" t="n">
        <x:v>0.8424</x:v>
      </x:c>
    </x:row>
    <x:row r="237">
      <x:c r="A237" s="34" t="n">
        <x:v>45565</x:v>
      </x:c>
      <x:c r="B237" s="28" t="str">
        <x:v>Grupo Industrial S.A.</x:v>
      </x:c>
      <x:c r="C237" s="28" t="str">
        <x:v>Planta São Paulo</x:v>
      </x:c>
      <x:c r="D237" s="28" t="str">
        <x:v>Linha 2 - Montagem</x:v>
      </x:c>
      <x:c r="E237" s="28" t="str">
        <x:v>1º/2º/3º</x:v>
      </x:c>
      <x:c r="F237" s="32" t="n">
        <x:v>10</x:v>
      </x:c>
      <x:c r="G237" s="32" t="n">
        <x:v>1065.9</x:v>
      </x:c>
      <x:c r="H237" s="32" t="n">
        <x:v>42</x:v>
      </x:c>
      <x:c r="I237" s="32" t="n">
        <x:v>836</x:v>
      </x:c>
      <x:c r="J237" s="36" t="n">
        <x:v>0.7843</x:v>
      </x:c>
    </x:row>
    <x:row r="238">
      <x:c r="A238" s="34" t="n">
        <x:v>45565</x:v>
      </x:c>
      <x:c r="B238" s="28" t="str">
        <x:v>Grupo Industrial S.A.</x:v>
      </x:c>
      <x:c r="C238" s="28" t="str">
        <x:v>Planta Campinas</x:v>
      </x:c>
      <x:c r="D238" s="28" t="str">
        <x:v>Linha 3 - Extrusão</x:v>
      </x:c>
      <x:c r="E238" s="28" t="str">
        <x:v>1º/2º/3º</x:v>
      </x:c>
      <x:c r="F238" s="32" t="n">
        <x:v>9</x:v>
      </x:c>
      <x:c r="G238" s="32" t="n">
        <x:v>862.3</x:v>
      </x:c>
      <x:c r="H238" s="32" t="n">
        <x:v>52.7</x:v>
      </x:c>
      <x:c r="I238" s="32" t="n">
        <x:v>639.9</x:v>
      </x:c>
      <x:c r="J238" s="36" t="n">
        <x:v>0.7421</x:v>
      </x:c>
    </x:row>
    <x:row r="239">
      <x:c r="A239" s="34" t="n">
        <x:v>45565</x:v>
      </x:c>
      <x:c r="B239" s="28" t="str">
        <x:v>Grupo Industrial S.A.</x:v>
      </x:c>
      <x:c r="C239" s="28" t="str">
        <x:v>Planta Campinas</x:v>
      </x:c>
      <x:c r="D239" s="28" t="str">
        <x:v>Linha 4 - Embalagem</x:v>
      </x:c>
      <x:c r="E239" s="28" t="str">
        <x:v>1º/2º/3º</x:v>
      </x:c>
      <x:c r="F239" s="32" t="n">
        <x:v>11</x:v>
      </x:c>
      <x:c r="G239" s="32" t="n">
        <x:v>1057.2</x:v>
      </x:c>
      <x:c r="H239" s="32" t="n">
        <x:v>66.4</x:v>
      </x:c>
      <x:c r="I239" s="32" t="n">
        <x:v>697.4</x:v>
      </x:c>
      <x:c r="J239" s="36" t="n">
        <x:v>0.6597</x:v>
      </x:c>
    </x:row>
    <x:row r="240">
      <x:c r="A240" s="34" t="n">
        <x:v>45565</x:v>
      </x:c>
      <x:c r="B240" s="28" t="str">
        <x:v>Grupo Industrial S.A.</x:v>
      </x:c>
      <x:c r="C240" s="28" t="str">
        <x:v>Planta Curitiba</x:v>
      </x:c>
      <x:c r="D240" s="28" t="str">
        <x:v>Linha 5 - Usinagem</x:v>
      </x:c>
      <x:c r="E240" s="28" t="str">
        <x:v>1º/2º/3º</x:v>
      </x:c>
      <x:c r="F240" s="32" t="n">
        <x:v>9</x:v>
      </x:c>
      <x:c r="G240" s="32" t="n">
        <x:v>903.3</x:v>
      </x:c>
      <x:c r="H240" s="32" t="n">
        <x:v>34.1</x:v>
      </x:c>
      <x:c r="I240" s="32" t="n">
        <x:v>682.4</x:v>
      </x:c>
      <x:c r="J240" s="36" t="n">
        <x:v>0.7555</x:v>
      </x:c>
    </x:row>
    <x:row r="241">
      <x:c r="A241" s="34" t="n">
        <x:v>45565</x:v>
      </x:c>
      <x:c r="B241" s="28" t="str">
        <x:v>Grupo Industrial S.A.</x:v>
      </x:c>
      <x:c r="C241" s="28" t="str">
        <x:v>Planta Curitiba</x:v>
      </x:c>
      <x:c r="D241" s="28" t="str">
        <x:v>Linha 6 - Finalização</x:v>
      </x:c>
      <x:c r="E241" s="28" t="str">
        <x:v>1º/2º/3º</x:v>
      </x:c>
      <x:c r="F241" s="32" t="n">
        <x:v>12</x:v>
      </x:c>
      <x:c r="G241" s="32" t="n">
        <x:v>1243.4</x:v>
      </x:c>
      <x:c r="H241" s="32" t="n">
        <x:v>61</x:v>
      </x:c>
      <x:c r="I241" s="32" t="n">
        <x:v>899.7</x:v>
      </x:c>
      <x:c r="J241" s="36" t="n">
        <x:v>0.7236</x:v>
      </x:c>
    </x:row>
    <x:row r="242">
      <x:c r="A242" s="34" t="n">
        <x:v>45572</x:v>
      </x:c>
      <x:c r="B242" s="28" t="str">
        <x:v>Grupo Industrial S.A.</x:v>
      </x:c>
      <x:c r="C242" s="28" t="str">
        <x:v>Planta São Paulo</x:v>
      </x:c>
      <x:c r="D242" s="28" t="str">
        <x:v>Linha 1 - Corte</x:v>
      </x:c>
      <x:c r="E242" s="28" t="str">
        <x:v>1º/2º/3º</x:v>
      </x:c>
      <x:c r="F242" s="32" t="n">
        <x:v>8</x:v>
      </x:c>
      <x:c r="G242" s="32" t="n">
        <x:v>830.2</x:v>
      </x:c>
      <x:c r="H242" s="32" t="n">
        <x:v>47.1</x:v>
      </x:c>
      <x:c r="I242" s="32" t="n">
        <x:v>726.5</x:v>
      </x:c>
      <x:c r="J242" s="36" t="n">
        <x:v>0.8751</x:v>
      </x:c>
    </x:row>
    <x:row r="243">
      <x:c r="A243" s="34" t="n">
        <x:v>45572</x:v>
      </x:c>
      <x:c r="B243" s="28" t="str">
        <x:v>Grupo Industrial S.A.</x:v>
      </x:c>
      <x:c r="C243" s="28" t="str">
        <x:v>Planta São Paulo</x:v>
      </x:c>
      <x:c r="D243" s="28" t="str">
        <x:v>Linha 2 - Montagem</x:v>
      </x:c>
      <x:c r="E243" s="28" t="str">
        <x:v>1º/2º/3º</x:v>
      </x:c>
      <x:c r="F243" s="32" t="n">
        <x:v>10</x:v>
      </x:c>
      <x:c r="G243" s="32" t="n">
        <x:v>1077</x:v>
      </x:c>
      <x:c r="H243" s="32" t="n">
        <x:v>58.8</x:v>
      </x:c>
      <x:c r="I243" s="32" t="n">
        <x:v>932.7</x:v>
      </x:c>
      <x:c r="J243" s="36" t="n">
        <x:v>0.866</x:v>
      </x:c>
    </x:row>
    <x:row r="244">
      <x:c r="A244" s="34" t="n">
        <x:v>45572</x:v>
      </x:c>
      <x:c r="B244" s="28" t="str">
        <x:v>Grupo Industrial S.A.</x:v>
      </x:c>
      <x:c r="C244" s="28" t="str">
        <x:v>Planta Campinas</x:v>
      </x:c>
      <x:c r="D244" s="28" t="str">
        <x:v>Linha 3 - Extrusão</x:v>
      </x:c>
      <x:c r="E244" s="28" t="str">
        <x:v>1º/2º/3º</x:v>
      </x:c>
      <x:c r="F244" s="32" t="n">
        <x:v>9</x:v>
      </x:c>
      <x:c r="G244" s="32" t="n">
        <x:v>885.6</x:v>
      </x:c>
      <x:c r="H244" s="32" t="n">
        <x:v>59.5</x:v>
      </x:c>
      <x:c r="I244" s="32" t="n">
        <x:v>653.3</x:v>
      </x:c>
      <x:c r="J244" s="36" t="n">
        <x:v>0.7377</x:v>
      </x:c>
    </x:row>
    <x:row r="245">
      <x:c r="A245" s="34" t="n">
        <x:v>45572</x:v>
      </x:c>
      <x:c r="B245" s="28" t="str">
        <x:v>Grupo Industrial S.A.</x:v>
      </x:c>
      <x:c r="C245" s="28" t="str">
        <x:v>Planta Campinas</x:v>
      </x:c>
      <x:c r="D245" s="28" t="str">
        <x:v>Linha 4 - Embalagem</x:v>
      </x:c>
      <x:c r="E245" s="28" t="str">
        <x:v>1º/2º/3º</x:v>
      </x:c>
      <x:c r="F245" s="32" t="n">
        <x:v>11</x:v>
      </x:c>
      <x:c r="G245" s="32" t="n">
        <x:v>1071.8</x:v>
      </x:c>
      <x:c r="H245" s="32" t="n">
        <x:v>84.5</x:v>
      </x:c>
      <x:c r="I245" s="32" t="n">
        <x:v>801.5</x:v>
      </x:c>
      <x:c r="J245" s="36" t="n">
        <x:v>0.7478</x:v>
      </x:c>
    </x:row>
    <x:row r="246">
      <x:c r="A246" s="34" t="n">
        <x:v>45572</x:v>
      </x:c>
      <x:c r="B246" s="28" t="str">
        <x:v>Grupo Industrial S.A.</x:v>
      </x:c>
      <x:c r="C246" s="28" t="str">
        <x:v>Planta Curitiba</x:v>
      </x:c>
      <x:c r="D246" s="28" t="str">
        <x:v>Linha 5 - Usinagem</x:v>
      </x:c>
      <x:c r="E246" s="28" t="str">
        <x:v>1º/2º/3º</x:v>
      </x:c>
      <x:c r="F246" s="32" t="n">
        <x:v>9</x:v>
      </x:c>
      <x:c r="G246" s="32" t="n">
        <x:v>901.6</x:v>
      </x:c>
      <x:c r="H246" s="32" t="n">
        <x:v>49.6</x:v>
      </x:c>
      <x:c r="I246" s="32" t="n">
        <x:v>678.7</x:v>
      </x:c>
      <x:c r="J246" s="36" t="n">
        <x:v>0.7528</x:v>
      </x:c>
    </x:row>
    <x:row r="247">
      <x:c r="A247" s="34" t="n">
        <x:v>45572</x:v>
      </x:c>
      <x:c r="B247" s="28" t="str">
        <x:v>Grupo Industrial S.A.</x:v>
      </x:c>
      <x:c r="C247" s="28" t="str">
        <x:v>Planta Curitiba</x:v>
      </x:c>
      <x:c r="D247" s="28" t="str">
        <x:v>Linha 6 - Finalização</x:v>
      </x:c>
      <x:c r="E247" s="28" t="str">
        <x:v>1º/2º/3º</x:v>
      </x:c>
      <x:c r="F247" s="32" t="n">
        <x:v>12</x:v>
      </x:c>
      <x:c r="G247" s="32" t="n">
        <x:v>1228.7</x:v>
      </x:c>
      <x:c r="H247" s="32" t="n">
        <x:v>51.7</x:v>
      </x:c>
      <x:c r="I247" s="32" t="n">
        <x:v>965.5</x:v>
      </x:c>
      <x:c r="J247" s="36" t="n">
        <x:v>0.7858</x:v>
      </x:c>
    </x:row>
    <x:row r="248">
      <x:c r="A248" s="34" t="n">
        <x:v>45579</x:v>
      </x:c>
      <x:c r="B248" s="28" t="str">
        <x:v>Grupo Industrial S.A.</x:v>
      </x:c>
      <x:c r="C248" s="28" t="str">
        <x:v>Planta São Paulo</x:v>
      </x:c>
      <x:c r="D248" s="28" t="str">
        <x:v>Linha 1 - Corte</x:v>
      </x:c>
      <x:c r="E248" s="28" t="str">
        <x:v>1º/2º/3º</x:v>
      </x:c>
      <x:c r="F248" s="32" t="n">
        <x:v>8</x:v>
      </x:c>
      <x:c r="G248" s="32" t="n">
        <x:v>837.1</x:v>
      </x:c>
      <x:c r="H248" s="32" t="n">
        <x:v>42.1</x:v>
      </x:c>
      <x:c r="I248" s="32" t="n">
        <x:v>752.7</x:v>
      </x:c>
      <x:c r="J248" s="36" t="n">
        <x:v>0.8992</x:v>
      </x:c>
    </x:row>
    <x:row r="249">
      <x:c r="A249" s="34" t="n">
        <x:v>45579</x:v>
      </x:c>
      <x:c r="B249" s="28" t="str">
        <x:v>Grupo Industrial S.A.</x:v>
      </x:c>
      <x:c r="C249" s="28" t="str">
        <x:v>Planta São Paulo</x:v>
      </x:c>
      <x:c r="D249" s="28" t="str">
        <x:v>Linha 2 - Montagem</x:v>
      </x:c>
      <x:c r="E249" s="28" t="str">
        <x:v>1º/2º/3º</x:v>
      </x:c>
      <x:c r="F249" s="32" t="n">
        <x:v>10</x:v>
      </x:c>
      <x:c r="G249" s="32" t="n">
        <x:v>1029.1</x:v>
      </x:c>
      <x:c r="H249" s="32" t="n">
        <x:v>47.3</x:v>
      </x:c>
      <x:c r="I249" s="32" t="n">
        <x:v>884.2</x:v>
      </x:c>
      <x:c r="J249" s="36" t="n">
        <x:v>0.8592</x:v>
      </x:c>
    </x:row>
    <x:row r="250">
      <x:c r="A250" s="34" t="n">
        <x:v>45579</x:v>
      </x:c>
      <x:c r="B250" s="28" t="str">
        <x:v>Grupo Industrial S.A.</x:v>
      </x:c>
      <x:c r="C250" s="28" t="str">
        <x:v>Planta Campinas</x:v>
      </x:c>
      <x:c r="D250" s="28" t="str">
        <x:v>Linha 3 - Extrusão</x:v>
      </x:c>
      <x:c r="E250" s="28" t="str">
        <x:v>1º/2º/3º</x:v>
      </x:c>
      <x:c r="F250" s="32" t="n">
        <x:v>9</x:v>
      </x:c>
      <x:c r="G250" s="32" t="n">
        <x:v>850.9</x:v>
      </x:c>
      <x:c r="H250" s="32" t="n">
        <x:v>58.2</x:v>
      </x:c>
      <x:c r="I250" s="32" t="n">
        <x:v>660.9</x:v>
      </x:c>
      <x:c r="J250" s="36" t="n">
        <x:v>0.7768</x:v>
      </x:c>
    </x:row>
    <x:row r="251">
      <x:c r="A251" s="34" t="n">
        <x:v>45579</x:v>
      </x:c>
      <x:c r="B251" s="28" t="str">
        <x:v>Grupo Industrial S.A.</x:v>
      </x:c>
      <x:c r="C251" s="28" t="str">
        <x:v>Planta Campinas</x:v>
      </x:c>
      <x:c r="D251" s="28" t="str">
        <x:v>Linha 4 - Embalagem</x:v>
      </x:c>
      <x:c r="E251" s="28" t="str">
        <x:v>1º/2º/3º</x:v>
      </x:c>
      <x:c r="F251" s="32" t="n">
        <x:v>11</x:v>
      </x:c>
      <x:c r="G251" s="32" t="n">
        <x:v>1083</x:v>
      </x:c>
      <x:c r="H251" s="32" t="n">
        <x:v>88.7</x:v>
      </x:c>
      <x:c r="I251" s="32" t="n">
        <x:v>823.5</x:v>
      </x:c>
      <x:c r="J251" s="36" t="n">
        <x:v>0.7603</x:v>
      </x:c>
    </x:row>
    <x:row r="252">
      <x:c r="A252" s="34" t="n">
        <x:v>45579</x:v>
      </x:c>
      <x:c r="B252" s="28" t="str">
        <x:v>Grupo Industrial S.A.</x:v>
      </x:c>
      <x:c r="C252" s="28" t="str">
        <x:v>Planta Curitiba</x:v>
      </x:c>
      <x:c r="D252" s="28" t="str">
        <x:v>Linha 5 - Usinagem</x:v>
      </x:c>
      <x:c r="E252" s="28" t="str">
        <x:v>1º/2º/3º</x:v>
      </x:c>
      <x:c r="F252" s="32" t="n">
        <x:v>9</x:v>
      </x:c>
      <x:c r="G252" s="32" t="n">
        <x:v>927.4</x:v>
      </x:c>
      <x:c r="H252" s="32" t="n">
        <x:v>55.3</x:v>
      </x:c>
      <x:c r="I252" s="32" t="n">
        <x:v>649.3</x:v>
      </x:c>
      <x:c r="J252" s="36" t="n">
        <x:v>0.7002</x:v>
      </x:c>
    </x:row>
    <x:row r="253">
      <x:c r="A253" s="34" t="n">
        <x:v>45579</x:v>
      </x:c>
      <x:c r="B253" s="28" t="str">
        <x:v>Grupo Industrial S.A.</x:v>
      </x:c>
      <x:c r="C253" s="28" t="str">
        <x:v>Planta Curitiba</x:v>
      </x:c>
      <x:c r="D253" s="28" t="str">
        <x:v>Linha 6 - Finalização</x:v>
      </x:c>
      <x:c r="E253" s="28" t="str">
        <x:v>1º/2º/3º</x:v>
      </x:c>
      <x:c r="F253" s="32" t="n">
        <x:v>12</x:v>
      </x:c>
      <x:c r="G253" s="32" t="n">
        <x:v>1196.7</x:v>
      </x:c>
      <x:c r="H253" s="32" t="n">
        <x:v>68.7</x:v>
      </x:c>
      <x:c r="I253" s="32" t="n">
        <x:v>932.5</x:v>
      </x:c>
      <x:c r="J253" s="36" t="n">
        <x:v>0.7792</x:v>
      </x:c>
    </x:row>
    <x:row r="254">
      <x:c r="A254" s="34" t="n">
        <x:v>45586</x:v>
      </x:c>
      <x:c r="B254" s="28" t="str">
        <x:v>Grupo Industrial S.A.</x:v>
      </x:c>
      <x:c r="C254" s="28" t="str">
        <x:v>Planta São Paulo</x:v>
      </x:c>
      <x:c r="D254" s="28" t="str">
        <x:v>Linha 1 - Corte</x:v>
      </x:c>
      <x:c r="E254" s="28" t="str">
        <x:v>1º/2º/3º</x:v>
      </x:c>
      <x:c r="F254" s="32" t="n">
        <x:v>8</x:v>
      </x:c>
      <x:c r="G254" s="32" t="n">
        <x:v>857.4</x:v>
      </x:c>
      <x:c r="H254" s="32" t="n">
        <x:v>38</x:v>
      </x:c>
      <x:c r="I254" s="32" t="n">
        <x:v>715.9</x:v>
      </x:c>
      <x:c r="J254" s="36" t="n">
        <x:v>0.835</x:v>
      </x:c>
    </x:row>
    <x:row r="255">
      <x:c r="A255" s="34" t="n">
        <x:v>45586</x:v>
      </x:c>
      <x:c r="B255" s="28" t="str">
        <x:v>Grupo Industrial S.A.</x:v>
      </x:c>
      <x:c r="C255" s="28" t="str">
        <x:v>Planta São Paulo</x:v>
      </x:c>
      <x:c r="D255" s="28" t="str">
        <x:v>Linha 2 - Montagem</x:v>
      </x:c>
      <x:c r="E255" s="28" t="str">
        <x:v>1º/2º/3º</x:v>
      </x:c>
      <x:c r="F255" s="32" t="n">
        <x:v>10</x:v>
      </x:c>
      <x:c r="G255" s="32" t="n">
        <x:v>1054.1</x:v>
      </x:c>
      <x:c r="H255" s="32" t="n">
        <x:v>51</x:v>
      </x:c>
      <x:c r="I255" s="32" t="n">
        <x:v>918.9</x:v>
      </x:c>
      <x:c r="J255" s="36" t="n">
        <x:v>0.8717</x:v>
      </x:c>
    </x:row>
    <x:row r="256">
      <x:c r="A256" s="34" t="n">
        <x:v>45586</x:v>
      </x:c>
      <x:c r="B256" s="28" t="str">
        <x:v>Grupo Industrial S.A.</x:v>
      </x:c>
      <x:c r="C256" s="28" t="str">
        <x:v>Planta Campinas</x:v>
      </x:c>
      <x:c r="D256" s="28" t="str">
        <x:v>Linha 3 - Extrusão</x:v>
      </x:c>
      <x:c r="E256" s="28" t="str">
        <x:v>1º/2º/3º</x:v>
      </x:c>
      <x:c r="F256" s="32" t="n">
        <x:v>9</x:v>
      </x:c>
      <x:c r="G256" s="32" t="n">
        <x:v>851.3</x:v>
      </x:c>
      <x:c r="H256" s="32" t="n">
        <x:v>54.8</x:v>
      </x:c>
      <x:c r="I256" s="32" t="n">
        <x:v>686.3</x:v>
      </x:c>
      <x:c r="J256" s="36" t="n">
        <x:v>0.8061</x:v>
      </x:c>
    </x:row>
    <x:row r="257">
      <x:c r="A257" s="34" t="n">
        <x:v>45586</x:v>
      </x:c>
      <x:c r="B257" s="28" t="str">
        <x:v>Grupo Industrial S.A.</x:v>
      </x:c>
      <x:c r="C257" s="28" t="str">
        <x:v>Planta Campinas</x:v>
      </x:c>
      <x:c r="D257" s="28" t="str">
        <x:v>Linha 4 - Embalagem</x:v>
      </x:c>
      <x:c r="E257" s="28" t="str">
        <x:v>1º/2º/3º</x:v>
      </x:c>
      <x:c r="F257" s="32" t="n">
        <x:v>11</x:v>
      </x:c>
      <x:c r="G257" s="32" t="n">
        <x:v>1093.1</x:v>
      </x:c>
      <x:c r="H257" s="32" t="n">
        <x:v>83.6</x:v>
      </x:c>
      <x:c r="I257" s="32" t="n">
        <x:v>784.1</x:v>
      </x:c>
      <x:c r="J257" s="36" t="n">
        <x:v>0.7173</x:v>
      </x:c>
    </x:row>
    <x:row r="258">
      <x:c r="A258" s="34" t="n">
        <x:v>45586</x:v>
      </x:c>
      <x:c r="B258" s="28" t="str">
        <x:v>Grupo Industrial S.A.</x:v>
      </x:c>
      <x:c r="C258" s="28" t="str">
        <x:v>Planta Curitiba</x:v>
      </x:c>
      <x:c r="D258" s="28" t="str">
        <x:v>Linha 5 - Usinagem</x:v>
      </x:c>
      <x:c r="E258" s="28" t="str">
        <x:v>1º/2º/3º</x:v>
      </x:c>
      <x:c r="F258" s="32" t="n">
        <x:v>9</x:v>
      </x:c>
      <x:c r="G258" s="32" t="n">
        <x:v>906.5</x:v>
      </x:c>
      <x:c r="H258" s="32" t="n">
        <x:v>58.8</x:v>
      </x:c>
      <x:c r="I258" s="32" t="n">
        <x:v>704.9</x:v>
      </x:c>
      <x:c r="J258" s="36" t="n">
        <x:v>0.7777</x:v>
      </x:c>
    </x:row>
    <x:row r="259">
      <x:c r="A259" s="34" t="n">
        <x:v>45586</x:v>
      </x:c>
      <x:c r="B259" s="28" t="str">
        <x:v>Grupo Industrial S.A.</x:v>
      </x:c>
      <x:c r="C259" s="28" t="str">
        <x:v>Planta Curitiba</x:v>
      </x:c>
      <x:c r="D259" s="28" t="str">
        <x:v>Linha 6 - Finalização</x:v>
      </x:c>
      <x:c r="E259" s="28" t="str">
        <x:v>1º/2º/3º</x:v>
      </x:c>
      <x:c r="F259" s="32" t="n">
        <x:v>12</x:v>
      </x:c>
      <x:c r="G259" s="32" t="n">
        <x:v>1220.2</x:v>
      </x:c>
      <x:c r="H259" s="32" t="n">
        <x:v>58.9</x:v>
      </x:c>
      <x:c r="I259" s="32" t="n">
        <x:v>1054.8</x:v>
      </x:c>
      <x:c r="J259" s="36" t="n">
        <x:v>0.8644</x:v>
      </x:c>
    </x:row>
    <x:row r="260">
      <x:c r="A260" s="34" t="n">
        <x:v>45593</x:v>
      </x:c>
      <x:c r="B260" s="28" t="str">
        <x:v>Grupo Industrial S.A.</x:v>
      </x:c>
      <x:c r="C260" s="28" t="str">
        <x:v>Planta São Paulo</x:v>
      </x:c>
      <x:c r="D260" s="28" t="str">
        <x:v>Linha 1 - Corte</x:v>
      </x:c>
      <x:c r="E260" s="28" t="str">
        <x:v>1º/2º/3º</x:v>
      </x:c>
      <x:c r="F260" s="32" t="n">
        <x:v>8</x:v>
      </x:c>
      <x:c r="G260" s="32" t="n">
        <x:v>834.2</x:v>
      </x:c>
      <x:c r="H260" s="32" t="n">
        <x:v>52.2</x:v>
      </x:c>
      <x:c r="I260" s="32" t="n">
        <x:v>743.4</x:v>
      </x:c>
      <x:c r="J260" s="36" t="n">
        <x:v>0.8911</x:v>
      </x:c>
    </x:row>
    <x:row r="261">
      <x:c r="A261" s="34" t="n">
        <x:v>45593</x:v>
      </x:c>
      <x:c r="B261" s="28" t="str">
        <x:v>Grupo Industrial S.A.</x:v>
      </x:c>
      <x:c r="C261" s="28" t="str">
        <x:v>Planta São Paulo</x:v>
      </x:c>
      <x:c r="D261" s="28" t="str">
        <x:v>Linha 2 - Montagem</x:v>
      </x:c>
      <x:c r="E261" s="28" t="str">
        <x:v>1º/2º/3º</x:v>
      </x:c>
      <x:c r="F261" s="32" t="n">
        <x:v>10</x:v>
      </x:c>
      <x:c r="G261" s="32" t="n">
        <x:v>1038.6</x:v>
      </x:c>
      <x:c r="H261" s="32" t="n">
        <x:v>43.7</x:v>
      </x:c>
      <x:c r="I261" s="32" t="n">
        <x:v>935.9</x:v>
      </x:c>
      <x:c r="J261" s="36" t="n">
        <x:v>0.9012</x:v>
      </x:c>
    </x:row>
    <x:row r="262">
      <x:c r="A262" s="34" t="n">
        <x:v>45593</x:v>
      </x:c>
      <x:c r="B262" s="28" t="str">
        <x:v>Grupo Industrial S.A.</x:v>
      </x:c>
      <x:c r="C262" s="28" t="str">
        <x:v>Planta Campinas</x:v>
      </x:c>
      <x:c r="D262" s="28" t="str">
        <x:v>Linha 3 - Extrusão</x:v>
      </x:c>
      <x:c r="E262" s="28" t="str">
        <x:v>1º/2º/3º</x:v>
      </x:c>
      <x:c r="F262" s="32" t="n">
        <x:v>9</x:v>
      </x:c>
      <x:c r="G262" s="32" t="n">
        <x:v>863.1</x:v>
      </x:c>
      <x:c r="H262" s="32" t="n">
        <x:v>59.2</x:v>
      </x:c>
      <x:c r="I262" s="32" t="n">
        <x:v>668.9</x:v>
      </x:c>
      <x:c r="J262" s="36" t="n">
        <x:v>0.7751</x:v>
      </x:c>
    </x:row>
    <x:row r="263">
      <x:c r="A263" s="34" t="n">
        <x:v>45593</x:v>
      </x:c>
      <x:c r="B263" s="28" t="str">
        <x:v>Grupo Industrial S.A.</x:v>
      </x:c>
      <x:c r="C263" s="28" t="str">
        <x:v>Planta Campinas</x:v>
      </x:c>
      <x:c r="D263" s="28" t="str">
        <x:v>Linha 4 - Embalagem</x:v>
      </x:c>
      <x:c r="E263" s="28" t="str">
        <x:v>1º/2º/3º</x:v>
      </x:c>
      <x:c r="F263" s="32" t="n">
        <x:v>11</x:v>
      </x:c>
      <x:c r="G263" s="32" t="n">
        <x:v>1079.4</x:v>
      </x:c>
      <x:c r="H263" s="32" t="n">
        <x:v>66</x:v>
      </x:c>
      <x:c r="I263" s="32" t="n">
        <x:v>773.3</x:v>
      </x:c>
      <x:c r="J263" s="36" t="n">
        <x:v>0.7164</x:v>
      </x:c>
    </x:row>
    <x:row r="264">
      <x:c r="A264" s="34" t="n">
        <x:v>45593</x:v>
      </x:c>
      <x:c r="B264" s="28" t="str">
        <x:v>Grupo Industrial S.A.</x:v>
      </x:c>
      <x:c r="C264" s="28" t="str">
        <x:v>Planta Curitiba</x:v>
      </x:c>
      <x:c r="D264" s="28" t="str">
        <x:v>Linha 5 - Usinagem</x:v>
      </x:c>
      <x:c r="E264" s="28" t="str">
        <x:v>1º/2º/3º</x:v>
      </x:c>
      <x:c r="F264" s="32" t="n">
        <x:v>9</x:v>
      </x:c>
      <x:c r="G264" s="32" t="n">
        <x:v>906.5</x:v>
      </x:c>
      <x:c r="H264" s="32" t="n">
        <x:v>39.6</x:v>
      </x:c>
      <x:c r="I264" s="32" t="n">
        <x:v>753</x:v>
      </x:c>
      <x:c r="J264" s="36" t="n">
        <x:v>0.8306</x:v>
      </x:c>
    </x:row>
    <x:row r="265">
      <x:c r="A265" s="34" t="n">
        <x:v>45593</x:v>
      </x:c>
      <x:c r="B265" s="28" t="str">
        <x:v>Grupo Industrial S.A.</x:v>
      </x:c>
      <x:c r="C265" s="28" t="str">
        <x:v>Planta Curitiba</x:v>
      </x:c>
      <x:c r="D265" s="28" t="str">
        <x:v>Linha 6 - Finalização</x:v>
      </x:c>
      <x:c r="E265" s="28" t="str">
        <x:v>1º/2º/3º</x:v>
      </x:c>
      <x:c r="F265" s="32" t="n">
        <x:v>12</x:v>
      </x:c>
      <x:c r="G265" s="32" t="n">
        <x:v>1234.4</x:v>
      </x:c>
      <x:c r="H265" s="32" t="n">
        <x:v>67.2</x:v>
      </x:c>
      <x:c r="I265" s="32" t="n">
        <x:v>970.5</x:v>
      </x:c>
      <x:c r="J265" s="36" t="n">
        <x:v>0.7862</x:v>
      </x:c>
    </x:row>
    <x:row r="266">
      <x:c r="A266" s="34" t="n">
        <x:v>45600</x:v>
      </x:c>
      <x:c r="B266" s="28" t="str">
        <x:v>Grupo Industrial S.A.</x:v>
      </x:c>
      <x:c r="C266" s="28" t="str">
        <x:v>Planta São Paulo</x:v>
      </x:c>
      <x:c r="D266" s="28" t="str">
        <x:v>Linha 1 - Corte</x:v>
      </x:c>
      <x:c r="E266" s="28" t="str">
        <x:v>1º/2º/3º</x:v>
      </x:c>
      <x:c r="F266" s="32" t="n">
        <x:v>8</x:v>
      </x:c>
      <x:c r="G266" s="32" t="n">
        <x:v>857.1</x:v>
      </x:c>
      <x:c r="H266" s="32" t="n">
        <x:v>45.8</x:v>
      </x:c>
      <x:c r="I266" s="32" t="n">
        <x:v>755.2</x:v>
      </x:c>
      <x:c r="J266" s="36" t="n">
        <x:v>0.8811</x:v>
      </x:c>
    </x:row>
    <x:row r="267">
      <x:c r="A267" s="34" t="n">
        <x:v>45600</x:v>
      </x:c>
      <x:c r="B267" s="28" t="str">
        <x:v>Grupo Industrial S.A.</x:v>
      </x:c>
      <x:c r="C267" s="28" t="str">
        <x:v>Planta São Paulo</x:v>
      </x:c>
      <x:c r="D267" s="28" t="str">
        <x:v>Linha 2 - Montagem</x:v>
      </x:c>
      <x:c r="E267" s="28" t="str">
        <x:v>1º/2º/3º</x:v>
      </x:c>
      <x:c r="F267" s="32" t="n">
        <x:v>10</x:v>
      </x:c>
      <x:c r="G267" s="32" t="n">
        <x:v>1064.3</x:v>
      </x:c>
      <x:c r="H267" s="32" t="n">
        <x:v>65.2</x:v>
      </x:c>
      <x:c r="I267" s="32" t="n">
        <x:v>822.4</x:v>
      </x:c>
      <x:c r="J267" s="36" t="n">
        <x:v>0.7727</x:v>
      </x:c>
    </x:row>
    <x:row r="268">
      <x:c r="A268" s="34" t="n">
        <x:v>45600</x:v>
      </x:c>
      <x:c r="B268" s="28" t="str">
        <x:v>Grupo Industrial S.A.</x:v>
      </x:c>
      <x:c r="C268" s="28" t="str">
        <x:v>Planta Campinas</x:v>
      </x:c>
      <x:c r="D268" s="28" t="str">
        <x:v>Linha 3 - Extrusão</x:v>
      </x:c>
      <x:c r="E268" s="28" t="str">
        <x:v>1º/2º/3º</x:v>
      </x:c>
      <x:c r="F268" s="32" t="n">
        <x:v>9</x:v>
      </x:c>
      <x:c r="G268" s="32" t="n">
        <x:v>860.2</x:v>
      </x:c>
      <x:c r="H268" s="32" t="n">
        <x:v>60.4</x:v>
      </x:c>
      <x:c r="I268" s="32" t="n">
        <x:v>678.1</x:v>
      </x:c>
      <x:c r="J268" s="36" t="n">
        <x:v>0.7883</x:v>
      </x:c>
    </x:row>
    <x:row r="269">
      <x:c r="A269" s="34" t="n">
        <x:v>45600</x:v>
      </x:c>
      <x:c r="B269" s="28" t="str">
        <x:v>Grupo Industrial S.A.</x:v>
      </x:c>
      <x:c r="C269" s="28" t="str">
        <x:v>Planta Campinas</x:v>
      </x:c>
      <x:c r="D269" s="28" t="str">
        <x:v>Linha 4 - Embalagem</x:v>
      </x:c>
      <x:c r="E269" s="28" t="str">
        <x:v>1º/2º/3º</x:v>
      </x:c>
      <x:c r="F269" s="32" t="n">
        <x:v>11</x:v>
      </x:c>
      <x:c r="G269" s="32" t="n">
        <x:v>1086.7</x:v>
      </x:c>
      <x:c r="H269" s="32" t="n">
        <x:v>64.5</x:v>
      </x:c>
      <x:c r="I269" s="32" t="n">
        <x:v>780.8</x:v>
      </x:c>
      <x:c r="J269" s="36" t="n">
        <x:v>0.7185</x:v>
      </x:c>
    </x:row>
    <x:row r="270">
      <x:c r="A270" s="34" t="n">
        <x:v>45600</x:v>
      </x:c>
      <x:c r="B270" s="28" t="str">
        <x:v>Grupo Industrial S.A.</x:v>
      </x:c>
      <x:c r="C270" s="28" t="str">
        <x:v>Planta Curitiba</x:v>
      </x:c>
      <x:c r="D270" s="28" t="str">
        <x:v>Linha 5 - Usinagem</x:v>
      </x:c>
      <x:c r="E270" s="28" t="str">
        <x:v>1º/2º/3º</x:v>
      </x:c>
      <x:c r="F270" s="32" t="n">
        <x:v>9</x:v>
      </x:c>
      <x:c r="G270" s="32" t="n">
        <x:v>900.6</x:v>
      </x:c>
      <x:c r="H270" s="32" t="n">
        <x:v>32.6</x:v>
      </x:c>
      <x:c r="I270" s="32" t="n">
        <x:v>664.3</x:v>
      </x:c>
      <x:c r="J270" s="36" t="n">
        <x:v>0.7376</x:v>
      </x:c>
    </x:row>
    <x:row r="271">
      <x:c r="A271" s="34" t="n">
        <x:v>45600</x:v>
      </x:c>
      <x:c r="B271" s="28" t="str">
        <x:v>Grupo Industrial S.A.</x:v>
      </x:c>
      <x:c r="C271" s="28" t="str">
        <x:v>Planta Curitiba</x:v>
      </x:c>
      <x:c r="D271" s="28" t="str">
        <x:v>Linha 6 - Finalização</x:v>
      </x:c>
      <x:c r="E271" s="28" t="str">
        <x:v>1º/2º/3º</x:v>
      </x:c>
      <x:c r="F271" s="32" t="n">
        <x:v>12</x:v>
      </x:c>
      <x:c r="G271" s="32" t="n">
        <x:v>1207.9</x:v>
      </x:c>
      <x:c r="H271" s="32" t="n">
        <x:v>47</x:v>
      </x:c>
      <x:c r="I271" s="32" t="n">
        <x:v>962.7</x:v>
      </x:c>
      <x:c r="J271" s="36" t="n">
        <x:v>0.7971</x:v>
      </x:c>
    </x:row>
    <x:row r="272">
      <x:c r="A272" s="34" t="n">
        <x:v>45607</x:v>
      </x:c>
      <x:c r="B272" s="28" t="str">
        <x:v>Grupo Industrial S.A.</x:v>
      </x:c>
      <x:c r="C272" s="28" t="str">
        <x:v>Planta São Paulo</x:v>
      </x:c>
      <x:c r="D272" s="28" t="str">
        <x:v>Linha 1 - Corte</x:v>
      </x:c>
      <x:c r="E272" s="28" t="str">
        <x:v>1º/2º/3º</x:v>
      </x:c>
      <x:c r="F272" s="32" t="n">
        <x:v>8</x:v>
      </x:c>
      <x:c r="G272" s="32" t="n">
        <x:v>836.9</x:v>
      </x:c>
      <x:c r="H272" s="32" t="n">
        <x:v>46.5</x:v>
      </x:c>
      <x:c r="I272" s="32" t="n">
        <x:v>741.5</x:v>
      </x:c>
      <x:c r="J272" s="36" t="n">
        <x:v>0.886</x:v>
      </x:c>
    </x:row>
    <x:row r="273">
      <x:c r="A273" s="34" t="n">
        <x:v>45607</x:v>
      </x:c>
      <x:c r="B273" s="28" t="str">
        <x:v>Grupo Industrial S.A.</x:v>
      </x:c>
      <x:c r="C273" s="28" t="str">
        <x:v>Planta São Paulo</x:v>
      </x:c>
      <x:c r="D273" s="28" t="str">
        <x:v>Linha 2 - Montagem</x:v>
      </x:c>
      <x:c r="E273" s="28" t="str">
        <x:v>1º/2º/3º</x:v>
      </x:c>
      <x:c r="F273" s="32" t="n">
        <x:v>10</x:v>
      </x:c>
      <x:c r="G273" s="32" t="n">
        <x:v>1044.4</x:v>
      </x:c>
      <x:c r="H273" s="32" t="n">
        <x:v>38.5</x:v>
      </x:c>
      <x:c r="I273" s="32" t="n">
        <x:v>869.1</x:v>
      </x:c>
      <x:c r="J273" s="36" t="n">
        <x:v>0.8322</x:v>
      </x:c>
    </x:row>
    <x:row r="274">
      <x:c r="A274" s="34" t="n">
        <x:v>45607</x:v>
      </x:c>
      <x:c r="B274" s="28" t="str">
        <x:v>Grupo Industrial S.A.</x:v>
      </x:c>
      <x:c r="C274" s="28" t="str">
        <x:v>Planta Campinas</x:v>
      </x:c>
      <x:c r="D274" s="28" t="str">
        <x:v>Linha 3 - Extrusão</x:v>
      </x:c>
      <x:c r="E274" s="28" t="str">
        <x:v>1º/2º/3º</x:v>
      </x:c>
      <x:c r="F274" s="32" t="n">
        <x:v>9</x:v>
      </x:c>
      <x:c r="G274" s="32" t="n">
        <x:v>874</x:v>
      </x:c>
      <x:c r="H274" s="32" t="n">
        <x:v>53.1</x:v>
      </x:c>
      <x:c r="I274" s="32" t="n">
        <x:v>686.9</x:v>
      </x:c>
      <x:c r="J274" s="36" t="n">
        <x:v>0.786</x:v>
      </x:c>
    </x:row>
    <x:row r="275">
      <x:c r="A275" s="34" t="n">
        <x:v>45607</x:v>
      </x:c>
      <x:c r="B275" s="28" t="str">
        <x:v>Grupo Industrial S.A.</x:v>
      </x:c>
      <x:c r="C275" s="28" t="str">
        <x:v>Planta Campinas</x:v>
      </x:c>
      <x:c r="D275" s="28" t="str">
        <x:v>Linha 4 - Embalagem</x:v>
      </x:c>
      <x:c r="E275" s="28" t="str">
        <x:v>1º/2º/3º</x:v>
      </x:c>
      <x:c r="F275" s="32" t="n">
        <x:v>11</x:v>
      </x:c>
      <x:c r="G275" s="32" t="n">
        <x:v>1089.6</x:v>
      </x:c>
      <x:c r="H275" s="32" t="n">
        <x:v>91.9</x:v>
      </x:c>
      <x:c r="I275" s="32" t="n">
        <x:v>801</x:v>
      </x:c>
      <x:c r="J275" s="36" t="n">
        <x:v>0.7351</x:v>
      </x:c>
    </x:row>
    <x:row r="276">
      <x:c r="A276" s="34" t="n">
        <x:v>45607</x:v>
      </x:c>
      <x:c r="B276" s="28" t="str">
        <x:v>Grupo Industrial S.A.</x:v>
      </x:c>
      <x:c r="C276" s="28" t="str">
        <x:v>Planta Curitiba</x:v>
      </x:c>
      <x:c r="D276" s="28" t="str">
        <x:v>Linha 5 - Usinagem</x:v>
      </x:c>
      <x:c r="E276" s="28" t="str">
        <x:v>1º/2º/3º</x:v>
      </x:c>
      <x:c r="F276" s="32" t="n">
        <x:v>9</x:v>
      </x:c>
      <x:c r="G276" s="32" t="n">
        <x:v>935.5</x:v>
      </x:c>
      <x:c r="H276" s="32" t="n">
        <x:v>41.3</x:v>
      </x:c>
      <x:c r="I276" s="32" t="n">
        <x:v>682.9</x:v>
      </x:c>
      <x:c r="J276" s="36" t="n">
        <x:v>0.73</x:v>
      </x:c>
    </x:row>
    <x:row r="277">
      <x:c r="A277" s="34" t="n">
        <x:v>45607</x:v>
      </x:c>
      <x:c r="B277" s="28" t="str">
        <x:v>Grupo Industrial S.A.</x:v>
      </x:c>
      <x:c r="C277" s="28" t="str">
        <x:v>Planta Curitiba</x:v>
      </x:c>
      <x:c r="D277" s="28" t="str">
        <x:v>Linha 6 - Finalização</x:v>
      </x:c>
      <x:c r="E277" s="28" t="str">
        <x:v>1º/2º/3º</x:v>
      </x:c>
      <x:c r="F277" s="32" t="n">
        <x:v>12</x:v>
      </x:c>
      <x:c r="G277" s="32" t="n">
        <x:v>1202.9</x:v>
      </x:c>
      <x:c r="H277" s="32" t="n">
        <x:v>64.5</x:v>
      </x:c>
      <x:c r="I277" s="32" t="n">
        <x:v>955.2</x:v>
      </x:c>
      <x:c r="J277" s="36" t="n">
        <x:v>0.7941</x:v>
      </x:c>
    </x:row>
    <x:row r="278">
      <x:c r="A278" s="34" t="n">
        <x:v>45614</x:v>
      </x:c>
      <x:c r="B278" s="28" t="str">
        <x:v>Grupo Industrial S.A.</x:v>
      </x:c>
      <x:c r="C278" s="28" t="str">
        <x:v>Planta São Paulo</x:v>
      </x:c>
      <x:c r="D278" s="28" t="str">
        <x:v>Linha 1 - Corte</x:v>
      </x:c>
      <x:c r="E278" s="28" t="str">
        <x:v>1º/2º/3º</x:v>
      </x:c>
      <x:c r="F278" s="32" t="n">
        <x:v>8</x:v>
      </x:c>
      <x:c r="G278" s="32" t="n">
        <x:v>834.6</x:v>
      </x:c>
      <x:c r="H278" s="32" t="n">
        <x:v>49.3</x:v>
      </x:c>
      <x:c r="I278" s="32" t="n">
        <x:v>775.4</x:v>
      </x:c>
      <x:c r="J278" s="36" t="n">
        <x:v>0.9291</x:v>
      </x:c>
    </x:row>
    <x:row r="279">
      <x:c r="A279" s="34" t="n">
        <x:v>45614</x:v>
      </x:c>
      <x:c r="B279" s="28" t="str">
        <x:v>Grupo Industrial S.A.</x:v>
      </x:c>
      <x:c r="C279" s="28" t="str">
        <x:v>Planta São Paulo</x:v>
      </x:c>
      <x:c r="D279" s="28" t="str">
        <x:v>Linha 2 - Montagem</x:v>
      </x:c>
      <x:c r="E279" s="28" t="str">
        <x:v>1º/2º/3º</x:v>
      </x:c>
      <x:c r="F279" s="32" t="n">
        <x:v>10</x:v>
      </x:c>
      <x:c r="G279" s="32" t="n">
        <x:v>1069.3</x:v>
      </x:c>
      <x:c r="H279" s="32" t="n">
        <x:v>69.1</x:v>
      </x:c>
      <x:c r="I279" s="32" t="n">
        <x:v>941.6</x:v>
      </x:c>
      <x:c r="J279" s="36" t="n">
        <x:v>0.8806</x:v>
      </x:c>
    </x:row>
    <x:row r="280">
      <x:c r="A280" s="34" t="n">
        <x:v>45614</x:v>
      </x:c>
      <x:c r="B280" s="28" t="str">
        <x:v>Grupo Industrial S.A.</x:v>
      </x:c>
      <x:c r="C280" s="28" t="str">
        <x:v>Planta Campinas</x:v>
      </x:c>
      <x:c r="D280" s="28" t="str">
        <x:v>Linha 3 - Extrusão</x:v>
      </x:c>
      <x:c r="E280" s="28" t="str">
        <x:v>1º/2º/3º</x:v>
      </x:c>
      <x:c r="F280" s="32" t="n">
        <x:v>9</x:v>
      </x:c>
      <x:c r="G280" s="32" t="n">
        <x:v>872.7</x:v>
      </x:c>
      <x:c r="H280" s="32" t="n">
        <x:v>64.8</x:v>
      </x:c>
      <x:c r="I280" s="32" t="n">
        <x:v>669.6</x:v>
      </x:c>
      <x:c r="J280" s="36" t="n">
        <x:v>0.7673</x:v>
      </x:c>
    </x:row>
    <x:row r="281">
      <x:c r="A281" s="34" t="n">
        <x:v>45614</x:v>
      </x:c>
      <x:c r="B281" s="28" t="str">
        <x:v>Grupo Industrial S.A.</x:v>
      </x:c>
      <x:c r="C281" s="28" t="str">
        <x:v>Planta Campinas</x:v>
      </x:c>
      <x:c r="D281" s="28" t="str">
        <x:v>Linha 4 - Embalagem</x:v>
      </x:c>
      <x:c r="E281" s="28" t="str">
        <x:v>1º/2º/3º</x:v>
      </x:c>
      <x:c r="F281" s="32" t="n">
        <x:v>11</x:v>
      </x:c>
      <x:c r="G281" s="32" t="n">
        <x:v>1046.6</x:v>
      </x:c>
      <x:c r="H281" s="32" t="n">
        <x:v>88.9</x:v>
      </x:c>
      <x:c r="I281" s="32" t="n">
        <x:v>808.3</x:v>
      </x:c>
      <x:c r="J281" s="36" t="n">
        <x:v>0.7723</x:v>
      </x:c>
    </x:row>
    <x:row r="282">
      <x:c r="A282" s="34" t="n">
        <x:v>45614</x:v>
      </x:c>
      <x:c r="B282" s="28" t="str">
        <x:v>Grupo Industrial S.A.</x:v>
      </x:c>
      <x:c r="C282" s="28" t="str">
        <x:v>Planta Curitiba</x:v>
      </x:c>
      <x:c r="D282" s="28" t="str">
        <x:v>Linha 5 - Usinagem</x:v>
      </x:c>
      <x:c r="E282" s="28" t="str">
        <x:v>1º/2º/3º</x:v>
      </x:c>
      <x:c r="F282" s="32" t="n">
        <x:v>9</x:v>
      </x:c>
      <x:c r="G282" s="32" t="n">
        <x:v>906.3</x:v>
      </x:c>
      <x:c r="H282" s="32" t="n">
        <x:v>41.3</x:v>
      </x:c>
      <x:c r="I282" s="32" t="n">
        <x:v>638.3</x:v>
      </x:c>
      <x:c r="J282" s="36" t="n">
        <x:v>0.7043</x:v>
      </x:c>
    </x:row>
    <x:row r="283">
      <x:c r="A283" s="34" t="n">
        <x:v>45614</x:v>
      </x:c>
      <x:c r="B283" s="28" t="str">
        <x:v>Grupo Industrial S.A.</x:v>
      </x:c>
      <x:c r="C283" s="28" t="str">
        <x:v>Planta Curitiba</x:v>
      </x:c>
      <x:c r="D283" s="28" t="str">
        <x:v>Linha 6 - Finalização</x:v>
      </x:c>
      <x:c r="E283" s="28" t="str">
        <x:v>1º/2º/3º</x:v>
      </x:c>
      <x:c r="F283" s="32" t="n">
        <x:v>12</x:v>
      </x:c>
      <x:c r="G283" s="32" t="n">
        <x:v>1229.5</x:v>
      </x:c>
      <x:c r="H283" s="32" t="n">
        <x:v>59.6</x:v>
      </x:c>
      <x:c r="I283" s="32" t="n">
        <x:v>889</x:v>
      </x:c>
      <x:c r="J283" s="36" t="n">
        <x:v>0.723</x:v>
      </x:c>
    </x:row>
    <x:row r="284">
      <x:c r="A284" s="34" t="n">
        <x:v>45621</x:v>
      </x:c>
      <x:c r="B284" s="28" t="str">
        <x:v>Grupo Industrial S.A.</x:v>
      </x:c>
      <x:c r="C284" s="28" t="str">
        <x:v>Planta São Paulo</x:v>
      </x:c>
      <x:c r="D284" s="28" t="str">
        <x:v>Linha 1 - Corte</x:v>
      </x:c>
      <x:c r="E284" s="28" t="str">
        <x:v>1º/2º/3º</x:v>
      </x:c>
      <x:c r="F284" s="32" t="n">
        <x:v>8</x:v>
      </x:c>
      <x:c r="G284" s="32" t="n">
        <x:v>860.8</x:v>
      </x:c>
      <x:c r="H284" s="32" t="n">
        <x:v>31.4</x:v>
      </x:c>
      <x:c r="I284" s="32" t="n">
        <x:v>755.7</x:v>
      </x:c>
      <x:c r="J284" s="36" t="n">
        <x:v>0.8779</x:v>
      </x:c>
    </x:row>
    <x:row r="285">
      <x:c r="A285" s="34" t="n">
        <x:v>45621</x:v>
      </x:c>
      <x:c r="B285" s="28" t="str">
        <x:v>Grupo Industrial S.A.</x:v>
      </x:c>
      <x:c r="C285" s="28" t="str">
        <x:v>Planta São Paulo</x:v>
      </x:c>
      <x:c r="D285" s="28" t="str">
        <x:v>Linha 2 - Montagem</x:v>
      </x:c>
      <x:c r="E285" s="28" t="str">
        <x:v>1º/2º/3º</x:v>
      </x:c>
      <x:c r="F285" s="32" t="n">
        <x:v>10</x:v>
      </x:c>
      <x:c r="G285" s="32" t="n">
        <x:v>1022</x:v>
      </x:c>
      <x:c r="H285" s="32" t="n">
        <x:v>51</x:v>
      </x:c>
      <x:c r="I285" s="32" t="n">
        <x:v>848.4</x:v>
      </x:c>
      <x:c r="J285" s="36" t="n">
        <x:v>0.8301</x:v>
      </x:c>
    </x:row>
    <x:row r="286">
      <x:c r="A286" s="34" t="n">
        <x:v>45621</x:v>
      </x:c>
      <x:c r="B286" s="28" t="str">
        <x:v>Grupo Industrial S.A.</x:v>
      </x:c>
      <x:c r="C286" s="28" t="str">
        <x:v>Planta Campinas</x:v>
      </x:c>
      <x:c r="D286" s="28" t="str">
        <x:v>Linha 3 - Extrusão</x:v>
      </x:c>
      <x:c r="E286" s="28" t="str">
        <x:v>1º/2º/3º</x:v>
      </x:c>
      <x:c r="F286" s="32" t="n">
        <x:v>9</x:v>
      </x:c>
      <x:c r="G286" s="32" t="n">
        <x:v>856.2</x:v>
      </x:c>
      <x:c r="H286" s="32" t="n">
        <x:v>61.4</x:v>
      </x:c>
      <x:c r="I286" s="32" t="n">
        <x:v>661.9</x:v>
      </x:c>
      <x:c r="J286" s="36" t="n">
        <x:v>0.7731</x:v>
      </x:c>
    </x:row>
    <x:row r="287">
      <x:c r="A287" s="34" t="n">
        <x:v>45621</x:v>
      </x:c>
      <x:c r="B287" s="28" t="str">
        <x:v>Grupo Industrial S.A.</x:v>
      </x:c>
      <x:c r="C287" s="28" t="str">
        <x:v>Planta Campinas</x:v>
      </x:c>
      <x:c r="D287" s="28" t="str">
        <x:v>Linha 4 - Embalagem</x:v>
      </x:c>
      <x:c r="E287" s="28" t="str">
        <x:v>1º/2º/3º</x:v>
      </x:c>
      <x:c r="F287" s="32" t="n">
        <x:v>11</x:v>
      </x:c>
      <x:c r="G287" s="32" t="n">
        <x:v>1059.1</x:v>
      </x:c>
      <x:c r="H287" s="32" t="n">
        <x:v>85.6</x:v>
      </x:c>
      <x:c r="I287" s="32" t="n">
        <x:v>834.7</x:v>
      </x:c>
      <x:c r="J287" s="36" t="n">
        <x:v>0.7881</x:v>
      </x:c>
    </x:row>
    <x:row r="288">
      <x:c r="A288" s="34" t="n">
        <x:v>45621</x:v>
      </x:c>
      <x:c r="B288" s="28" t="str">
        <x:v>Grupo Industrial S.A.</x:v>
      </x:c>
      <x:c r="C288" s="28" t="str">
        <x:v>Planta Curitiba</x:v>
      </x:c>
      <x:c r="D288" s="28" t="str">
        <x:v>Linha 5 - Usinagem</x:v>
      </x:c>
      <x:c r="E288" s="28" t="str">
        <x:v>1º/2º/3º</x:v>
      </x:c>
      <x:c r="F288" s="32" t="n">
        <x:v>9</x:v>
      </x:c>
      <x:c r="G288" s="32" t="n">
        <x:v>896.7</x:v>
      </x:c>
      <x:c r="H288" s="32" t="n">
        <x:v>48.9</x:v>
      </x:c>
      <x:c r="I288" s="32" t="n">
        <x:v>642.4</x:v>
      </x:c>
      <x:c r="J288" s="36" t="n">
        <x:v>0.7164</x:v>
      </x:c>
    </x:row>
    <x:row r="289">
      <x:c r="A289" s="34" t="n">
        <x:v>45621</x:v>
      </x:c>
      <x:c r="B289" s="28" t="str">
        <x:v>Grupo Industrial S.A.</x:v>
      </x:c>
      <x:c r="C289" s="28" t="str">
        <x:v>Planta Curitiba</x:v>
      </x:c>
      <x:c r="D289" s="28" t="str">
        <x:v>Linha 6 - Finalização</x:v>
      </x:c>
      <x:c r="E289" s="28" t="str">
        <x:v>1º/2º/3º</x:v>
      </x:c>
      <x:c r="F289" s="32" t="n">
        <x:v>12</x:v>
      </x:c>
      <x:c r="G289" s="32" t="n">
        <x:v>1239.3</x:v>
      </x:c>
      <x:c r="H289" s="32" t="n">
        <x:v>62.6</x:v>
      </x:c>
      <x:c r="I289" s="32" t="n">
        <x:v>886.2</x:v>
      </x:c>
      <x:c r="J289" s="36" t="n">
        <x:v>0.7151</x:v>
      </x:c>
    </x:row>
    <x:row r="290">
      <x:c r="A290" s="34" t="n">
        <x:v>45628</x:v>
      </x:c>
      <x:c r="B290" s="28" t="str">
        <x:v>Grupo Industrial S.A.</x:v>
      </x:c>
      <x:c r="C290" s="28" t="str">
        <x:v>Planta São Paulo</x:v>
      </x:c>
      <x:c r="D290" s="28" t="str">
        <x:v>Linha 1 - Corte</x:v>
      </x:c>
      <x:c r="E290" s="28" t="str">
        <x:v>1º/2º/3º</x:v>
      </x:c>
      <x:c r="F290" s="32" t="n">
        <x:v>8</x:v>
      </x:c>
      <x:c r="G290" s="32" t="n">
        <x:v>835.9</x:v>
      </x:c>
      <x:c r="H290" s="32" t="n">
        <x:v>45.6</x:v>
      </x:c>
      <x:c r="I290" s="32" t="n">
        <x:v>676.4</x:v>
      </x:c>
      <x:c r="J290" s="36" t="n">
        <x:v>0.8093</x:v>
      </x:c>
    </x:row>
    <x:row r="291">
      <x:c r="A291" s="34" t="n">
        <x:v>45628</x:v>
      </x:c>
      <x:c r="B291" s="28" t="str">
        <x:v>Grupo Industrial S.A.</x:v>
      </x:c>
      <x:c r="C291" s="28" t="str">
        <x:v>Planta São Paulo</x:v>
      </x:c>
      <x:c r="D291" s="28" t="str">
        <x:v>Linha 2 - Montagem</x:v>
      </x:c>
      <x:c r="E291" s="28" t="str">
        <x:v>1º/2º/3º</x:v>
      </x:c>
      <x:c r="F291" s="32" t="n">
        <x:v>10</x:v>
      </x:c>
      <x:c r="G291" s="32" t="n">
        <x:v>1039.8</x:v>
      </x:c>
      <x:c r="H291" s="32" t="n">
        <x:v>51.5</x:v>
      </x:c>
      <x:c r="I291" s="32" t="n">
        <x:v>756.7</x:v>
      </x:c>
      <x:c r="J291" s="36" t="n">
        <x:v>0.7277</x:v>
      </x:c>
    </x:row>
    <x:row r="292">
      <x:c r="A292" s="34" t="n">
        <x:v>45628</x:v>
      </x:c>
      <x:c r="B292" s="28" t="str">
        <x:v>Grupo Industrial S.A.</x:v>
      </x:c>
      <x:c r="C292" s="28" t="str">
        <x:v>Planta Campinas</x:v>
      </x:c>
      <x:c r="D292" s="28" t="str">
        <x:v>Linha 3 - Extrusão</x:v>
      </x:c>
      <x:c r="E292" s="28" t="str">
        <x:v>1º/2º/3º</x:v>
      </x:c>
      <x:c r="F292" s="32" t="n">
        <x:v>9</x:v>
      </x:c>
      <x:c r="G292" s="32" t="n">
        <x:v>856.3</x:v>
      </x:c>
      <x:c r="H292" s="32" t="n">
        <x:v>49.6</x:v>
      </x:c>
      <x:c r="I292" s="32" t="n">
        <x:v>584.9</x:v>
      </x:c>
      <x:c r="J292" s="36" t="n">
        <x:v>0.6831</x:v>
      </x:c>
    </x:row>
    <x:row r="293">
      <x:c r="A293" s="34" t="n">
        <x:v>45628</x:v>
      </x:c>
      <x:c r="B293" s="28" t="str">
        <x:v>Grupo Industrial S.A.</x:v>
      </x:c>
      <x:c r="C293" s="28" t="str">
        <x:v>Planta Campinas</x:v>
      </x:c>
      <x:c r="D293" s="28" t="str">
        <x:v>Linha 4 - Embalagem</x:v>
      </x:c>
      <x:c r="E293" s="28" t="str">
        <x:v>1º/2º/3º</x:v>
      </x:c>
      <x:c r="F293" s="32" t="n">
        <x:v>11</x:v>
      </x:c>
      <x:c r="G293" s="32" t="n">
        <x:v>1075.9</x:v>
      </x:c>
      <x:c r="H293" s="32" t="n">
        <x:v>70.7</x:v>
      </x:c>
      <x:c r="I293" s="32" t="n">
        <x:v>733.5</x:v>
      </x:c>
      <x:c r="J293" s="36" t="n">
        <x:v>0.6818</x:v>
      </x:c>
    </x:row>
    <x:row r="294">
      <x:c r="A294" s="34" t="n">
        <x:v>45628</x:v>
      </x:c>
      <x:c r="B294" s="28" t="str">
        <x:v>Grupo Industrial S.A.</x:v>
      </x:c>
      <x:c r="C294" s="28" t="str">
        <x:v>Planta Curitiba</x:v>
      </x:c>
      <x:c r="D294" s="28" t="str">
        <x:v>Linha 5 - Usinagem</x:v>
      </x:c>
      <x:c r="E294" s="28" t="str">
        <x:v>1º/2º/3º</x:v>
      </x:c>
      <x:c r="F294" s="32" t="n">
        <x:v>9</x:v>
      </x:c>
      <x:c r="G294" s="32" t="n">
        <x:v>912.9</x:v>
      </x:c>
      <x:c r="H294" s="32" t="n">
        <x:v>43.3</x:v>
      </x:c>
      <x:c r="I294" s="32" t="n">
        <x:v>589.6</x:v>
      </x:c>
      <x:c r="J294" s="36" t="n">
        <x:v>0.6459</x:v>
      </x:c>
    </x:row>
    <x:row r="295">
      <x:c r="A295" s="34" t="n">
        <x:v>45628</x:v>
      </x:c>
      <x:c r="B295" s="28" t="str">
        <x:v>Grupo Industrial S.A.</x:v>
      </x:c>
      <x:c r="C295" s="28" t="str">
        <x:v>Planta Curitiba</x:v>
      </x:c>
      <x:c r="D295" s="28" t="str">
        <x:v>Linha 6 - Finalização</x:v>
      </x:c>
      <x:c r="E295" s="28" t="str">
        <x:v>1º/2º/3º</x:v>
      </x:c>
      <x:c r="F295" s="32" t="n">
        <x:v>12</x:v>
      </x:c>
      <x:c r="G295" s="32" t="n">
        <x:v>1197.4</x:v>
      </x:c>
      <x:c r="H295" s="32" t="n">
        <x:v>63.3</x:v>
      </x:c>
      <x:c r="I295" s="32" t="n">
        <x:v>880.2</x:v>
      </x:c>
      <x:c r="J295" s="36" t="n">
        <x:v>0.7351</x:v>
      </x:c>
    </x:row>
    <x:row r="296">
      <x:c r="A296" s="34" t="n">
        <x:v>45635</x:v>
      </x:c>
      <x:c r="B296" s="28" t="str">
        <x:v>Grupo Industrial S.A.</x:v>
      </x:c>
      <x:c r="C296" s="28" t="str">
        <x:v>Planta São Paulo</x:v>
      </x:c>
      <x:c r="D296" s="28" t="str">
        <x:v>Linha 1 - Corte</x:v>
      </x:c>
      <x:c r="E296" s="28" t="str">
        <x:v>1º/2º/3º</x:v>
      </x:c>
      <x:c r="F296" s="32" t="n">
        <x:v>8</x:v>
      </x:c>
      <x:c r="G296" s="32" t="n">
        <x:v>842.1</x:v>
      </x:c>
      <x:c r="H296" s="32" t="n">
        <x:v>47.1</x:v>
      </x:c>
      <x:c r="I296" s="32" t="n">
        <x:v>691.5</x:v>
      </x:c>
      <x:c r="J296" s="36" t="n">
        <x:v>0.8212</x:v>
      </x:c>
    </x:row>
    <x:row r="297">
      <x:c r="A297" s="34" t="n">
        <x:v>45635</x:v>
      </x:c>
      <x:c r="B297" s="28" t="str">
        <x:v>Grupo Industrial S.A.</x:v>
      </x:c>
      <x:c r="C297" s="28" t="str">
        <x:v>Planta São Paulo</x:v>
      </x:c>
      <x:c r="D297" s="28" t="str">
        <x:v>Linha 2 - Montagem</x:v>
      </x:c>
      <x:c r="E297" s="28" t="str">
        <x:v>1º/2º/3º</x:v>
      </x:c>
      <x:c r="F297" s="32" t="n">
        <x:v>10</x:v>
      </x:c>
      <x:c r="G297" s="32" t="n">
        <x:v>1061.2</x:v>
      </x:c>
      <x:c r="H297" s="32" t="n">
        <x:v>45.8</x:v>
      </x:c>
      <x:c r="I297" s="32" t="n">
        <x:v>794.1</x:v>
      </x:c>
      <x:c r="J297" s="36" t="n">
        <x:v>0.7483</x:v>
      </x:c>
    </x:row>
    <x:row r="298">
      <x:c r="A298" s="34" t="n">
        <x:v>45635</x:v>
      </x:c>
      <x:c r="B298" s="28" t="str">
        <x:v>Grupo Industrial S.A.</x:v>
      </x:c>
      <x:c r="C298" s="28" t="str">
        <x:v>Planta Campinas</x:v>
      </x:c>
      <x:c r="D298" s="28" t="str">
        <x:v>Linha 3 - Extrusão</x:v>
      </x:c>
      <x:c r="E298" s="28" t="str">
        <x:v>1º/2º/3º</x:v>
      </x:c>
      <x:c r="F298" s="32" t="n">
        <x:v>9</x:v>
      </x:c>
      <x:c r="G298" s="32" t="n">
        <x:v>842.3</x:v>
      </x:c>
      <x:c r="H298" s="32" t="n">
        <x:v>61</x:v>
      </x:c>
      <x:c r="I298" s="32" t="n">
        <x:v>605.6</x:v>
      </x:c>
      <x:c r="J298" s="36" t="n">
        <x:v>0.719</x:v>
      </x:c>
    </x:row>
    <x:row r="299">
      <x:c r="A299" s="34" t="n">
        <x:v>45635</x:v>
      </x:c>
      <x:c r="B299" s="28" t="str">
        <x:v>Grupo Industrial S.A.</x:v>
      </x:c>
      <x:c r="C299" s="28" t="str">
        <x:v>Planta Campinas</x:v>
      </x:c>
      <x:c r="D299" s="28" t="str">
        <x:v>Linha 4 - Embalagem</x:v>
      </x:c>
      <x:c r="E299" s="28" t="str">
        <x:v>1º/2º/3º</x:v>
      </x:c>
      <x:c r="F299" s="32" t="n">
        <x:v>11</x:v>
      </x:c>
      <x:c r="G299" s="32" t="n">
        <x:v>1032.9</x:v>
      </x:c>
      <x:c r="H299" s="32" t="n">
        <x:v>87.6</x:v>
      </x:c>
      <x:c r="I299" s="32" t="n">
        <x:v>647.9</x:v>
      </x:c>
      <x:c r="J299" s="36" t="n">
        <x:v>0.6272</x:v>
      </x:c>
    </x:row>
    <x:row r="300">
      <x:c r="A300" s="34" t="n">
        <x:v>45635</x:v>
      </x:c>
      <x:c r="B300" s="28" t="str">
        <x:v>Grupo Industrial S.A.</x:v>
      </x:c>
      <x:c r="C300" s="28" t="str">
        <x:v>Planta Curitiba</x:v>
      </x:c>
      <x:c r="D300" s="28" t="str">
        <x:v>Linha 5 - Usinagem</x:v>
      </x:c>
      <x:c r="E300" s="28" t="str">
        <x:v>1º/2º/3º</x:v>
      </x:c>
      <x:c r="F300" s="32" t="n">
        <x:v>9</x:v>
      </x:c>
      <x:c r="G300" s="32" t="n">
        <x:v>894.4</x:v>
      </x:c>
      <x:c r="H300" s="32" t="n">
        <x:v>53.3</x:v>
      </x:c>
      <x:c r="I300" s="32" t="n">
        <x:v>633</x:v>
      </x:c>
      <x:c r="J300" s="36" t="n">
        <x:v>0.7077</x:v>
      </x:c>
    </x:row>
    <x:row r="301">
      <x:c r="A301" s="34" t="n">
        <x:v>45635</x:v>
      </x:c>
      <x:c r="B301" s="28" t="str">
        <x:v>Grupo Industrial S.A.</x:v>
      </x:c>
      <x:c r="C301" s="28" t="str">
        <x:v>Planta Curitiba</x:v>
      </x:c>
      <x:c r="D301" s="28" t="str">
        <x:v>Linha 6 - Finalização</x:v>
      </x:c>
      <x:c r="E301" s="28" t="str">
        <x:v>1º/2º/3º</x:v>
      </x:c>
      <x:c r="F301" s="32" t="n">
        <x:v>12</x:v>
      </x:c>
      <x:c r="G301" s="32" t="n">
        <x:v>1192.8</x:v>
      </x:c>
      <x:c r="H301" s="32" t="n">
        <x:v>56.1</x:v>
      </x:c>
      <x:c r="I301" s="32" t="n">
        <x:v>827.7</x:v>
      </x:c>
      <x:c r="J301" s="36" t="n">
        <x:v>0.694</x:v>
      </x:c>
    </x:row>
    <x:row r="302">
      <x:c r="A302" s="34" t="n">
        <x:v>45642</x:v>
      </x:c>
      <x:c r="B302" s="28" t="str">
        <x:v>Grupo Industrial S.A.</x:v>
      </x:c>
      <x:c r="C302" s="28" t="str">
        <x:v>Planta São Paulo</x:v>
      </x:c>
      <x:c r="D302" s="28" t="str">
        <x:v>Linha 1 - Corte</x:v>
      </x:c>
      <x:c r="E302" s="28" t="str">
        <x:v>1º/2º/3º</x:v>
      </x:c>
      <x:c r="F302" s="32" t="n">
        <x:v>8</x:v>
      </x:c>
      <x:c r="G302" s="32" t="n">
        <x:v>825.6</x:v>
      </x:c>
      <x:c r="H302" s="32" t="n">
        <x:v>49.5</x:v>
      </x:c>
      <x:c r="I302" s="32" t="n">
        <x:v>702.6</x:v>
      </x:c>
      <x:c r="J302" s="36" t="n">
        <x:v>0.8511</x:v>
      </x:c>
    </x:row>
    <x:row r="303">
      <x:c r="A303" s="34" t="n">
        <x:v>45642</x:v>
      </x:c>
      <x:c r="B303" s="28" t="str">
        <x:v>Grupo Industrial S.A.</x:v>
      </x:c>
      <x:c r="C303" s="28" t="str">
        <x:v>Planta São Paulo</x:v>
      </x:c>
      <x:c r="D303" s="28" t="str">
        <x:v>Linha 2 - Montagem</x:v>
      </x:c>
      <x:c r="E303" s="28" t="str">
        <x:v>1º/2º/3º</x:v>
      </x:c>
      <x:c r="F303" s="32" t="n">
        <x:v>10</x:v>
      </x:c>
      <x:c r="G303" s="32" t="n">
        <x:v>1027</x:v>
      </x:c>
      <x:c r="H303" s="32" t="n">
        <x:v>60</x:v>
      </x:c>
      <x:c r="I303" s="32" t="n">
        <x:v>741.6</x:v>
      </x:c>
      <x:c r="J303" s="36" t="n">
        <x:v>0.7221</x:v>
      </x:c>
    </x:row>
    <x:row r="304">
      <x:c r="A304" s="34" t="n">
        <x:v>45642</x:v>
      </x:c>
      <x:c r="B304" s="28" t="str">
        <x:v>Grupo Industrial S.A.</x:v>
      </x:c>
      <x:c r="C304" s="28" t="str">
        <x:v>Planta Campinas</x:v>
      </x:c>
      <x:c r="D304" s="28" t="str">
        <x:v>Linha 3 - Extrusão</x:v>
      </x:c>
      <x:c r="E304" s="28" t="str">
        <x:v>1º/2º/3º</x:v>
      </x:c>
      <x:c r="F304" s="32" t="n">
        <x:v>9</x:v>
      </x:c>
      <x:c r="G304" s="32" t="n">
        <x:v>881.4</x:v>
      </x:c>
      <x:c r="H304" s="32" t="n">
        <x:v>71.1</x:v>
      </x:c>
      <x:c r="I304" s="32" t="n">
        <x:v>590.9</x:v>
      </x:c>
      <x:c r="J304" s="36" t="n">
        <x:v>0.6705</x:v>
      </x:c>
    </x:row>
    <x:row r="305">
      <x:c r="A305" s="34" t="n">
        <x:v>45642</x:v>
      </x:c>
      <x:c r="B305" s="28" t="str">
        <x:v>Grupo Industrial S.A.</x:v>
      </x:c>
      <x:c r="C305" s="28" t="str">
        <x:v>Planta Campinas</x:v>
      </x:c>
      <x:c r="D305" s="28" t="str">
        <x:v>Linha 4 - Embalagem</x:v>
      </x:c>
      <x:c r="E305" s="28" t="str">
        <x:v>1º/2º/3º</x:v>
      </x:c>
      <x:c r="F305" s="32" t="n">
        <x:v>11</x:v>
      </x:c>
      <x:c r="G305" s="32" t="n">
        <x:v>1038.2</x:v>
      </x:c>
      <x:c r="H305" s="32" t="n">
        <x:v>57.7</x:v>
      </x:c>
      <x:c r="I305" s="32" t="n">
        <x:v>679.6</x:v>
      </x:c>
      <x:c r="J305" s="36" t="n">
        <x:v>0.6546</x:v>
      </x:c>
    </x:row>
    <x:row r="306">
      <x:c r="A306" s="34" t="n">
        <x:v>45642</x:v>
      </x:c>
      <x:c r="B306" s="28" t="str">
        <x:v>Grupo Industrial S.A.</x:v>
      </x:c>
      <x:c r="C306" s="28" t="str">
        <x:v>Planta Curitiba</x:v>
      </x:c>
      <x:c r="D306" s="28" t="str">
        <x:v>Linha 5 - Usinagem</x:v>
      </x:c>
      <x:c r="E306" s="28" t="str">
        <x:v>1º/2º/3º</x:v>
      </x:c>
      <x:c r="F306" s="32" t="n">
        <x:v>9</x:v>
      </x:c>
      <x:c r="G306" s="32" t="n">
        <x:v>898.5</x:v>
      </x:c>
      <x:c r="H306" s="32" t="n">
        <x:v>52.1</x:v>
      </x:c>
      <x:c r="I306" s="32" t="n">
        <x:v>622.5</x:v>
      </x:c>
      <x:c r="J306" s="36" t="n">
        <x:v>0.6928</x:v>
      </x:c>
    </x:row>
    <x:row r="307">
      <x:c r="A307" s="34" t="n">
        <x:v>45642</x:v>
      </x:c>
      <x:c r="B307" s="28" t="str">
        <x:v>Grupo Industrial S.A.</x:v>
      </x:c>
      <x:c r="C307" s="28" t="str">
        <x:v>Planta Curitiba</x:v>
      </x:c>
      <x:c r="D307" s="28" t="str">
        <x:v>Linha 6 - Finalização</x:v>
      </x:c>
      <x:c r="E307" s="28" t="str">
        <x:v>1º/2º/3º</x:v>
      </x:c>
      <x:c r="F307" s="32" t="n">
        <x:v>12</x:v>
      </x:c>
      <x:c r="G307" s="32" t="n">
        <x:v>1238.6</x:v>
      </x:c>
      <x:c r="H307" s="32" t="n">
        <x:v>66.6</x:v>
      </x:c>
      <x:c r="I307" s="32" t="n">
        <x:v>843.2</x:v>
      </x:c>
      <x:c r="J307" s="36" t="n">
        <x:v>0.6808</x:v>
      </x:c>
    </x:row>
    <x:row r="308">
      <x:c r="A308" s="34" t="n">
        <x:v>45649</x:v>
      </x:c>
      <x:c r="B308" s="28" t="str">
        <x:v>Grupo Industrial S.A.</x:v>
      </x:c>
      <x:c r="C308" s="28" t="str">
        <x:v>Planta São Paulo</x:v>
      </x:c>
      <x:c r="D308" s="28" t="str">
        <x:v>Linha 1 - Corte</x:v>
      </x:c>
      <x:c r="E308" s="28" t="str">
        <x:v>1º/2º/3º</x:v>
      </x:c>
      <x:c r="F308" s="32" t="n">
        <x:v>8</x:v>
      </x:c>
      <x:c r="G308" s="32" t="n">
        <x:v>840.6</x:v>
      </x:c>
      <x:c r="H308" s="32" t="n">
        <x:v>51.2</x:v>
      </x:c>
      <x:c r="I308" s="32" t="n">
        <x:v>676.6</x:v>
      </x:c>
      <x:c r="J308" s="36" t="n">
        <x:v>0.8049</x:v>
      </x:c>
    </x:row>
    <x:row r="309">
      <x:c r="A309" s="34" t="n">
        <x:v>45649</x:v>
      </x:c>
      <x:c r="B309" s="28" t="str">
        <x:v>Grupo Industrial S.A.</x:v>
      </x:c>
      <x:c r="C309" s="28" t="str">
        <x:v>Planta São Paulo</x:v>
      </x:c>
      <x:c r="D309" s="28" t="str">
        <x:v>Linha 2 - Montagem</x:v>
      </x:c>
      <x:c r="E309" s="28" t="str">
        <x:v>1º/2º/3º</x:v>
      </x:c>
      <x:c r="F309" s="32" t="n">
        <x:v>10</x:v>
      </x:c>
      <x:c r="G309" s="32" t="n">
        <x:v>1076.2</x:v>
      </x:c>
      <x:c r="H309" s="32" t="n">
        <x:v>50.2</x:v>
      </x:c>
      <x:c r="I309" s="32" t="n">
        <x:v>790.3</x:v>
      </x:c>
      <x:c r="J309" s="36" t="n">
        <x:v>0.7343</x:v>
      </x:c>
    </x:row>
    <x:row r="310">
      <x:c r="A310" s="34" t="n">
        <x:v>45649</x:v>
      </x:c>
      <x:c r="B310" s="28" t="str">
        <x:v>Grupo Industrial S.A.</x:v>
      </x:c>
      <x:c r="C310" s="28" t="str">
        <x:v>Planta Campinas</x:v>
      </x:c>
      <x:c r="D310" s="28" t="str">
        <x:v>Linha 3 - Extrusão</x:v>
      </x:c>
      <x:c r="E310" s="28" t="str">
        <x:v>1º/2º/3º</x:v>
      </x:c>
      <x:c r="F310" s="32" t="n">
        <x:v>9</x:v>
      </x:c>
      <x:c r="G310" s="32" t="n">
        <x:v>860.1</x:v>
      </x:c>
      <x:c r="H310" s="32" t="n">
        <x:v>67.7</x:v>
      </x:c>
      <x:c r="I310" s="32" t="n">
        <x:v>566.4</x:v>
      </x:c>
      <x:c r="J310" s="36" t="n">
        <x:v>0.6586</x:v>
      </x:c>
    </x:row>
    <x:row r="311">
      <x:c r="A311" s="34" t="n">
        <x:v>45649</x:v>
      </x:c>
      <x:c r="B311" s="28" t="str">
        <x:v>Grupo Industrial S.A.</x:v>
      </x:c>
      <x:c r="C311" s="28" t="str">
        <x:v>Planta Campinas</x:v>
      </x:c>
      <x:c r="D311" s="28" t="str">
        <x:v>Linha 4 - Embalagem</x:v>
      </x:c>
      <x:c r="E311" s="28" t="str">
        <x:v>1º/2º/3º</x:v>
      </x:c>
      <x:c r="F311" s="32" t="n">
        <x:v>11</x:v>
      </x:c>
      <x:c r="G311" s="32" t="n">
        <x:v>1040.9</x:v>
      </x:c>
      <x:c r="H311" s="32" t="n">
        <x:v>75.3</x:v>
      </x:c>
      <x:c r="I311" s="32" t="n">
        <x:v>705.8</x:v>
      </x:c>
      <x:c r="J311" s="36" t="n">
        <x:v>0.678</x:v>
      </x:c>
    </x:row>
    <x:row r="312">
      <x:c r="A312" s="34" t="n">
        <x:v>45649</x:v>
      </x:c>
      <x:c r="B312" s="28" t="str">
        <x:v>Grupo Industrial S.A.</x:v>
      </x:c>
      <x:c r="C312" s="28" t="str">
        <x:v>Planta Curitiba</x:v>
      </x:c>
      <x:c r="D312" s="28" t="str">
        <x:v>Linha 5 - Usinagem</x:v>
      </x:c>
      <x:c r="E312" s="28" t="str">
        <x:v>1º/2º/3º</x:v>
      </x:c>
      <x:c r="F312" s="32" t="n">
        <x:v>9</x:v>
      </x:c>
      <x:c r="G312" s="32" t="n">
        <x:v>911.6</x:v>
      </x:c>
      <x:c r="H312" s="32" t="n">
        <x:v>55</x:v>
      </x:c>
      <x:c r="I312" s="32" t="n">
        <x:v>612.7</x:v>
      </x:c>
      <x:c r="J312" s="36" t="n">
        <x:v>0.6721</x:v>
      </x:c>
    </x:row>
    <x:row r="313">
      <x:c r="A313" s="34" t="n">
        <x:v>45649</x:v>
      </x:c>
      <x:c r="B313" s="28" t="str">
        <x:v>Grupo Industrial S.A.</x:v>
      </x:c>
      <x:c r="C313" s="28" t="str">
        <x:v>Planta Curitiba</x:v>
      </x:c>
      <x:c r="D313" s="28" t="str">
        <x:v>Linha 6 - Finalização</x:v>
      </x:c>
      <x:c r="E313" s="28" t="str">
        <x:v>1º/2º/3º</x:v>
      </x:c>
      <x:c r="F313" s="32" t="n">
        <x:v>12</x:v>
      </x:c>
      <x:c r="G313" s="32" t="n">
        <x:v>1227.6</x:v>
      </x:c>
      <x:c r="H313" s="32" t="n">
        <x:v>57.9</x:v>
      </x:c>
      <x:c r="I313" s="32" t="n">
        <x:v>840.2</x:v>
      </x:c>
      <x:c r="J313" s="36" t="n">
        <x:v>0.6845</x:v>
      </x:c>
    </x:row>
    <x:row r="314">
      <x:c r="A314" s="34" t="n">
        <x:v>45656</x:v>
      </x:c>
      <x:c r="B314" s="28" t="str">
        <x:v>Grupo Industrial S.A.</x:v>
      </x:c>
      <x:c r="C314" s="28" t="str">
        <x:v>Planta São Paulo</x:v>
      </x:c>
      <x:c r="D314" s="28" t="str">
        <x:v>Linha 1 - Corte</x:v>
      </x:c>
      <x:c r="E314" s="28" t="str">
        <x:v>1º/2º/3º</x:v>
      </x:c>
      <x:c r="F314" s="32" t="n">
        <x:v>8</x:v>
      </x:c>
      <x:c r="G314" s="32" t="n">
        <x:v>826.5</x:v>
      </x:c>
      <x:c r="H314" s="32" t="n">
        <x:v>31.3</x:v>
      </x:c>
      <x:c r="I314" s="32" t="n">
        <x:v>629.2</x:v>
      </x:c>
      <x:c r="J314" s="36" t="n">
        <x:v>0.7613</x:v>
      </x:c>
    </x:row>
    <x:row r="315">
      <x:c r="A315" s="34" t="n">
        <x:v>45656</x:v>
      </x:c>
      <x:c r="B315" s="28" t="str">
        <x:v>Grupo Industrial S.A.</x:v>
      </x:c>
      <x:c r="C315" s="28" t="str">
        <x:v>Planta São Paulo</x:v>
      </x:c>
      <x:c r="D315" s="28" t="str">
        <x:v>Linha 2 - Montagem</x:v>
      </x:c>
      <x:c r="E315" s="28" t="str">
        <x:v>1º/2º/3º</x:v>
      </x:c>
      <x:c r="F315" s="32" t="n">
        <x:v>10</x:v>
      </x:c>
      <x:c r="G315" s="32" t="n">
        <x:v>1058.2</x:v>
      </x:c>
      <x:c r="H315" s="32" t="n">
        <x:v>57.8</x:v>
      </x:c>
      <x:c r="I315" s="32" t="n">
        <x:v>782.9</x:v>
      </x:c>
      <x:c r="J315" s="36" t="n">
        <x:v>0.7398</x:v>
      </x:c>
    </x:row>
    <x:row r="316">
      <x:c r="A316" s="34" t="n">
        <x:v>45656</x:v>
      </x:c>
      <x:c r="B316" s="28" t="str">
        <x:v>Grupo Industrial S.A.</x:v>
      </x:c>
      <x:c r="C316" s="28" t="str">
        <x:v>Planta Campinas</x:v>
      </x:c>
      <x:c r="D316" s="28" t="str">
        <x:v>Linha 3 - Extrusão</x:v>
      </x:c>
      <x:c r="E316" s="28" t="str">
        <x:v>1º/2º/3º</x:v>
      </x:c>
      <x:c r="F316" s="32" t="n">
        <x:v>9</x:v>
      </x:c>
      <x:c r="G316" s="32" t="n">
        <x:v>860.1</x:v>
      </x:c>
      <x:c r="H316" s="32" t="n">
        <x:v>57.3</x:v>
      </x:c>
      <x:c r="I316" s="32" t="n">
        <x:v>577.9</x:v>
      </x:c>
      <x:c r="J316" s="36" t="n">
        <x:v>0.672</x:v>
      </x:c>
    </x:row>
    <x:row r="317">
      <x:c r="A317" s="34" t="n">
        <x:v>45656</x:v>
      </x:c>
      <x:c r="B317" s="28" t="str">
        <x:v>Grupo Industrial S.A.</x:v>
      </x:c>
      <x:c r="C317" s="28" t="str">
        <x:v>Planta Campinas</x:v>
      </x:c>
      <x:c r="D317" s="28" t="str">
        <x:v>Linha 4 - Embalagem</x:v>
      </x:c>
      <x:c r="E317" s="28" t="str">
        <x:v>1º/2º/3º</x:v>
      </x:c>
      <x:c r="F317" s="32" t="n">
        <x:v>11</x:v>
      </x:c>
      <x:c r="G317" s="32" t="n">
        <x:v>1040.4</x:v>
      </x:c>
      <x:c r="H317" s="32" t="n">
        <x:v>86</x:v>
      </x:c>
      <x:c r="I317" s="32" t="n">
        <x:v>698.5</x:v>
      </x:c>
      <x:c r="J317" s="36" t="n">
        <x:v>0.6714</x:v>
      </x:c>
    </x:row>
    <x:row r="318">
      <x:c r="A318" s="34" t="n">
        <x:v>45656</x:v>
      </x:c>
      <x:c r="B318" s="28" t="str">
        <x:v>Grupo Industrial S.A.</x:v>
      </x:c>
      <x:c r="C318" s="28" t="str">
        <x:v>Planta Curitiba</x:v>
      </x:c>
      <x:c r="D318" s="28" t="str">
        <x:v>Linha 5 - Usinagem</x:v>
      </x:c>
      <x:c r="E318" s="28" t="str">
        <x:v>1º/2º/3º</x:v>
      </x:c>
      <x:c r="F318" s="32" t="n">
        <x:v>9</x:v>
      </x:c>
      <x:c r="G318" s="32" t="n">
        <x:v>932.9</x:v>
      </x:c>
      <x:c r="H318" s="32" t="n">
        <x:v>47.9</x:v>
      </x:c>
      <x:c r="I318" s="32" t="n">
        <x:v>651.3</x:v>
      </x:c>
      <x:c r="J318" s="36" t="n">
        <x:v>0.6981</x:v>
      </x:c>
    </x:row>
    <x:row r="319">
      <x:c r="A319" s="34" t="n">
        <x:v>45656</x:v>
      </x:c>
      <x:c r="B319" s="28" t="str">
        <x:v>Grupo Industrial S.A.</x:v>
      </x:c>
      <x:c r="C319" s="28" t="str">
        <x:v>Planta Curitiba</x:v>
      </x:c>
      <x:c r="D319" s="28" t="str">
        <x:v>Linha 6 - Finalização</x:v>
      </x:c>
      <x:c r="E319" s="28" t="str">
        <x:v>1º/2º/3º</x:v>
      </x:c>
      <x:c r="F319" s="32" t="n">
        <x:v>12</x:v>
      </x:c>
      <x:c r="G319" s="32" t="n">
        <x:v>1232</x:v>
      </x:c>
      <x:c r="H319" s="32" t="n">
        <x:v>64.5</x:v>
      </x:c>
      <x:c r="I319" s="32" t="n">
        <x:v>910</x:v>
      </x:c>
      <x:c r="J319" s="36" t="n">
        <x:v>0.7387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2" hidden="0" customWidth="1"/>
    <x:col min="4" max="4" width="24" hidden="0" customWidth="1"/>
    <x:col min="5" max="5" width="14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  <x:col min="11" max="11" width="16" hidden="0" customWidth="1"/>
    <x:col min="12" max="12" width="22" hidden="0" customWidth="1"/>
    <x:col min="13" max="13" width="18" hidden="0" customWidth="1"/>
    <x:col min="14" max="14" width="22" hidden="0" customWidth="1"/>
  </x:cols>
  <x:sheetData>
    <x:row r="1">
      <x:c r="A1" s="22" t="str">
        <x:v>Data</x:v>
      </x:c>
      <x:c r="B1" s="22" t="str">
        <x:v>Grupo</x:v>
      </x:c>
      <x:c r="C1" s="22" t="str">
        <x:v>Fabrica</x:v>
      </x:c>
      <x:c r="D1" s="22" t="str">
        <x:v>Linha</x:v>
      </x:c>
      <x:c r="E1" s="22" t="str">
        <x:v>Produto</x:v>
      </x:c>
      <x:c r="F1" s="22" t="str">
        <x:v>Familia</x:v>
      </x:c>
      <x:c r="G1" s="22" t="str">
        <x:v>Custo_MP</x:v>
      </x:c>
      <x:c r="H1" s="22" t="str">
        <x:v>Custo_MOD</x:v>
      </x:c>
      <x:c r="I1" s="22" t="str">
        <x:v>Custo_Energia</x:v>
      </x:c>
      <x:c r="J1" s="22" t="str">
        <x:v>Custo_Manutencao</x:v>
      </x:c>
      <x:c r="K1" s="22" t="str">
        <x:v>Custo_Fixo</x:v>
      </x:c>
      <x:c r="L1" s="22" t="str">
        <x:v>Receita_Liquida_Produto</x:v>
      </x:c>
      <x:c r="M1" s="22" t="str">
        <x:v>Consumo_MP_kg</x:v>
      </x:c>
      <x:c r="N1" s="22" t="str">
        <x:v>Consumo_Energia_kWh</x:v>
      </x:c>
    </x:row>
    <x:row r="2">
      <x:c r="A2" s="34" t="n">
        <x:v>45292</x:v>
      </x:c>
      <x:c r="B2" s="28" t="str">
        <x:v>Grupo Industrial S.A.</x:v>
      </x:c>
      <x:c r="C2" s="28" t="str">
        <x:v>Planta São Paulo</x:v>
      </x:c>
      <x:c r="D2" s="28" t="str">
        <x:v>Linha 1 - Corte</x:v>
      </x:c>
      <x:c r="E2" s="28" t="str">
        <x:v>SKU-001</x:v>
      </x:c>
      <x:c r="F2" s="28" t="str">
        <x:v>Alimentos</x:v>
      </x:c>
      <x:c r="G2" s="30" t="n">
        <x:v>52573.17</x:v>
      </x:c>
      <x:c r="H2" s="30" t="n">
        <x:v>31454.81</x:v>
      </x:c>
      <x:c r="I2" s="30" t="n">
        <x:v>1597.46</x:v>
      </x:c>
      <x:c r="J2" s="30" t="n">
        <x:v>5861.78</x:v>
      </x:c>
      <x:c r="K2" s="30" t="n">
        <x:v>14226.33</x:v>
      </x:c>
      <x:c r="L2" s="30" t="n">
        <x:v>358776</x:v>
      </x:c>
      <x:c r="M2" s="32" t="n">
        <x:v>5714.48</x:v>
      </x:c>
      <x:c r="N2" s="32" t="n">
        <x:v>1948.12</x:v>
      </x:c>
    </x:row>
    <x:row r="3">
      <x:c r="A3" s="34" t="n">
        <x:v>45292</x:v>
      </x:c>
      <x:c r="B3" s="28" t="str">
        <x:v>Grupo Industrial S.A.</x:v>
      </x:c>
      <x:c r="C3" s="28" t="str">
        <x:v>Planta São Paulo</x:v>
      </x:c>
      <x:c r="D3" s="28" t="str">
        <x:v>Linha 2 - Montagem</x:v>
      </x:c>
      <x:c r="E3" s="28" t="str">
        <x:v>SKU-002</x:v>
      </x:c>
      <x:c r="F3" s="28" t="str">
        <x:v>Alimentos</x:v>
      </x:c>
      <x:c r="G3" s="30" t="n">
        <x:v>53152.94</x:v>
      </x:c>
      <x:c r="H3" s="30" t="n">
        <x:v>37650.06</x:v>
      </x:c>
      <x:c r="I3" s="30" t="n">
        <x:v>1640.67</x:v>
      </x:c>
      <x:c r="J3" s="30" t="n">
        <x:v>8638.24</x:v>
      </x:c>
      <x:c r="K3" s="30" t="n">
        <x:v>14226.33</x:v>
      </x:c>
      <x:c r="L3" s="30" t="n">
        <x:v>365508</x:v>
      </x:c>
      <x:c r="M3" s="32" t="n">
        <x:v>5777.49</x:v>
      </x:c>
      <x:c r="N3" s="32" t="n">
        <x:v>2000.82</x:v>
      </x:c>
    </x:row>
    <x:row r="4">
      <x:c r="A4" s="34" t="n">
        <x:v>45292</x:v>
      </x:c>
      <x:c r="B4" s="28" t="str">
        <x:v>Grupo Industrial S.A.</x:v>
      </x:c>
      <x:c r="C4" s="28" t="str">
        <x:v>Planta Campinas</x:v>
      </x:c>
      <x:c r="D4" s="28" t="str">
        <x:v>Linha 3 - Extrusão</x:v>
      </x:c>
      <x:c r="E4" s="28" t="str">
        <x:v>SKU-078</x:v>
      </x:c>
      <x:c r="F4" s="28" t="str">
        <x:v>Higiene e Limpeza</x:v>
      </x:c>
      <x:c r="G4" s="30" t="n">
        <x:v>46980.02</x:v>
      </x:c>
      <x:c r="H4" s="30" t="n">
        <x:v>33379.7</x:v>
      </x:c>
      <x:c r="I4" s="30" t="n">
        <x:v>1587.73</x:v>
      </x:c>
      <x:c r="J4" s="30" t="n">
        <x:v>13136.89</x:v>
      </x:c>
      <x:c r="K4" s="30" t="n">
        <x:v>11898.38</x:v>
      </x:c>
      <x:c r="L4" s="30" t="n">
        <x:v>305624</x:v>
      </x:c>
      <x:c r="M4" s="32" t="n">
        <x:v>4957.79</x:v>
      </x:c>
      <x:c r="N4" s="32" t="n">
        <x:v>1936.26</x:v>
      </x:c>
    </x:row>
    <x:row r="5">
      <x:c r="A5" s="34" t="n">
        <x:v>45292</x:v>
      </x:c>
      <x:c r="B5" s="28" t="str">
        <x:v>Grupo Industrial S.A.</x:v>
      </x:c>
      <x:c r="C5" s="28" t="str">
        <x:v>Planta Campinas</x:v>
      </x:c>
      <x:c r="D5" s="28" t="str">
        <x:v>Linha 4 - Embalagem</x:v>
      </x:c>
      <x:c r="E5" s="28" t="str">
        <x:v>SKU-105</x:v>
      </x:c>
      <x:c r="F5" s="28" t="str">
        <x:v>Embalagens</x:v>
      </x:c>
      <x:c r="G5" s="30" t="n">
        <x:v>30788.7</x:v>
      </x:c>
      <x:c r="H5" s="30" t="n">
        <x:v>39806.81</x:v>
      </x:c>
      <x:c r="I5" s="30" t="n">
        <x:v>1321.22</x:v>
      </x:c>
      <x:c r="J5" s="30" t="n">
        <x:v>13991.22</x:v>
      </x:c>
      <x:c r="K5" s="30" t="n">
        <x:v>11898.38</x:v>
      </x:c>
      <x:c r="L5" s="30" t="n">
        <x:v>206765</x:v>
      </x:c>
      <x:c r="M5" s="32" t="n">
        <x:v>3249.12</x:v>
      </x:c>
      <x:c r="N5" s="32" t="n">
        <x:v>1611.24</x:v>
      </x:c>
    </x:row>
    <x:row r="6">
      <x:c r="A6" s="34" t="n">
        <x:v>45292</x:v>
      </x:c>
      <x:c r="B6" s="28" t="str">
        <x:v>Grupo Industrial S.A.</x:v>
      </x:c>
      <x:c r="C6" s="28" t="str">
        <x:v>Planta Curitiba</x:v>
      </x:c>
      <x:c r="D6" s="28" t="str">
        <x:v>Linha 5 - Usinagem</x:v>
      </x:c>
      <x:c r="E6" s="28" t="str">
        <x:v>SKU-223</x:v>
      </x:c>
      <x:c r="F6" s="28" t="str">
        <x:v>Bebidas</x:v>
      </x:c>
      <x:c r="G6" s="30" t="n">
        <x:v>47558.9</x:v>
      </x:c>
      <x:c r="H6" s="30" t="n">
        <x:v>33750.32</x:v>
      </x:c>
      <x:c r="I6" s="30" t="n">
        <x:v>1670.52</x:v>
      </x:c>
      <x:c r="J6" s="30" t="n">
        <x:v>8687.87</x:v>
      </x:c>
      <x:c r="K6" s="30" t="n">
        <x:v>11898.38</x:v>
      </x:c>
      <x:c r="L6" s="30" t="n">
        <x:v>316848</x:v>
      </x:c>
      <x:c r="M6" s="32" t="n">
        <x:v>5169.45</x:v>
      </x:c>
      <x:c r="N6" s="32" t="n">
        <x:v>2037.22</x:v>
      </x:c>
    </x:row>
    <x:row r="7">
      <x:c r="A7" s="34" t="n">
        <x:v>45292</x:v>
      </x:c>
      <x:c r="B7" s="28" t="str">
        <x:v>Grupo Industrial S.A.</x:v>
      </x:c>
      <x:c r="C7" s="28" t="str">
        <x:v>Planta Curitiba</x:v>
      </x:c>
      <x:c r="D7" s="28" t="str">
        <x:v>Linha 6 - Finalização</x:v>
      </x:c>
      <x:c r="E7" s="28" t="str">
        <x:v>SKU-432</x:v>
      </x:c>
      <x:c r="F7" s="28" t="str">
        <x:v>Alimentos</x:v>
      </x:c>
      <x:c r="G7" s="30" t="n">
        <x:v>36412.07</x:v>
      </x:c>
      <x:c r="H7" s="30" t="n">
        <x:v>43283.65</x:v>
      </x:c>
      <x:c r="I7" s="30" t="n">
        <x:v>1338.54</x:v>
      </x:c>
      <x:c r="J7" s="30" t="n">
        <x:v>10265.56</x:v>
      </x:c>
      <x:c r="K7" s="30" t="n">
        <x:v>11898.38</x:v>
      </x:c>
      <x:c r="L7" s="30" t="n">
        <x:v>243740</x:v>
      </x:c>
      <x:c r="M7" s="32" t="n">
        <x:v>3957.83</x:v>
      </x:c>
      <x:c r="N7" s="32" t="n">
        <x:v>1632.37</x:v>
      </x:c>
    </x:row>
    <x:row r="8">
      <x:c r="A8" s="34" t="n">
        <x:v>45299</x:v>
      </x:c>
      <x:c r="B8" s="28" t="str">
        <x:v>Grupo Industrial S.A.</x:v>
      </x:c>
      <x:c r="C8" s="28" t="str">
        <x:v>Planta São Paulo</x:v>
      </x:c>
      <x:c r="D8" s="28" t="str">
        <x:v>Linha 1 - Corte</x:v>
      </x:c>
      <x:c r="E8" s="28" t="str">
        <x:v>SKU-001</x:v>
      </x:c>
      <x:c r="F8" s="28" t="str">
        <x:v>Alimentos</x:v>
      </x:c>
      <x:c r="G8" s="30" t="n">
        <x:v>60482.68</x:v>
      </x:c>
      <x:c r="H8" s="30" t="n">
        <x:v>31368.22</x:v>
      </x:c>
      <x:c r="I8" s="30" t="n">
        <x:v>1851.82</x:v>
      </x:c>
      <x:c r="J8" s="30" t="n">
        <x:v>6041.11</x:v>
      </x:c>
      <x:c r="K8" s="30" t="n">
        <x:v>14226.33</x:v>
      </x:c>
      <x:c r="L8" s="30" t="n">
        <x:v>404352</x:v>
      </x:c>
      <x:c r="M8" s="32" t="n">
        <x:v>6574.2</x:v>
      </x:c>
      <x:c r="N8" s="32" t="n">
        <x:v>2258.32</x:v>
      </x:c>
    </x:row>
    <x:row r="9">
      <x:c r="A9" s="34" t="n">
        <x:v>45299</x:v>
      </x:c>
      <x:c r="B9" s="28" t="str">
        <x:v>Grupo Industrial S.A.</x:v>
      </x:c>
      <x:c r="C9" s="28" t="str">
        <x:v>Planta São Paulo</x:v>
      </x:c>
      <x:c r="D9" s="28" t="str">
        <x:v>Linha 2 - Montagem</x:v>
      </x:c>
      <x:c r="E9" s="28" t="str">
        <x:v>SKU-002</x:v>
      </x:c>
      <x:c r="F9" s="28" t="str">
        <x:v>Alimentos</x:v>
      </x:c>
      <x:c r="G9" s="30" t="n">
        <x:v>57089</x:v>
      </x:c>
      <x:c r="H9" s="30" t="n">
        <x:v>38930.3</x:v>
      </x:c>
      <x:c r="I9" s="30" t="n">
        <x:v>1712.64</x:v>
      </x:c>
      <x:c r="J9" s="30" t="n">
        <x:v>6219.23</x:v>
      </x:c>
      <x:c r="K9" s="30" t="n">
        <x:v>14226.33</x:v>
      </x:c>
      <x:c r="L9" s="30" t="n">
        <x:v>387660</x:v>
      </x:c>
      <x:c r="M9" s="32" t="n">
        <x:v>6205.33</x:v>
      </x:c>
      <x:c r="N9" s="32" t="n">
        <x:v>2088.58</x:v>
      </x:c>
    </x:row>
    <x:row r="10">
      <x:c r="A10" s="34" t="n">
        <x:v>45299</x:v>
      </x:c>
      <x:c r="B10" s="28" t="str">
        <x:v>Grupo Industrial S.A.</x:v>
      </x:c>
      <x:c r="C10" s="28" t="str">
        <x:v>Planta Campinas</x:v>
      </x:c>
      <x:c r="D10" s="28" t="str">
        <x:v>Linha 3 - Extrusão</x:v>
      </x:c>
      <x:c r="E10" s="28" t="str">
        <x:v>SKU-078</x:v>
      </x:c>
      <x:c r="F10" s="28" t="str">
        <x:v>Higiene e Limpeza</x:v>
      </x:c>
      <x:c r="G10" s="30" t="n">
        <x:v>50633.18</x:v>
      </x:c>
      <x:c r="H10" s="30" t="n">
        <x:v>33069.61</x:v>
      </x:c>
      <x:c r="I10" s="30" t="n">
        <x:v>1754.95</x:v>
      </x:c>
      <x:c r="J10" s="30" t="n">
        <x:v>12438.74</x:v>
      </x:c>
      <x:c r="K10" s="30" t="n">
        <x:v>11898.38</x:v>
      </x:c>
      <x:c r="L10" s="30" t="n">
        <x:v>325312</x:v>
      </x:c>
      <x:c r="M10" s="32" t="n">
        <x:v>5343.31</x:v>
      </x:c>
      <x:c r="N10" s="32" t="n">
        <x:v>2140.18</x:v>
      </x:c>
    </x:row>
    <x:row r="11">
      <x:c r="A11" s="34" t="n">
        <x:v>45299</x:v>
      </x:c>
      <x:c r="B11" s="28" t="str">
        <x:v>Grupo Industrial S.A.</x:v>
      </x:c>
      <x:c r="C11" s="28" t="str">
        <x:v>Planta Campinas</x:v>
      </x:c>
      <x:c r="D11" s="28" t="str">
        <x:v>Linha 4 - Embalagem</x:v>
      </x:c>
      <x:c r="E11" s="28" t="str">
        <x:v>SKU-105</x:v>
      </x:c>
      <x:c r="F11" s="28" t="str">
        <x:v>Embalagens</x:v>
      </x:c>
      <x:c r="G11" s="30" t="n">
        <x:v>31359.3</x:v>
      </x:c>
      <x:c r="H11" s="30" t="n">
        <x:v>38778.19</x:v>
      </x:c>
      <x:c r="I11" s="30" t="n">
        <x:v>1379.04</x:v>
      </x:c>
      <x:c r="J11" s="30" t="n">
        <x:v>13950.44</x:v>
      </x:c>
      <x:c r="K11" s="30" t="n">
        <x:v>11898.38</x:v>
      </x:c>
      <x:c r="L11" s="30" t="n">
        <x:v>208650</x:v>
      </x:c>
      <x:c r="M11" s="32" t="n">
        <x:v>3309.34</x:v>
      </x:c>
      <x:c r="N11" s="32" t="n">
        <x:v>1681.76</x:v>
      </x:c>
    </x:row>
    <x:row r="12">
      <x:c r="A12" s="34" t="n">
        <x:v>45299</x:v>
      </x:c>
      <x:c r="B12" s="28" t="str">
        <x:v>Grupo Industrial S.A.</x:v>
      </x:c>
      <x:c r="C12" s="28" t="str">
        <x:v>Planta Curitiba</x:v>
      </x:c>
      <x:c r="D12" s="28" t="str">
        <x:v>Linha 5 - Usinagem</x:v>
      </x:c>
      <x:c r="E12" s="28" t="str">
        <x:v>SKU-223</x:v>
      </x:c>
      <x:c r="F12" s="28" t="str">
        <x:v>Bebidas</x:v>
      </x:c>
      <x:c r="G12" s="30" t="n">
        <x:v>49426.11</x:v>
      </x:c>
      <x:c r="H12" s="30" t="n">
        <x:v>33495.5</x:v>
      </x:c>
      <x:c r="I12" s="30" t="n">
        <x:v>1631.29</x:v>
      </x:c>
      <x:c r="J12" s="30" t="n">
        <x:v>9697.96</x:v>
      </x:c>
      <x:c r="K12" s="30" t="n">
        <x:v>11898.38</x:v>
      </x:c>
      <x:c r="L12" s="30" t="n">
        <x:v>332388</x:v>
      </x:c>
      <x:c r="M12" s="32" t="n">
        <x:v>5372.4</x:v>
      </x:c>
      <x:c r="N12" s="32" t="n">
        <x:v>1989.38</x:v>
      </x:c>
    </x:row>
    <x:row r="13">
      <x:c r="A13" s="34" t="n">
        <x:v>45299</x:v>
      </x:c>
      <x:c r="B13" s="28" t="str">
        <x:v>Grupo Industrial S.A.</x:v>
      </x:c>
      <x:c r="C13" s="28" t="str">
        <x:v>Planta Curitiba</x:v>
      </x:c>
      <x:c r="D13" s="28" t="str">
        <x:v>Linha 6 - Finalização</x:v>
      </x:c>
      <x:c r="E13" s="28" t="str">
        <x:v>SKU-432</x:v>
      </x:c>
      <x:c r="F13" s="28" t="str">
        <x:v>Alimentos</x:v>
      </x:c>
      <x:c r="G13" s="30" t="n">
        <x:v>35361.23</x:v>
      </x:c>
      <x:c r="H13" s="30" t="n">
        <x:v>44923.04</x:v>
      </x:c>
      <x:c r="I13" s="30" t="n">
        <x:v>1305.09</x:v>
      </x:c>
      <x:c r="J13" s="30" t="n">
        <x:v>9058.72</x:v>
      </x:c>
      <x:c r="K13" s="30" t="n">
        <x:v>11898.38</x:v>
      </x:c>
      <x:c r="L13" s="30" t="n">
        <x:v>241150</x:v>
      </x:c>
      <x:c r="M13" s="32" t="n">
        <x:v>3843.61</x:v>
      </x:c>
      <x:c r="N13" s="32" t="n">
        <x:v>1591.57</x:v>
      </x:c>
    </x:row>
    <x:row r="14">
      <x:c r="A14" s="34" t="n">
        <x:v>45306</x:v>
      </x:c>
      <x:c r="B14" s="28" t="str">
        <x:v>Grupo Industrial S.A.</x:v>
      </x:c>
      <x:c r="C14" s="28" t="str">
        <x:v>Planta São Paulo</x:v>
      </x:c>
      <x:c r="D14" s="28" t="str">
        <x:v>Linha 1 - Corte</x:v>
      </x:c>
      <x:c r="E14" s="28" t="str">
        <x:v>SKU-001</x:v>
      </x:c>
      <x:c r="F14" s="28" t="str">
        <x:v>Alimentos</x:v>
      </x:c>
      <x:c r="G14" s="30" t="n">
        <x:v>55327.25</x:v>
      </x:c>
      <x:c r="H14" s="30" t="n">
        <x:v>29815.23</x:v>
      </x:c>
      <x:c r="I14" s="30" t="n">
        <x:v>1677.22</x:v>
      </x:c>
      <x:c r="J14" s="30" t="n">
        <x:v>8035.7</x:v>
      </x:c>
      <x:c r="K14" s="30" t="n">
        <x:v>14226.33</x:v>
      </x:c>
      <x:c r="L14" s="30" t="n">
        <x:v>375120</x:v>
      </x:c>
      <x:c r="M14" s="32" t="n">
        <x:v>6013.83</x:v>
      </x:c>
      <x:c r="N14" s="32" t="n">
        <x:v>2045.39</x:v>
      </x:c>
    </x:row>
    <x:row r="15">
      <x:c r="A15" s="34" t="n">
        <x:v>45306</x:v>
      </x:c>
      <x:c r="B15" s="28" t="str">
        <x:v>Grupo Industrial S.A.</x:v>
      </x:c>
      <x:c r="C15" s="28" t="str">
        <x:v>Planta São Paulo</x:v>
      </x:c>
      <x:c r="D15" s="28" t="str">
        <x:v>Linha 2 - Montagem</x:v>
      </x:c>
      <x:c r="E15" s="28" t="str">
        <x:v>SKU-002</x:v>
      </x:c>
      <x:c r="F15" s="28" t="str">
        <x:v>Alimentos</x:v>
      </x:c>
      <x:c r="G15" s="30" t="n">
        <x:v>53283.57</x:v>
      </x:c>
      <x:c r="H15" s="30" t="n">
        <x:v>38477.76</x:v>
      </x:c>
      <x:c r="I15" s="30" t="n">
        <x:v>1602.24</x:v>
      </x:c>
      <x:c r="J15" s="30" t="n">
        <x:v>6867.87</x:v>
      </x:c>
      <x:c r="K15" s="30" t="n">
        <x:v>14226.33</x:v>
      </x:c>
      <x:c r="L15" s="30" t="n">
        <x:v>361998</x:v>
      </x:c>
      <x:c r="M15" s="32" t="n">
        <x:v>5791.69</x:v>
      </x:c>
      <x:c r="N15" s="32" t="n">
        <x:v>1953.95</x:v>
      </x:c>
    </x:row>
    <x:row r="16">
      <x:c r="A16" s="34" t="n">
        <x:v>45306</x:v>
      </x:c>
      <x:c r="B16" s="28" t="str">
        <x:v>Grupo Industrial S.A.</x:v>
      </x:c>
      <x:c r="C16" s="28" t="str">
        <x:v>Planta Campinas</x:v>
      </x:c>
      <x:c r="D16" s="28" t="str">
        <x:v>Linha 3 - Extrusão</x:v>
      </x:c>
      <x:c r="E16" s="28" t="str">
        <x:v>SKU-078</x:v>
      </x:c>
      <x:c r="F16" s="28" t="str">
        <x:v>Higiene e Limpeza</x:v>
      </x:c>
      <x:c r="G16" s="30" t="n">
        <x:v>53160.86</x:v>
      </x:c>
      <x:c r="H16" s="30" t="n">
        <x:v>32985.57</x:v>
      </x:c>
      <x:c r="I16" s="30" t="n">
        <x:v>1896.19</x:v>
      </x:c>
      <x:c r="J16" s="30" t="n">
        <x:v>12566.05</x:v>
      </x:c>
      <x:c r="K16" s="30" t="n">
        <x:v>11898.38</x:v>
      </x:c>
      <x:c r="L16" s="30" t="n">
        <x:v>348680</x:v>
      </x:c>
      <x:c r="M16" s="32" t="n">
        <x:v>5610.05</x:v>
      </x:c>
      <x:c r="N16" s="32" t="n">
        <x:v>2312.42</x:v>
      </x:c>
    </x:row>
    <x:row r="17">
      <x:c r="A17" s="34" t="n">
        <x:v>45306</x:v>
      </x:c>
      <x:c r="B17" s="28" t="str">
        <x:v>Grupo Industrial S.A.</x:v>
      </x:c>
      <x:c r="C17" s="28" t="str">
        <x:v>Planta Campinas</x:v>
      </x:c>
      <x:c r="D17" s="28" t="str">
        <x:v>Linha 4 - Embalagem</x:v>
      </x:c>
      <x:c r="E17" s="28" t="str">
        <x:v>SKU-105</x:v>
      </x:c>
      <x:c r="F17" s="28" t="str">
        <x:v>Embalagens</x:v>
      </x:c>
      <x:c r="G17" s="30" t="n">
        <x:v>29729.97</x:v>
      </x:c>
      <x:c r="H17" s="30" t="n">
        <x:v>39258.36</x:v>
      </x:c>
      <x:c r="I17" s="30" t="n">
        <x:v>1317.48</x:v>
      </x:c>
      <x:c r="J17" s="30" t="n">
        <x:v>14699.58</x:v>
      </x:c>
      <x:c r="K17" s="30" t="n">
        <x:v>11898.38</x:v>
      </x:c>
      <x:c r="L17" s="30" t="n">
        <x:v>200005</x:v>
      </x:c>
      <x:c r="M17" s="32" t="n">
        <x:v>3137.4</x:v>
      </x:c>
      <x:c r="N17" s="32" t="n">
        <x:v>1606.68</x:v>
      </x:c>
    </x:row>
    <x:row r="18">
      <x:c r="A18" s="34" t="n">
        <x:v>45306</x:v>
      </x:c>
      <x:c r="B18" s="28" t="str">
        <x:v>Grupo Industrial S.A.</x:v>
      </x:c>
      <x:c r="C18" s="28" t="str">
        <x:v>Planta Curitiba</x:v>
      </x:c>
      <x:c r="D18" s="28" t="str">
        <x:v>Linha 5 - Usinagem</x:v>
      </x:c>
      <x:c r="E18" s="28" t="str">
        <x:v>SKU-223</x:v>
      </x:c>
      <x:c r="F18" s="28" t="str">
        <x:v>Bebidas</x:v>
      </x:c>
      <x:c r="G18" s="30" t="n">
        <x:v>47388.82</x:v>
      </x:c>
      <x:c r="H18" s="30" t="n">
        <x:v>32904.9</x:v>
      </x:c>
      <x:c r="I18" s="30" t="n">
        <x:v>1547.45</x:v>
      </x:c>
      <x:c r="J18" s="30" t="n">
        <x:v>10144.66</x:v>
      </x:c>
      <x:c r="K18" s="30" t="n">
        <x:v>11898.38</x:v>
      </x:c>
      <x:c r="L18" s="30" t="n">
        <x:v>309960</x:v>
      </x:c>
      <x:c r="M18" s="32" t="n">
        <x:v>5150.96</x:v>
      </x:c>
      <x:c r="N18" s="32" t="n">
        <x:v>1887.13</x:v>
      </x:c>
    </x:row>
    <x:row r="19">
      <x:c r="A19" s="34" t="n">
        <x:v>45306</x:v>
      </x:c>
      <x:c r="B19" s="28" t="str">
        <x:v>Grupo Industrial S.A.</x:v>
      </x:c>
      <x:c r="C19" s="28" t="str">
        <x:v>Planta Curitiba</x:v>
      </x:c>
      <x:c r="D19" s="28" t="str">
        <x:v>Linha 6 - Finalização</x:v>
      </x:c>
      <x:c r="E19" s="28" t="str">
        <x:v>SKU-432</x:v>
      </x:c>
      <x:c r="F19" s="28" t="str">
        <x:v>Alimentos</x:v>
      </x:c>
      <x:c r="G19" s="30" t="n">
        <x:v>37054.93</x:v>
      </x:c>
      <x:c r="H19" s="30" t="n">
        <x:v>44922.85</x:v>
      </x:c>
      <x:c r="I19" s="30" t="n">
        <x:v>1304.65</x:v>
      </x:c>
      <x:c r="J19" s="30" t="n">
        <x:v>8810.85</x:v>
      </x:c>
      <x:c r="K19" s="30" t="n">
        <x:v>11898.38</x:v>
      </x:c>
      <x:c r="L19" s="30" t="n">
        <x:v>248990</x:v>
      </x:c>
      <x:c r="M19" s="32" t="n">
        <x:v>4027.71</x:v>
      </x:c>
      <x:c r="N19" s="32" t="n">
        <x:v>1591.04</x:v>
      </x:c>
    </x:row>
    <x:row r="20">
      <x:c r="A20" s="34" t="n">
        <x:v>45313</x:v>
      </x:c>
      <x:c r="B20" s="28" t="str">
        <x:v>Grupo Industrial S.A.</x:v>
      </x:c>
      <x:c r="C20" s="28" t="str">
        <x:v>Planta São Paulo</x:v>
      </x:c>
      <x:c r="D20" s="28" t="str">
        <x:v>Linha 1 - Corte</x:v>
      </x:c>
      <x:c r="E20" s="28" t="str">
        <x:v>SKU-001</x:v>
      </x:c>
      <x:c r="F20" s="28" t="str">
        <x:v>Alimentos</x:v>
      </x:c>
      <x:c r="G20" s="30" t="n">
        <x:v>56200.02</x:v>
      </x:c>
      <x:c r="H20" s="30" t="n">
        <x:v>29567.29</x:v>
      </x:c>
      <x:c r="I20" s="30" t="n">
        <x:v>1635.03</x:v>
      </x:c>
      <x:c r="J20" s="30" t="n">
        <x:v>8226.03</x:v>
      </x:c>
      <x:c r="K20" s="30" t="n">
        <x:v>14226.33</x:v>
      </x:c>
      <x:c r="L20" s="30" t="n">
        <x:v>378360</x:v>
      </x:c>
      <x:c r="M20" s="32" t="n">
        <x:v>6108.7</x:v>
      </x:c>
      <x:c r="N20" s="32" t="n">
        <x:v>1993.94</x:v>
      </x:c>
    </x:row>
    <x:row r="21">
      <x:c r="A21" s="34" t="n">
        <x:v>45313</x:v>
      </x:c>
      <x:c r="B21" s="28" t="str">
        <x:v>Grupo Industrial S.A.</x:v>
      </x:c>
      <x:c r="C21" s="28" t="str">
        <x:v>Planta São Paulo</x:v>
      </x:c>
      <x:c r="D21" s="28" t="str">
        <x:v>Linha 2 - Montagem</x:v>
      </x:c>
      <x:c r="E21" s="28" t="str">
        <x:v>SKU-002</x:v>
      </x:c>
      <x:c r="F21" s="28" t="str">
        <x:v>Alimentos</x:v>
      </x:c>
      <x:c r="G21" s="30" t="n">
        <x:v>52724.57</x:v>
      </x:c>
      <x:c r="H21" s="30" t="n">
        <x:v>37577.23</x:v>
      </x:c>
      <x:c r="I21" s="30" t="n">
        <x:v>1642.77</x:v>
      </x:c>
      <x:c r="J21" s="30" t="n">
        <x:v>7267.96</x:v>
      </x:c>
      <x:c r="K21" s="30" t="n">
        <x:v>14226.33</x:v>
      </x:c>
      <x:c r="L21" s="30" t="n">
        <x:v>355446</x:v>
      </x:c>
      <x:c r="M21" s="32" t="n">
        <x:v>5730.93</x:v>
      </x:c>
      <x:c r="N21" s="32" t="n">
        <x:v>2003.38</x:v>
      </x:c>
    </x:row>
    <x:row r="22">
      <x:c r="A22" s="34" t="n">
        <x:v>45313</x:v>
      </x:c>
      <x:c r="B22" s="28" t="str">
        <x:v>Grupo Industrial S.A.</x:v>
      </x:c>
      <x:c r="C22" s="28" t="str">
        <x:v>Planta Campinas</x:v>
      </x:c>
      <x:c r="D22" s="28" t="str">
        <x:v>Linha 3 - Extrusão</x:v>
      </x:c>
      <x:c r="E22" s="28" t="str">
        <x:v>SKU-078</x:v>
      </x:c>
      <x:c r="F22" s="28" t="str">
        <x:v>Higiene e Limpeza</x:v>
      </x:c>
      <x:c r="G22" s="30" t="n">
        <x:v>52642.47</x:v>
      </x:c>
      <x:c r="H22" s="30" t="n">
        <x:v>32457.5</x:v>
      </x:c>
      <x:c r="I22" s="30" t="n">
        <x:v>1772.84</x:v>
      </x:c>
      <x:c r="J22" s="30" t="n">
        <x:v>14535.6</x:v>
      </x:c>
      <x:c r="K22" s="30" t="n">
        <x:v>11898.38</x:v>
      </x:c>
      <x:c r="L22" s="30" t="n">
        <x:v>341596</x:v>
      </x:c>
      <x:c r="M22" s="32" t="n">
        <x:v>5555.35</x:v>
      </x:c>
      <x:c r="N22" s="32" t="n">
        <x:v>2162.01</x:v>
      </x:c>
    </x:row>
    <x:row r="23">
      <x:c r="A23" s="34" t="n">
        <x:v>45313</x:v>
      </x:c>
      <x:c r="B23" s="28" t="str">
        <x:v>Grupo Industrial S.A.</x:v>
      </x:c>
      <x:c r="C23" s="28" t="str">
        <x:v>Planta Campinas</x:v>
      </x:c>
      <x:c r="D23" s="28" t="str">
        <x:v>Linha 4 - Embalagem</x:v>
      </x:c>
      <x:c r="E23" s="28" t="str">
        <x:v>SKU-105</x:v>
      </x:c>
      <x:c r="F23" s="28" t="str">
        <x:v>Embalagens</x:v>
      </x:c>
      <x:c r="G23" s="30" t="n">
        <x:v>30633.99</x:v>
      </x:c>
      <x:c r="H23" s="30" t="n">
        <x:v>38822.32</x:v>
      </x:c>
      <x:c r="I23" s="30" t="n">
        <x:v>1264.42</x:v>
      </x:c>
      <x:c r="J23" s="30" t="n">
        <x:v>14380.69</x:v>
      </x:c>
      <x:c r="K23" s="30" t="n">
        <x:v>11898.38</x:v>
      </x:c>
      <x:c r="L23" s="30" t="n">
        <x:v>207220</x:v>
      </x:c>
      <x:c r="M23" s="32" t="n">
        <x:v>3232.8</x:v>
      </x:c>
      <x:c r="N23" s="32" t="n">
        <x:v>1541.98</x:v>
      </x:c>
    </x:row>
    <x:row r="24">
      <x:c r="A24" s="34" t="n">
        <x:v>45313</x:v>
      </x:c>
      <x:c r="B24" s="28" t="str">
        <x:v>Grupo Industrial S.A.</x:v>
      </x:c>
      <x:c r="C24" s="28" t="str">
        <x:v>Planta Curitiba</x:v>
      </x:c>
      <x:c r="D24" s="28" t="str">
        <x:v>Linha 5 - Usinagem</x:v>
      </x:c>
      <x:c r="E24" s="28" t="str">
        <x:v>SKU-223</x:v>
      </x:c>
      <x:c r="F24" s="28" t="str">
        <x:v>Bebidas</x:v>
      </x:c>
      <x:c r="G24" s="30" t="n">
        <x:v>48913.87</x:v>
      </x:c>
      <x:c r="H24" s="30" t="n">
        <x:v>33700.99</x:v>
      </x:c>
      <x:c r="I24" s="30" t="n">
        <x:v>1705.34</x:v>
      </x:c>
      <x:c r="J24" s="30" t="n">
        <x:v>9095.49</x:v>
      </x:c>
      <x:c r="K24" s="30" t="n">
        <x:v>11898.38</x:v>
      </x:c>
      <x:c r="L24" s="30" t="n">
        <x:v>332976</x:v>
      </x:c>
      <x:c r="M24" s="32" t="n">
        <x:v>5316.73</x:v>
      </x:c>
      <x:c r="N24" s="32" t="n">
        <x:v>2079.69</x:v>
      </x:c>
    </x:row>
    <x:row r="25">
      <x:c r="A25" s="34" t="n">
        <x:v>45313</x:v>
      </x:c>
      <x:c r="B25" s="28" t="str">
        <x:v>Grupo Industrial S.A.</x:v>
      </x:c>
      <x:c r="C25" s="28" t="str">
        <x:v>Planta Curitiba</x:v>
      </x:c>
      <x:c r="D25" s="28" t="str">
        <x:v>Linha 6 - Finalização</x:v>
      </x:c>
      <x:c r="E25" s="28" t="str">
        <x:v>SKU-432</x:v>
      </x:c>
      <x:c r="F25" s="28" t="str">
        <x:v>Alimentos</x:v>
      </x:c>
      <x:c r="G25" s="30" t="n">
        <x:v>35569.12</x:v>
      </x:c>
      <x:c r="H25" s="30" t="n">
        <x:v>43100.21</x:v>
      </x:c>
      <x:c r="I25" s="30" t="n">
        <x:v>1256.45</x:v>
      </x:c>
      <x:c r="J25" s="30" t="n">
        <x:v>9819.41</x:v>
      </x:c>
      <x:c r="K25" s="30" t="n">
        <x:v>11898.38</x:v>
      </x:c>
      <x:c r="L25" s="30" t="n">
        <x:v>242130</x:v>
      </x:c>
      <x:c r="M25" s="32" t="n">
        <x:v>3866.21</x:v>
      </x:c>
      <x:c r="N25" s="32" t="n">
        <x:v>1532.26</x:v>
      </x:c>
    </x:row>
    <x:row r="26">
      <x:c r="A26" s="34" t="n">
        <x:v>45320</x:v>
      </x:c>
      <x:c r="B26" s="28" t="str">
        <x:v>Grupo Industrial S.A.</x:v>
      </x:c>
      <x:c r="C26" s="28" t="str">
        <x:v>Planta São Paulo</x:v>
      </x:c>
      <x:c r="D26" s="28" t="str">
        <x:v>Linha 1 - Corte</x:v>
      </x:c>
      <x:c r="E26" s="28" t="str">
        <x:v>SKU-001</x:v>
      </x:c>
      <x:c r="F26" s="28" t="str">
        <x:v>Alimentos</x:v>
      </x:c>
      <x:c r="G26" s="30" t="n">
        <x:v>56991.9</x:v>
      </x:c>
      <x:c r="H26" s="30" t="n">
        <x:v>30781.71</x:v>
      </x:c>
      <x:c r="I26" s="30" t="n">
        <x:v>1682.53</x:v>
      </x:c>
      <x:c r="J26" s="30" t="n">
        <x:v>7560.82</x:v>
      </x:c>
      <x:c r="K26" s="30" t="n">
        <x:v>14226.33</x:v>
      </x:c>
      <x:c r="L26" s="30" t="n">
        <x:v>384120</x:v>
      </x:c>
      <x:c r="M26" s="32" t="n">
        <x:v>6194.77</x:v>
      </x:c>
      <x:c r="N26" s="32" t="n">
        <x:v>2051.87</x:v>
      </x:c>
    </x:row>
    <x:row r="27">
      <x:c r="A27" s="34" t="n">
        <x:v>45320</x:v>
      </x:c>
      <x:c r="B27" s="28" t="str">
        <x:v>Grupo Industrial S.A.</x:v>
      </x:c>
      <x:c r="C27" s="28" t="str">
        <x:v>Planta São Paulo</x:v>
      </x:c>
      <x:c r="D27" s="28" t="str">
        <x:v>Linha 2 - Montagem</x:v>
      </x:c>
      <x:c r="E27" s="28" t="str">
        <x:v>SKU-002</x:v>
      </x:c>
      <x:c r="F27" s="28" t="str">
        <x:v>Alimentos</x:v>
      </x:c>
      <x:c r="G27" s="30" t="n">
        <x:v>58250.23</x:v>
      </x:c>
      <x:c r="H27" s="30" t="n">
        <x:v>37608.65</x:v>
      </x:c>
      <x:c r="I27" s="30" t="n">
        <x:v>1737.97</x:v>
      </x:c>
      <x:c r="J27" s="30" t="n">
        <x:v>7650.93</x:v>
      </x:c>
      <x:c r="K27" s="30" t="n">
        <x:v>14226.33</x:v>
      </x:c>
      <x:c r="L27" s="30" t="n">
        <x:v>392730</x:v>
      </x:c>
      <x:c r="M27" s="32" t="n">
        <x:v>6331.55</x:v>
      </x:c>
      <x:c r="N27" s="32" t="n">
        <x:v>2119.47</x:v>
      </x:c>
    </x:row>
    <x:row r="28">
      <x:c r="A28" s="34" t="n">
        <x:v>45320</x:v>
      </x:c>
      <x:c r="B28" s="28" t="str">
        <x:v>Grupo Industrial S.A.</x:v>
      </x:c>
      <x:c r="C28" s="28" t="str">
        <x:v>Planta Campinas</x:v>
      </x:c>
      <x:c r="D28" s="28" t="str">
        <x:v>Linha 3 - Extrusão</x:v>
      </x:c>
      <x:c r="E28" s="28" t="str">
        <x:v>SKU-078</x:v>
      </x:c>
      <x:c r="F28" s="28" t="str">
        <x:v>Higiene e Limpeza</x:v>
      </x:c>
      <x:c r="G28" s="30" t="n">
        <x:v>51687.83</x:v>
      </x:c>
      <x:c r="H28" s="30" t="n">
        <x:v>32460.78</x:v>
      </x:c>
      <x:c r="I28" s="30" t="n">
        <x:v>1736.24</x:v>
      </x:c>
      <x:c r="J28" s="30" t="n">
        <x:v>14239.95</x:v>
      </x:c>
      <x:c r="K28" s="30" t="n">
        <x:v>11898.38</x:v>
      </x:c>
      <x:c r="L28" s="30" t="n">
        <x:v>331016</x:v>
      </x:c>
      <x:c r="M28" s="32" t="n">
        <x:v>5454.6</x:v>
      </x:c>
      <x:c r="N28" s="32" t="n">
        <x:v>2117.36</x:v>
      </x:c>
    </x:row>
    <x:row r="29">
      <x:c r="A29" s="34" t="n">
        <x:v>45320</x:v>
      </x:c>
      <x:c r="B29" s="28" t="str">
        <x:v>Grupo Industrial S.A.</x:v>
      </x:c>
      <x:c r="C29" s="28" t="str">
        <x:v>Planta Campinas</x:v>
      </x:c>
      <x:c r="D29" s="28" t="str">
        <x:v>Linha 4 - Embalagem</x:v>
      </x:c>
      <x:c r="E29" s="28" t="str">
        <x:v>SKU-105</x:v>
      </x:c>
      <x:c r="F29" s="28" t="str">
        <x:v>Embalagens</x:v>
      </x:c>
      <x:c r="G29" s="30" t="n">
        <x:v>30221.96</x:v>
      </x:c>
      <x:c r="H29" s="30" t="n">
        <x:v>40606.09</x:v>
      </x:c>
      <x:c r="I29" s="30" t="n">
        <x:v>1361.2</x:v>
      </x:c>
      <x:c r="J29" s="30" t="n">
        <x:v>13388.42</x:v>
      </x:c>
      <x:c r="K29" s="30" t="n">
        <x:v>11898.38</x:v>
      </x:c>
      <x:c r="L29" s="30" t="n">
        <x:v>201565</x:v>
      </x:c>
      <x:c r="M29" s="32" t="n">
        <x:v>3189.32</x:v>
      </x:c>
      <x:c r="N29" s="32" t="n">
        <x:v>1660.01</x:v>
      </x:c>
    </x:row>
    <x:row r="30">
      <x:c r="A30" s="34" t="n">
        <x:v>45320</x:v>
      </x:c>
      <x:c r="B30" s="28" t="str">
        <x:v>Grupo Industrial S.A.</x:v>
      </x:c>
      <x:c r="C30" s="28" t="str">
        <x:v>Planta Curitiba</x:v>
      </x:c>
      <x:c r="D30" s="28" t="str">
        <x:v>Linha 5 - Usinagem</x:v>
      </x:c>
      <x:c r="E30" s="28" t="str">
        <x:v>SKU-223</x:v>
      </x:c>
      <x:c r="F30" s="28" t="str">
        <x:v>Bebidas</x:v>
      </x:c>
      <x:c r="G30" s="30" t="n">
        <x:v>53123.28</x:v>
      </x:c>
      <x:c r="H30" s="30" t="n">
        <x:v>32464.96</x:v>
      </x:c>
      <x:c r="I30" s="30" t="n">
        <x:v>1791.2</x:v>
      </x:c>
      <x:c r="J30" s="30" t="n">
        <x:v>10047.64</x:v>
      </x:c>
      <x:c r="K30" s="30" t="n">
        <x:v>11898.38</x:v>
      </x:c>
      <x:c r="L30" s="30" t="n">
        <x:v>349944</x:v>
      </x:c>
      <x:c r="M30" s="32" t="n">
        <x:v>5774.27</x:v>
      </x:c>
      <x:c r="N30" s="32" t="n">
        <x:v>2184.39</x:v>
      </x:c>
    </x:row>
    <x:row r="31">
      <x:c r="A31" s="34" t="n">
        <x:v>45320</x:v>
      </x:c>
      <x:c r="B31" s="28" t="str">
        <x:v>Grupo Industrial S.A.</x:v>
      </x:c>
      <x:c r="C31" s="28" t="str">
        <x:v>Planta Curitiba</x:v>
      </x:c>
      <x:c r="D31" s="28" t="str">
        <x:v>Linha 6 - Finalização</x:v>
      </x:c>
      <x:c r="E31" s="28" t="str">
        <x:v>SKU-432</x:v>
      </x:c>
      <x:c r="F31" s="28" t="str">
        <x:v>Alimentos</x:v>
      </x:c>
      <x:c r="G31" s="30" t="n">
        <x:v>33814.79</x:v>
      </x:c>
      <x:c r="H31" s="30" t="n">
        <x:v>45260.26</x:v>
      </x:c>
      <x:c r="I31" s="30" t="n">
        <x:v>1310.11</x:v>
      </x:c>
      <x:c r="J31" s="30" t="n">
        <x:v>8280.95</x:v>
      </x:c>
      <x:c r="K31" s="30" t="n">
        <x:v>11898.38</x:v>
      </x:c>
      <x:c r="L31" s="30" t="n">
        <x:v>231420</x:v>
      </x:c>
      <x:c r="M31" s="32" t="n">
        <x:v>3675.52</x:v>
      </x:c>
      <x:c r="N31" s="32" t="n">
        <x:v>1597.69</x:v>
      </x:c>
    </x:row>
    <x:row r="32">
      <x:c r="A32" s="34" t="n">
        <x:v>45327</x:v>
      </x:c>
      <x:c r="B32" s="28" t="str">
        <x:v>Grupo Industrial S.A.</x:v>
      </x:c>
      <x:c r="C32" s="28" t="str">
        <x:v>Planta São Paulo</x:v>
      </x:c>
      <x:c r="D32" s="28" t="str">
        <x:v>Linha 1 - Corte</x:v>
      </x:c>
      <x:c r="E32" s="28" t="str">
        <x:v>SKU-001</x:v>
      </x:c>
      <x:c r="F32" s="28" t="str">
        <x:v>Alimentos</x:v>
      </x:c>
      <x:c r="G32" s="30" t="n">
        <x:v>60461.84</x:v>
      </x:c>
      <x:c r="H32" s="30" t="n">
        <x:v>30041.5</x:v>
      </x:c>
      <x:c r="I32" s="30" t="n">
        <x:v>1812.54</x:v>
      </x:c>
      <x:c r="J32" s="30" t="n">
        <x:v>8382.4</x:v>
      </x:c>
      <x:c r="K32" s="30" t="n">
        <x:v>14226.33</x:v>
      </x:c>
      <x:c r="L32" s="30" t="n">
        <x:v>410112</x:v>
      </x:c>
      <x:c r="M32" s="32" t="n">
        <x:v>6565.97</x:v>
      </x:c>
      <x:c r="N32" s="32" t="n">
        <x:v>2210.41</x:v>
      </x:c>
    </x:row>
    <x:row r="33">
      <x:c r="A33" s="34" t="n">
        <x:v>45327</x:v>
      </x:c>
      <x:c r="B33" s="28" t="str">
        <x:v>Grupo Industrial S.A.</x:v>
      </x:c>
      <x:c r="C33" s="28" t="str">
        <x:v>Planta São Paulo</x:v>
      </x:c>
      <x:c r="D33" s="28" t="str">
        <x:v>Linha 2 - Montagem</x:v>
      </x:c>
      <x:c r="E33" s="28" t="str">
        <x:v>SKU-002</x:v>
      </x:c>
      <x:c r="F33" s="28" t="str">
        <x:v>Alimentos</x:v>
      </x:c>
      <x:c r="G33" s="30" t="n">
        <x:v>54038.34</x:v>
      </x:c>
      <x:c r="H33" s="30" t="n">
        <x:v>39641.6</x:v>
      </x:c>
      <x:c r="I33" s="30" t="n">
        <x:v>1743.56</x:v>
      </x:c>
      <x:c r="J33" s="30" t="n">
        <x:v>6354.89</x:v>
      </x:c>
      <x:c r="K33" s="30" t="n">
        <x:v>14226.33</x:v>
      </x:c>
      <x:c r="L33" s="30" t="n">
        <x:v>370500</x:v>
      </x:c>
      <x:c r="M33" s="32" t="n">
        <x:v>5868.4</x:v>
      </x:c>
      <x:c r="N33" s="32" t="n">
        <x:v>2126.3</x:v>
      </x:c>
    </x:row>
    <x:row r="34">
      <x:c r="A34" s="34" t="n">
        <x:v>45327</x:v>
      </x:c>
      <x:c r="B34" s="28" t="str">
        <x:v>Grupo Industrial S.A.</x:v>
      </x:c>
      <x:c r="C34" s="28" t="str">
        <x:v>Planta Campinas</x:v>
      </x:c>
      <x:c r="D34" s="28" t="str">
        <x:v>Linha 3 - Extrusão</x:v>
      </x:c>
      <x:c r="E34" s="28" t="str">
        <x:v>SKU-078</x:v>
      </x:c>
      <x:c r="F34" s="28" t="str">
        <x:v>Higiene e Limpeza</x:v>
      </x:c>
      <x:c r="G34" s="30" t="n">
        <x:v>53083.72</x:v>
      </x:c>
      <x:c r="H34" s="30" t="n">
        <x:v>32558.64</x:v>
      </x:c>
      <x:c r="I34" s="30" t="n">
        <x:v>1801.03</x:v>
      </x:c>
      <x:c r="J34" s="30" t="n">
        <x:v>13660.68</x:v>
      </x:c>
      <x:c r="K34" s="30" t="n">
        <x:v>11898.38</x:v>
      </x:c>
      <x:c r="L34" s="30" t="n">
        <x:v>340676</x:v>
      </x:c>
      <x:c r="M34" s="32" t="n">
        <x:v>5596.82</x:v>
      </x:c>
      <x:c r="N34" s="32" t="n">
        <x:v>2196.37</x:v>
      </x:c>
    </x:row>
    <x:row r="35">
      <x:c r="A35" s="34" t="n">
        <x:v>45327</x:v>
      </x:c>
      <x:c r="B35" s="28" t="str">
        <x:v>Grupo Industrial S.A.</x:v>
      </x:c>
      <x:c r="C35" s="28" t="str">
        <x:v>Planta Campinas</x:v>
      </x:c>
      <x:c r="D35" s="28" t="str">
        <x:v>Linha 4 - Embalagem</x:v>
      </x:c>
      <x:c r="E35" s="28" t="str">
        <x:v>SKU-105</x:v>
      </x:c>
      <x:c r="F35" s="28" t="str">
        <x:v>Embalagens</x:v>
      </x:c>
      <x:c r="G35" s="30" t="n">
        <x:v>32412.46</x:v>
      </x:c>
      <x:c r="H35" s="30" t="n">
        <x:v>40083.09</x:v>
      </x:c>
      <x:c r="I35" s="30" t="n">
        <x:v>1356.75</x:v>
      </x:c>
      <x:c r="J35" s="30" t="n">
        <x:v>14239.18</x:v>
      </x:c>
      <x:c r="K35" s="30" t="n">
        <x:v>11898.38</x:v>
      </x:c>
      <x:c r="L35" s="30" t="n">
        <x:v>219050</x:v>
      </x:c>
      <x:c r="M35" s="32" t="n">
        <x:v>3417.37</x:v>
      </x:c>
      <x:c r="N35" s="32" t="n">
        <x:v>1654.57</x:v>
      </x:c>
    </x:row>
    <x:row r="36">
      <x:c r="A36" s="34" t="n">
        <x:v>45327</x:v>
      </x:c>
      <x:c r="B36" s="28" t="str">
        <x:v>Grupo Industrial S.A.</x:v>
      </x:c>
      <x:c r="C36" s="28" t="str">
        <x:v>Planta Curitiba</x:v>
      </x:c>
      <x:c r="D36" s="28" t="str">
        <x:v>Linha 5 - Usinagem</x:v>
      </x:c>
      <x:c r="E36" s="28" t="str">
        <x:v>SKU-223</x:v>
      </x:c>
      <x:c r="F36" s="28" t="str">
        <x:v>Bebidas</x:v>
      </x:c>
      <x:c r="G36" s="30" t="n">
        <x:v>48150.8</x:v>
      </x:c>
      <x:c r="H36" s="30" t="n">
        <x:v>32016.29</x:v>
      </x:c>
      <x:c r="I36" s="30" t="n">
        <x:v>1553.65</x:v>
      </x:c>
      <x:c r="J36" s="30" t="n">
        <x:v>10052.21</x:v>
      </x:c>
      <x:c r="K36" s="30" t="n">
        <x:v>11898.38</x:v>
      </x:c>
      <x:c r="L36" s="30" t="n">
        <x:v>314244</x:v>
      </x:c>
      <x:c r="M36" s="32" t="n">
        <x:v>5229.03</x:v>
      </x:c>
      <x:c r="N36" s="32" t="n">
        <x:v>1894.7</x:v>
      </x:c>
    </x:row>
    <x:row r="37">
      <x:c r="A37" s="34" t="n">
        <x:v>45327</x:v>
      </x:c>
      <x:c r="B37" s="28" t="str">
        <x:v>Grupo Industrial S.A.</x:v>
      </x:c>
      <x:c r="C37" s="28" t="str">
        <x:v>Planta Curitiba</x:v>
      </x:c>
      <x:c r="D37" s="28" t="str">
        <x:v>Linha 6 - Finalização</x:v>
      </x:c>
      <x:c r="E37" s="28" t="str">
        <x:v>SKU-432</x:v>
      </x:c>
      <x:c r="F37" s="28" t="str">
        <x:v>Alimentos</x:v>
      </x:c>
      <x:c r="G37" s="30" t="n">
        <x:v>34357.43</x:v>
      </x:c>
      <x:c r="H37" s="30" t="n">
        <x:v>45413.48</x:v>
      </x:c>
      <x:c r="I37" s="30" t="n">
        <x:v>1280.07</x:v>
      </x:c>
      <x:c r="J37" s="30" t="n">
        <x:v>8641.51</x:v>
      </x:c>
      <x:c r="K37" s="30" t="n">
        <x:v>11898.38</x:v>
      </x:c>
      <x:c r="L37" s="30" t="n">
        <x:v>236040</x:v>
      </x:c>
      <x:c r="M37" s="32" t="n">
        <x:v>3731.11</x:v>
      </x:c>
      <x:c r="N37" s="32" t="n">
        <x:v>1561.06</x:v>
      </x:c>
    </x:row>
    <x:row r="38">
      <x:c r="A38" s="34" t="n">
        <x:v>45334</x:v>
      </x:c>
      <x:c r="B38" s="28" t="str">
        <x:v>Grupo Industrial S.A.</x:v>
      </x:c>
      <x:c r="C38" s="28" t="str">
        <x:v>Planta São Paulo</x:v>
      </x:c>
      <x:c r="D38" s="28" t="str">
        <x:v>Linha 1 - Corte</x:v>
      </x:c>
      <x:c r="E38" s="28" t="str">
        <x:v>SKU-001</x:v>
      </x:c>
      <x:c r="F38" s="28" t="str">
        <x:v>Alimentos</x:v>
      </x:c>
      <x:c r="G38" s="30" t="n">
        <x:v>58973.64</x:v>
      </x:c>
      <x:c r="H38" s="30" t="n">
        <x:v>31265.6</x:v>
      </x:c>
      <x:c r="I38" s="30" t="n">
        <x:v>1810.79</x:v>
      </x:c>
      <x:c r="J38" s="30" t="n">
        <x:v>6909.16</x:v>
      </x:c>
      <x:c r="K38" s="30" t="n">
        <x:v>14226.33</x:v>
      </x:c>
      <x:c r="L38" s="30" t="n">
        <x:v>399672</x:v>
      </x:c>
      <x:c r="M38" s="32" t="n">
        <x:v>6404.36</x:v>
      </x:c>
      <x:c r="N38" s="32" t="n">
        <x:v>2208.29</x:v>
      </x:c>
    </x:row>
    <x:row r="39">
      <x:c r="A39" s="34" t="n">
        <x:v>45334</x:v>
      </x:c>
      <x:c r="B39" s="28" t="str">
        <x:v>Grupo Industrial S.A.</x:v>
      </x:c>
      <x:c r="C39" s="28" t="str">
        <x:v>Planta São Paulo</x:v>
      </x:c>
      <x:c r="D39" s="28" t="str">
        <x:v>Linha 2 - Montagem</x:v>
      </x:c>
      <x:c r="E39" s="28" t="str">
        <x:v>SKU-002</x:v>
      </x:c>
      <x:c r="F39" s="28" t="str">
        <x:v>Alimentos</x:v>
      </x:c>
      <x:c r="G39" s="30" t="n">
        <x:v>54352.19</x:v>
      </x:c>
      <x:c r="H39" s="30" t="n">
        <x:v>38433.81</x:v>
      </x:c>
      <x:c r="I39" s="30" t="n">
        <x:v>1714.33</x:v>
      </x:c>
      <x:c r="J39" s="30" t="n">
        <x:v>6899.16</x:v>
      </x:c>
      <x:c r="K39" s="30" t="n">
        <x:v>14226.33</x:v>
      </x:c>
      <x:c r="L39" s="30" t="n">
        <x:v>377208</x:v>
      </x:c>
      <x:c r="M39" s="32" t="n">
        <x:v>5902.48</x:v>
      </x:c>
      <x:c r="N39" s="32" t="n">
        <x:v>2090.65</x:v>
      </x:c>
    </x:row>
    <x:row r="40">
      <x:c r="A40" s="34" t="n">
        <x:v>45334</x:v>
      </x:c>
      <x:c r="B40" s="28" t="str">
        <x:v>Grupo Industrial S.A.</x:v>
      </x:c>
      <x:c r="C40" s="28" t="str">
        <x:v>Planta Campinas</x:v>
      </x:c>
      <x:c r="D40" s="28" t="str">
        <x:v>Linha 3 - Extrusão</x:v>
      </x:c>
      <x:c r="E40" s="28" t="str">
        <x:v>SKU-078</x:v>
      </x:c>
      <x:c r="F40" s="28" t="str">
        <x:v>Higiene e Limpeza</x:v>
      </x:c>
      <x:c r="G40" s="30" t="n">
        <x:v>51434.23</x:v>
      </x:c>
      <x:c r="H40" s="30" t="n">
        <x:v>32027.54</x:v>
      </x:c>
      <x:c r="I40" s="30" t="n">
        <x:v>1796.54</x:v>
      </x:c>
      <x:c r="J40" s="30" t="n">
        <x:v>13660.86</x:v>
      </x:c>
      <x:c r="K40" s="30" t="n">
        <x:v>11898.38</x:v>
      </x:c>
      <x:c r="L40" s="30" t="n">
        <x:v>333040</x:v>
      </x:c>
      <x:c r="M40" s="32" t="n">
        <x:v>5422.91</x:v>
      </x:c>
      <x:c r="N40" s="32" t="n">
        <x:v>2190.9</x:v>
      </x:c>
    </x:row>
    <x:row r="41">
      <x:c r="A41" s="34" t="n">
        <x:v>45334</x:v>
      </x:c>
      <x:c r="B41" s="28" t="str">
        <x:v>Grupo Industrial S.A.</x:v>
      </x:c>
      <x:c r="C41" s="28" t="str">
        <x:v>Planta Campinas</x:v>
      </x:c>
      <x:c r="D41" s="28" t="str">
        <x:v>Linha 4 - Embalagem</x:v>
      </x:c>
      <x:c r="E41" s="28" t="str">
        <x:v>SKU-105</x:v>
      </x:c>
      <x:c r="F41" s="28" t="str">
        <x:v>Embalagens</x:v>
      </x:c>
      <x:c r="G41" s="30" t="n">
        <x:v>31820.34</x:v>
      </x:c>
      <x:c r="H41" s="30" t="n">
        <x:v>40681.29</x:v>
      </x:c>
      <x:c r="I41" s="30" t="n">
        <x:v>1302.36</x:v>
      </x:c>
      <x:c r="J41" s="30" t="n">
        <x:v>12345.2</x:v>
      </x:c>
      <x:c r="K41" s="30" t="n">
        <x:v>11898.38</x:v>
      </x:c>
      <x:c r="L41" s="30" t="n">
        <x:v>212940</x:v>
      </x:c>
      <x:c r="M41" s="32" t="n">
        <x:v>3354.94</x:v>
      </x:c>
      <x:c r="N41" s="32" t="n">
        <x:v>1588.25</x:v>
      </x:c>
    </x:row>
    <x:row r="42">
      <x:c r="A42" s="34" t="n">
        <x:v>45334</x:v>
      </x:c>
      <x:c r="B42" s="28" t="str">
        <x:v>Grupo Industrial S.A.</x:v>
      </x:c>
      <x:c r="C42" s="28" t="str">
        <x:v>Planta Curitiba</x:v>
      </x:c>
      <x:c r="D42" s="28" t="str">
        <x:v>Linha 5 - Usinagem</x:v>
      </x:c>
      <x:c r="E42" s="28" t="str">
        <x:v>SKU-223</x:v>
      </x:c>
      <x:c r="F42" s="28" t="str">
        <x:v>Bebidas</x:v>
      </x:c>
      <x:c r="G42" s="30" t="n">
        <x:v>51412.64</x:v>
      </x:c>
      <x:c r="H42" s="30" t="n">
        <x:v>32731.59</x:v>
      </x:c>
      <x:c r="I42" s="30" t="n">
        <x:v>1828.32</x:v>
      </x:c>
      <x:c r="J42" s="30" t="n">
        <x:v>9672.25</x:v>
      </x:c>
      <x:c r="K42" s="30" t="n">
        <x:v>11898.38</x:v>
      </x:c>
      <x:c r="L42" s="30" t="n">
        <x:v>342804</x:v>
      </x:c>
      <x:c r="M42" s="32" t="n">
        <x:v>5583.26</x:v>
      </x:c>
      <x:c r="N42" s="32" t="n">
        <x:v>2229.66</x:v>
      </x:c>
    </x:row>
    <x:row r="43">
      <x:c r="A43" s="34" t="n">
        <x:v>45334</x:v>
      </x:c>
      <x:c r="B43" s="28" t="str">
        <x:v>Grupo Industrial S.A.</x:v>
      </x:c>
      <x:c r="C43" s="28" t="str">
        <x:v>Planta Curitiba</x:v>
      </x:c>
      <x:c r="D43" s="28" t="str">
        <x:v>Linha 6 - Finalização</x:v>
      </x:c>
      <x:c r="E43" s="28" t="str">
        <x:v>SKU-432</x:v>
      </x:c>
      <x:c r="F43" s="28" t="str">
        <x:v>Alimentos</x:v>
      </x:c>
      <x:c r="G43" s="30" t="n">
        <x:v>36421.03</x:v>
      </x:c>
      <x:c r="H43" s="30" t="n">
        <x:v>43651.42</x:v>
      </x:c>
      <x:c r="I43" s="30" t="n">
        <x:v>1321.85</x:v>
      </x:c>
      <x:c r="J43" s="30" t="n">
        <x:v>9225.83</x:v>
      </x:c>
      <x:c r="K43" s="30" t="n">
        <x:v>11898.38</x:v>
      </x:c>
      <x:c r="L43" s="30" t="n">
        <x:v>250600</x:v>
      </x:c>
      <x:c r="M43" s="32" t="n">
        <x:v>3955.21</x:v>
      </x:c>
      <x:c r="N43" s="32" t="n">
        <x:v>1612.01</x:v>
      </x:c>
    </x:row>
    <x:row r="44">
      <x:c r="A44" s="34" t="n">
        <x:v>45341</x:v>
      </x:c>
      <x:c r="B44" s="28" t="str">
        <x:v>Grupo Industrial S.A.</x:v>
      </x:c>
      <x:c r="C44" s="28" t="str">
        <x:v>Planta São Paulo</x:v>
      </x:c>
      <x:c r="D44" s="28" t="str">
        <x:v>Linha 1 - Corte</x:v>
      </x:c>
      <x:c r="E44" s="28" t="str">
        <x:v>SKU-001</x:v>
      </x:c>
      <x:c r="F44" s="28" t="str">
        <x:v>Alimentos</x:v>
      </x:c>
      <x:c r="G44" s="30" t="n">
        <x:v>54976.91</x:v>
      </x:c>
      <x:c r="H44" s="30" t="n">
        <x:v>31391.13</x:v>
      </x:c>
      <x:c r="I44" s="30" t="n">
        <x:v>1691.79</x:v>
      </x:c>
      <x:c r="J44" s="30" t="n">
        <x:v>5804.68</x:v>
      </x:c>
      <x:c r="K44" s="30" t="n">
        <x:v>14226.33</x:v>
      </x:c>
      <x:c r="L44" s="30" t="n">
        <x:v>376704</x:v>
      </x:c>
      <x:c r="M44" s="32" t="n">
        <x:v>5970.32</x:v>
      </x:c>
      <x:c r="N44" s="32" t="n">
        <x:v>2063.15</x:v>
      </x:c>
    </x:row>
    <x:row r="45">
      <x:c r="A45" s="34" t="n">
        <x:v>45341</x:v>
      </x:c>
      <x:c r="B45" s="28" t="str">
        <x:v>Grupo Industrial S.A.</x:v>
      </x:c>
      <x:c r="C45" s="28" t="str">
        <x:v>Planta São Paulo</x:v>
      </x:c>
      <x:c r="D45" s="28" t="str">
        <x:v>Linha 2 - Montagem</x:v>
      </x:c>
      <x:c r="E45" s="28" t="str">
        <x:v>SKU-002</x:v>
      </x:c>
      <x:c r="F45" s="28" t="str">
        <x:v>Alimentos</x:v>
      </x:c>
      <x:c r="G45" s="30" t="n">
        <x:v>50944.19</x:v>
      </x:c>
      <x:c r="H45" s="30" t="n">
        <x:v>38310.53</x:v>
      </x:c>
      <x:c r="I45" s="30" t="n">
        <x:v>1552.33</x:v>
      </x:c>
      <x:c r="J45" s="30" t="n">
        <x:v>7885.5</x:v>
      </x:c>
      <x:c r="K45" s="30" t="n">
        <x:v>14226.33</x:v>
      </x:c>
      <x:c r="L45" s="30" t="n">
        <x:v>350298</x:v>
      </x:c>
      <x:c r="M45" s="32" t="n">
        <x:v>5532.38</x:v>
      </x:c>
      <x:c r="N45" s="32" t="n">
        <x:v>1893.08</x:v>
      </x:c>
    </x:row>
    <x:row r="46">
      <x:c r="A46" s="34" t="n">
        <x:v>45341</x:v>
      </x:c>
      <x:c r="B46" s="28" t="str">
        <x:v>Grupo Industrial S.A.</x:v>
      </x:c>
      <x:c r="C46" s="28" t="str">
        <x:v>Planta Campinas</x:v>
      </x:c>
      <x:c r="D46" s="28" t="str">
        <x:v>Linha 3 - Extrusão</x:v>
      </x:c>
      <x:c r="E46" s="28" t="str">
        <x:v>SKU-078</x:v>
      </x:c>
      <x:c r="F46" s="28" t="str">
        <x:v>Higiene e Limpeza</x:v>
      </x:c>
      <x:c r="G46" s="30" t="n">
        <x:v>52392.35</x:v>
      </x:c>
      <x:c r="H46" s="30" t="n">
        <x:v>32153.01</x:v>
      </x:c>
      <x:c r="I46" s="30" t="n">
        <x:v>1813.97</x:v>
      </x:c>
      <x:c r="J46" s="30" t="n">
        <x:v>13722.28</x:v>
      </x:c>
      <x:c r="K46" s="30" t="n">
        <x:v>11898.38</x:v>
      </x:c>
      <x:c r="L46" s="30" t="n">
        <x:v>340676</x:v>
      </x:c>
      <x:c r="M46" s="32" t="n">
        <x:v>5523.93</x:v>
      </x:c>
      <x:c r="N46" s="32" t="n">
        <x:v>2212.16</x:v>
      </x:c>
    </x:row>
    <x:row r="47">
      <x:c r="A47" s="34" t="n">
        <x:v>45341</x:v>
      </x:c>
      <x:c r="B47" s="28" t="str">
        <x:v>Grupo Industrial S.A.</x:v>
      </x:c>
      <x:c r="C47" s="28" t="str">
        <x:v>Planta Campinas</x:v>
      </x:c>
      <x:c r="D47" s="28" t="str">
        <x:v>Linha 4 - Embalagem</x:v>
      </x:c>
      <x:c r="E47" s="28" t="str">
        <x:v>SKU-105</x:v>
      </x:c>
      <x:c r="F47" s="28" t="str">
        <x:v>Embalagens</x:v>
      </x:c>
      <x:c r="G47" s="30" t="n">
        <x:v>30844.62</x:v>
      </x:c>
      <x:c r="H47" s="30" t="n">
        <x:v>39260.36</x:v>
      </x:c>
      <x:c r="I47" s="30" t="n">
        <x:v>1313.03</x:v>
      </x:c>
      <x:c r="J47" s="30" t="n">
        <x:v>14239.09</x:v>
      </x:c>
      <x:c r="K47" s="30" t="n">
        <x:v>11898.38</x:v>
      </x:c>
      <x:c r="L47" s="30" t="n">
        <x:v>206505</x:v>
      </x:c>
      <x:c r="M47" s="32" t="n">
        <x:v>3252.07</x:v>
      </x:c>
      <x:c r="N47" s="32" t="n">
        <x:v>1601.25</x:v>
      </x:c>
    </x:row>
    <x:row r="48">
      <x:c r="A48" s="34" t="n">
        <x:v>45341</x:v>
      </x:c>
      <x:c r="B48" s="28" t="str">
        <x:v>Grupo Industrial S.A.</x:v>
      </x:c>
      <x:c r="C48" s="28" t="str">
        <x:v>Planta Curitiba</x:v>
      </x:c>
      <x:c r="D48" s="28" t="str">
        <x:v>Linha 5 - Usinagem</x:v>
      </x:c>
      <x:c r="E48" s="28" t="str">
        <x:v>SKU-223</x:v>
      </x:c>
      <x:c r="F48" s="28" t="str">
        <x:v>Bebidas</x:v>
      </x:c>
      <x:c r="G48" s="30" t="n">
        <x:v>50461.66</x:v>
      </x:c>
      <x:c r="H48" s="30" t="n">
        <x:v>33782.96</x:v>
      </x:c>
      <x:c r="I48" s="30" t="n">
        <x:v>1711.76</x:v>
      </x:c>
      <x:c r="J48" s="30" t="n">
        <x:v>8203.53</x:v>
      </x:c>
      <x:c r="K48" s="30" t="n">
        <x:v>11898.38</x:v>
      </x:c>
      <x:c r="L48" s="30" t="n">
        <x:v>335412</x:v>
      </x:c>
      <x:c r="M48" s="32" t="n">
        <x:v>5479.98</x:v>
      </x:c>
      <x:c r="N48" s="32" t="n">
        <x:v>2087.51</x:v>
      </x:c>
    </x:row>
    <x:row r="49">
      <x:c r="A49" s="34" t="n">
        <x:v>45341</x:v>
      </x:c>
      <x:c r="B49" s="28" t="str">
        <x:v>Grupo Industrial S.A.</x:v>
      </x:c>
      <x:c r="C49" s="28" t="str">
        <x:v>Planta Curitiba</x:v>
      </x:c>
      <x:c r="D49" s="28" t="str">
        <x:v>Linha 6 - Finalização</x:v>
      </x:c>
      <x:c r="E49" s="28" t="str">
        <x:v>SKU-432</x:v>
      </x:c>
      <x:c r="F49" s="28" t="str">
        <x:v>Alimentos</x:v>
      </x:c>
      <x:c r="G49" s="30" t="n">
        <x:v>39207.91</x:v>
      </x:c>
      <x:c r="H49" s="30" t="n">
        <x:v>45889.22</x:v>
      </x:c>
      <x:c r="I49" s="30" t="n">
        <x:v>1365.44</x:v>
      </x:c>
      <x:c r="J49" s="30" t="n">
        <x:v>8221.83</x:v>
      </x:c>
      <x:c r="K49" s="30" t="n">
        <x:v>11898.38</x:v>
      </x:c>
      <x:c r="L49" s="30" t="n">
        <x:v>261660</x:v>
      </x:c>
      <x:c r="M49" s="32" t="n">
        <x:v>4257.86</x:v>
      </x:c>
      <x:c r="N49" s="32" t="n">
        <x:v>1665.17</x:v>
      </x:c>
    </x:row>
    <x:row r="50">
      <x:c r="A50" s="34" t="n">
        <x:v>45348</x:v>
      </x:c>
      <x:c r="B50" s="28" t="str">
        <x:v>Grupo Industrial S.A.</x:v>
      </x:c>
      <x:c r="C50" s="28" t="str">
        <x:v>Planta São Paulo</x:v>
      </x:c>
      <x:c r="D50" s="28" t="str">
        <x:v>Linha 1 - Corte</x:v>
      </x:c>
      <x:c r="E50" s="28" t="str">
        <x:v>SKU-001</x:v>
      </x:c>
      <x:c r="F50" s="28" t="str">
        <x:v>Alimentos</x:v>
      </x:c>
      <x:c r="G50" s="30" t="n">
        <x:v>60422.46</x:v>
      </x:c>
      <x:c r="H50" s="30" t="n">
        <x:v>30478.64</x:v>
      </x:c>
      <x:c r="I50" s="30" t="n">
        <x:v>1880.9</x:v>
      </x:c>
      <x:c r="J50" s="30" t="n">
        <x:v>6988.07</x:v>
      </x:c>
      <x:c r="K50" s="30" t="n">
        <x:v>14226.33</x:v>
      </x:c>
      <x:c r="L50" s="30" t="n">
        <x:v>403920</x:v>
      </x:c>
      <x:c r="M50" s="32" t="n">
        <x:v>6561.69</x:v>
      </x:c>
      <x:c r="N50" s="32" t="n">
        <x:v>2293.78</x:v>
      </x:c>
    </x:row>
    <x:row r="51">
      <x:c r="A51" s="34" t="n">
        <x:v>45348</x:v>
      </x:c>
      <x:c r="B51" s="28" t="str">
        <x:v>Grupo Industrial S.A.</x:v>
      </x:c>
      <x:c r="C51" s="28" t="str">
        <x:v>Planta São Paulo</x:v>
      </x:c>
      <x:c r="D51" s="28" t="str">
        <x:v>Linha 2 - Montagem</x:v>
      </x:c>
      <x:c r="E51" s="28" t="str">
        <x:v>SKU-002</x:v>
      </x:c>
      <x:c r="F51" s="28" t="str">
        <x:v>Alimentos</x:v>
      </x:c>
      <x:c r="G51" s="30" t="n">
        <x:v>56672.51</x:v>
      </x:c>
      <x:c r="H51" s="30" t="n">
        <x:v>37796.51</x:v>
      </x:c>
      <x:c r="I51" s="30" t="n">
        <x:v>1813.49</x:v>
      </x:c>
      <x:c r="J51" s="30" t="n">
        <x:v>7399.69</x:v>
      </x:c>
      <x:c r="K51" s="30" t="n">
        <x:v>14226.33</x:v>
      </x:c>
      <x:c r="L51" s="30" t="n">
        <x:v>392808</x:v>
      </x:c>
      <x:c r="M51" s="32" t="n">
        <x:v>6154.46</x:v>
      </x:c>
      <x:c r="N51" s="32" t="n">
        <x:v>2211.57</x:v>
      </x:c>
    </x:row>
    <x:row r="52">
      <x:c r="A52" s="34" t="n">
        <x:v>45348</x:v>
      </x:c>
      <x:c r="B52" s="28" t="str">
        <x:v>Grupo Industrial S.A.</x:v>
      </x:c>
      <x:c r="C52" s="28" t="str">
        <x:v>Planta Campinas</x:v>
      </x:c>
      <x:c r="D52" s="28" t="str">
        <x:v>Linha 3 - Extrusão</x:v>
      </x:c>
      <x:c r="E52" s="28" t="str">
        <x:v>SKU-078</x:v>
      </x:c>
      <x:c r="F52" s="28" t="str">
        <x:v>Higiene e Limpeza</x:v>
      </x:c>
      <x:c r="G52" s="30" t="n">
        <x:v>53247.21</x:v>
      </x:c>
      <x:c r="H52" s="30" t="n">
        <x:v>32192.45</x:v>
      </x:c>
      <x:c r="I52" s="30" t="n">
        <x:v>1907.24</x:v>
      </x:c>
      <x:c r="J52" s="30" t="n">
        <x:v>13435.96</x:v>
      </x:c>
      <x:c r="K52" s="30" t="n">
        <x:v>11898.38</x:v>
      </x:c>
      <x:c r="L52" s="30" t="n">
        <x:v>346288</x:v>
      </x:c>
      <x:c r="M52" s="32" t="n">
        <x:v>5614.06</x:v>
      </x:c>
      <x:c r="N52" s="32" t="n">
        <x:v>2325.91</x:v>
      </x:c>
    </x:row>
    <x:row r="53">
      <x:c r="A53" s="34" t="n">
        <x:v>45348</x:v>
      </x:c>
      <x:c r="B53" s="28" t="str">
        <x:v>Grupo Industrial S.A.</x:v>
      </x:c>
      <x:c r="C53" s="28" t="str">
        <x:v>Planta Campinas</x:v>
      </x:c>
      <x:c r="D53" s="28" t="str">
        <x:v>Linha 4 - Embalagem</x:v>
      </x:c>
      <x:c r="E53" s="28" t="str">
        <x:v>SKU-105</x:v>
      </x:c>
      <x:c r="F53" s="28" t="str">
        <x:v>Embalagens</x:v>
      </x:c>
      <x:c r="G53" s="30" t="n">
        <x:v>35160.95</x:v>
      </x:c>
      <x:c r="H53" s="30" t="n">
        <x:v>38918.97</x:v>
      </x:c>
      <x:c r="I53" s="30" t="n">
        <x:v>1529.38</x:v>
      </x:c>
      <x:c r="J53" s="30" t="n">
        <x:v>15176.98</x:v>
      </x:c>
      <x:c r="K53" s="30" t="n">
        <x:v>11898.38</x:v>
      </x:c>
      <x:c r="L53" s="30" t="n">
        <x:v>232505</x:v>
      </x:c>
      <x:c r="M53" s="32" t="n">
        <x:v>3707.16</x:v>
      </x:c>
      <x:c r="N53" s="32" t="n">
        <x:v>1865.1</x:v>
      </x:c>
    </x:row>
    <x:row r="54">
      <x:c r="A54" s="34" t="n">
        <x:v>45348</x:v>
      </x:c>
      <x:c r="B54" s="28" t="str">
        <x:v>Grupo Industrial S.A.</x:v>
      </x:c>
      <x:c r="C54" s="28" t="str">
        <x:v>Planta Curitiba</x:v>
      </x:c>
      <x:c r="D54" s="28" t="str">
        <x:v>Linha 5 - Usinagem</x:v>
      </x:c>
      <x:c r="E54" s="28" t="str">
        <x:v>SKU-223</x:v>
      </x:c>
      <x:c r="F54" s="28" t="str">
        <x:v>Bebidas</x:v>
      </x:c>
      <x:c r="G54" s="30" t="n">
        <x:v>49963.85</x:v>
      </x:c>
      <x:c r="H54" s="30" t="n">
        <x:v>32332.2</x:v>
      </x:c>
      <x:c r="I54" s="30" t="n">
        <x:v>1788.88</x:v>
      </x:c>
      <x:c r="J54" s="30" t="n">
        <x:v>9746.63</x:v>
      </x:c>
      <x:c r="K54" s="30" t="n">
        <x:v>11898.38</x:v>
      </x:c>
      <x:c r="L54" s="30" t="n">
        <x:v>332724</x:v>
      </x:c>
      <x:c r="M54" s="32" t="n">
        <x:v>5425.92</x:v>
      </x:c>
      <x:c r="N54" s="32" t="n">
        <x:v>2181.56</x:v>
      </x:c>
    </x:row>
    <x:row r="55">
      <x:c r="A55" s="34" t="n">
        <x:v>45348</x:v>
      </x:c>
      <x:c r="B55" s="28" t="str">
        <x:v>Grupo Industrial S.A.</x:v>
      </x:c>
      <x:c r="C55" s="28" t="str">
        <x:v>Planta Curitiba</x:v>
      </x:c>
      <x:c r="D55" s="28" t="str">
        <x:v>Linha 6 - Finalização</x:v>
      </x:c>
      <x:c r="E55" s="28" t="str">
        <x:v>SKU-432</x:v>
      </x:c>
      <x:c r="F55" s="28" t="str">
        <x:v>Alimentos</x:v>
      </x:c>
      <x:c r="G55" s="30" t="n">
        <x:v>35911.27</x:v>
      </x:c>
      <x:c r="H55" s="30" t="n">
        <x:v>44015.04</x:v>
      </x:c>
      <x:c r="I55" s="30" t="n">
        <x:v>1266.09</x:v>
      </x:c>
      <x:c r="J55" s="30" t="n">
        <x:v>8790.13</x:v>
      </x:c>
      <x:c r="K55" s="30" t="n">
        <x:v>11898.38</x:v>
      </x:c>
      <x:c r="L55" s="30" t="n">
        <x:v>241640</x:v>
      </x:c>
      <x:c r="M55" s="32" t="n">
        <x:v>3899.85</x:v>
      </x:c>
      <x:c r="N55" s="32" t="n">
        <x:v>1544.02</x:v>
      </x:c>
    </x:row>
    <x:row r="56">
      <x:c r="A56" s="34" t="n">
        <x:v>45355</x:v>
      </x:c>
      <x:c r="B56" s="28" t="str">
        <x:v>Grupo Industrial S.A.</x:v>
      </x:c>
      <x:c r="C56" s="28" t="str">
        <x:v>Planta São Paulo</x:v>
      </x:c>
      <x:c r="D56" s="28" t="str">
        <x:v>Linha 1 - Corte</x:v>
      </x:c>
      <x:c r="E56" s="28" t="str">
        <x:v>SKU-001</x:v>
      </x:c>
      <x:c r="F56" s="28" t="str">
        <x:v>Alimentos</x:v>
      </x:c>
      <x:c r="G56" s="30" t="n">
        <x:v>61299.58</x:v>
      </x:c>
      <x:c r="H56" s="30" t="n">
        <x:v>31487.63</x:v>
      </x:c>
      <x:c r="I56" s="30" t="n">
        <x:v>1957.25</x:v>
      </x:c>
      <x:c r="J56" s="30" t="n">
        <x:v>6334.86</x:v>
      </x:c>
      <x:c r="K56" s="30" t="n">
        <x:v>14226.33</x:v>
      </x:c>
      <x:c r="L56" s="30" t="n">
        <x:v>415008</x:v>
      </x:c>
      <x:c r="M56" s="32" t="n">
        <x:v>6650.9</x:v>
      </x:c>
      <x:c r="N56" s="32" t="n">
        <x:v>2386.89</x:v>
      </x:c>
    </x:row>
    <x:row r="57">
      <x:c r="A57" s="34" t="n">
        <x:v>45355</x:v>
      </x:c>
      <x:c r="B57" s="28" t="str">
        <x:v>Grupo Industrial S.A.</x:v>
      </x:c>
      <x:c r="C57" s="28" t="str">
        <x:v>Planta São Paulo</x:v>
      </x:c>
      <x:c r="D57" s="28" t="str">
        <x:v>Linha 2 - Montagem</x:v>
      </x:c>
      <x:c r="E57" s="28" t="str">
        <x:v>SKU-002</x:v>
      </x:c>
      <x:c r="F57" s="28" t="str">
        <x:v>Alimentos</x:v>
      </x:c>
      <x:c r="G57" s="30" t="n">
        <x:v>54453.74</x:v>
      </x:c>
      <x:c r="H57" s="30" t="n">
        <x:v>37582.68</x:v>
      </x:c>
      <x:c r="I57" s="30" t="n">
        <x:v>1749.44</x:v>
      </x:c>
      <x:c r="J57" s="30" t="n">
        <x:v>8193.27</x:v>
      </x:c>
      <x:c r="K57" s="30" t="n">
        <x:v>14226.33</x:v>
      </x:c>
      <x:c r="L57" s="30" t="n">
        <x:v>372762</x:v>
      </x:c>
      <x:c r="M57" s="32" t="n">
        <x:v>5908.14</x:v>
      </x:c>
      <x:c r="N57" s="32" t="n">
        <x:v>2133.46</x:v>
      </x:c>
    </x:row>
    <x:row r="58">
      <x:c r="A58" s="34" t="n">
        <x:v>45355</x:v>
      </x:c>
      <x:c r="B58" s="28" t="str">
        <x:v>Grupo Industrial S.A.</x:v>
      </x:c>
      <x:c r="C58" s="28" t="str">
        <x:v>Planta Campinas</x:v>
      </x:c>
      <x:c r="D58" s="28" t="str">
        <x:v>Linha 3 - Extrusão</x:v>
      </x:c>
      <x:c r="E58" s="28" t="str">
        <x:v>SKU-078</x:v>
      </x:c>
      <x:c r="F58" s="28" t="str">
        <x:v>Higiene e Limpeza</x:v>
      </x:c>
      <x:c r="G58" s="30" t="n">
        <x:v>51396.91</x:v>
      </x:c>
      <x:c r="H58" s="30" t="n">
        <x:v>33200.42</x:v>
      </x:c>
      <x:c r="I58" s="30" t="n">
        <x:v>1764.55</x:v>
      </x:c>
      <x:c r="J58" s="30" t="n">
        <x:v>13630.12</x:v>
      </x:c>
      <x:c r="K58" s="30" t="n">
        <x:v>11898.38</x:v>
      </x:c>
      <x:c r="L58" s="30" t="n">
        <x:v>330096</x:v>
      </x:c>
      <x:c r="M58" s="32" t="n">
        <x:v>5414.06</x:v>
      </x:c>
      <x:c r="N58" s="32" t="n">
        <x:v>2151.89</x:v>
      </x:c>
    </x:row>
    <x:row r="59">
      <x:c r="A59" s="34" t="n">
        <x:v>45355</x:v>
      </x:c>
      <x:c r="B59" s="28" t="str">
        <x:v>Grupo Industrial S.A.</x:v>
      </x:c>
      <x:c r="C59" s="28" t="str">
        <x:v>Planta Campinas</x:v>
      </x:c>
      <x:c r="D59" s="28" t="str">
        <x:v>Linha 4 - Embalagem</x:v>
      </x:c>
      <x:c r="E59" s="28" t="str">
        <x:v>SKU-105</x:v>
      </x:c>
      <x:c r="F59" s="28" t="str">
        <x:v>Embalagens</x:v>
      </x:c>
      <x:c r="G59" s="30" t="n">
        <x:v>35129.58</x:v>
      </x:c>
      <x:c r="H59" s="30" t="n">
        <x:v>40024.57</x:v>
      </x:c>
      <x:c r="I59" s="30" t="n">
        <x:v>1494.33</x:v>
      </x:c>
      <x:c r="J59" s="30" t="n">
        <x:v>12808.75</x:v>
      </x:c>
      <x:c r="K59" s="30" t="n">
        <x:v>11898.38</x:v>
      </x:c>
      <x:c r="L59" s="30" t="n">
        <x:v>233610</x:v>
      </x:c>
      <x:c r="M59" s="32" t="n">
        <x:v>3700.49</x:v>
      </x:c>
      <x:c r="N59" s="32" t="n">
        <x:v>1822.35</x:v>
      </x:c>
    </x:row>
    <x:row r="60">
      <x:c r="A60" s="34" t="n">
        <x:v>45355</x:v>
      </x:c>
      <x:c r="B60" s="28" t="str">
        <x:v>Grupo Industrial S.A.</x:v>
      </x:c>
      <x:c r="C60" s="28" t="str">
        <x:v>Planta Curitiba</x:v>
      </x:c>
      <x:c r="D60" s="28" t="str">
        <x:v>Linha 5 - Usinagem</x:v>
      </x:c>
      <x:c r="E60" s="28" t="str">
        <x:v>SKU-223</x:v>
      </x:c>
      <x:c r="F60" s="28" t="str">
        <x:v>Bebidas</x:v>
      </x:c>
      <x:c r="G60" s="30" t="n">
        <x:v>49313.41</x:v>
      </x:c>
      <x:c r="H60" s="30" t="n">
        <x:v>32917.28</x:v>
      </x:c>
      <x:c r="I60" s="30" t="n">
        <x:v>1662.82</x:v>
      </x:c>
      <x:c r="J60" s="30" t="n">
        <x:v>9580.45</x:v>
      </x:c>
      <x:c r="K60" s="30" t="n">
        <x:v>11898.38</x:v>
      </x:c>
      <x:c r="L60" s="30" t="n">
        <x:v>327936</x:v>
      </x:c>
      <x:c r="M60" s="32" t="n">
        <x:v>5350.43</x:v>
      </x:c>
      <x:c r="N60" s="32" t="n">
        <x:v>2027.82</x:v>
      </x:c>
    </x:row>
    <x:row r="61">
      <x:c r="A61" s="34" t="n">
        <x:v>45355</x:v>
      </x:c>
      <x:c r="B61" s="28" t="str">
        <x:v>Grupo Industrial S.A.</x:v>
      </x:c>
      <x:c r="C61" s="28" t="str">
        <x:v>Planta Curitiba</x:v>
      </x:c>
      <x:c r="D61" s="28" t="str">
        <x:v>Linha 6 - Finalização</x:v>
      </x:c>
      <x:c r="E61" s="28" t="str">
        <x:v>SKU-432</x:v>
      </x:c>
      <x:c r="F61" s="28" t="str">
        <x:v>Alimentos</x:v>
      </x:c>
      <x:c r="G61" s="30" t="n">
        <x:v>38416.82</x:v>
      </x:c>
      <x:c r="H61" s="30" t="n">
        <x:v>44883.92</x:v>
      </x:c>
      <x:c r="I61" s="30" t="n">
        <x:v>1429.37</x:v>
      </x:c>
      <x:c r="J61" s="30" t="n">
        <x:v>8178.47</x:v>
      </x:c>
      <x:c r="K61" s="30" t="n">
        <x:v>11898.38</x:v>
      </x:c>
      <x:c r="L61" s="30" t="n">
        <x:v>261310</x:v>
      </x:c>
      <x:c r="M61" s="32" t="n">
        <x:v>4168.16</x:v>
      </x:c>
      <x:c r="N61" s="32" t="n">
        <x:v>1743.13</x:v>
      </x:c>
    </x:row>
    <x:row r="62">
      <x:c r="A62" s="34" t="n">
        <x:v>45362</x:v>
      </x:c>
      <x:c r="B62" s="28" t="str">
        <x:v>Grupo Industrial S.A.</x:v>
      </x:c>
      <x:c r="C62" s="28" t="str">
        <x:v>Planta São Paulo</x:v>
      </x:c>
      <x:c r="D62" s="28" t="str">
        <x:v>Linha 1 - Corte</x:v>
      </x:c>
      <x:c r="E62" s="28" t="str">
        <x:v>SKU-001</x:v>
      </x:c>
      <x:c r="F62" s="28" t="str">
        <x:v>Alimentos</x:v>
      </x:c>
      <x:c r="G62" s="30" t="n">
        <x:v>62325.04</x:v>
      </x:c>
      <x:c r="H62" s="30" t="n">
        <x:v>30986.64</x:v>
      </x:c>
      <x:c r="I62" s="30" t="n">
        <x:v>1824.44</x:v>
      </x:c>
      <x:c r="J62" s="30" t="n">
        <x:v>5994.13</x:v>
      </x:c>
      <x:c r="K62" s="30" t="n">
        <x:v>14226.33</x:v>
      </x:c>
      <x:c r="L62" s="30" t="n">
        <x:v>419760</x:v>
      </x:c>
      <x:c r="M62" s="32" t="n">
        <x:v>6762.17</x:v>
      </x:c>
      <x:c r="N62" s="32" t="n">
        <x:v>2224.93</x:v>
      </x:c>
    </x:row>
    <x:row r="63">
      <x:c r="A63" s="34" t="n">
        <x:v>45362</x:v>
      </x:c>
      <x:c r="B63" s="28" t="str">
        <x:v>Grupo Industrial S.A.</x:v>
      </x:c>
      <x:c r="C63" s="28" t="str">
        <x:v>Planta São Paulo</x:v>
      </x:c>
      <x:c r="D63" s="28" t="str">
        <x:v>Linha 2 - Montagem</x:v>
      </x:c>
      <x:c r="E63" s="28" t="str">
        <x:v>SKU-002</x:v>
      </x:c>
      <x:c r="F63" s="28" t="str">
        <x:v>Alimentos</x:v>
      </x:c>
      <x:c r="G63" s="30" t="n">
        <x:v>55445.37</x:v>
      </x:c>
      <x:c r="H63" s="30" t="n">
        <x:v>37892.71</x:v>
      </x:c>
      <x:c r="I63" s="30" t="n">
        <x:v>1726.85</x:v>
      </x:c>
      <x:c r="J63" s="30" t="n">
        <x:v>6962.93</x:v>
      </x:c>
      <x:c r="K63" s="30" t="n">
        <x:v>14226.33</x:v>
      </x:c>
      <x:c r="L63" s="30" t="n">
        <x:v>375258</x:v>
      </x:c>
      <x:c r="M63" s="32" t="n">
        <x:v>6015.73</x:v>
      </x:c>
      <x:c r="N63" s="32" t="n">
        <x:v>2105.92</x:v>
      </x:c>
    </x:row>
    <x:row r="64">
      <x:c r="A64" s="34" t="n">
        <x:v>45362</x:v>
      </x:c>
      <x:c r="B64" s="28" t="str">
        <x:v>Grupo Industrial S.A.</x:v>
      </x:c>
      <x:c r="C64" s="28" t="str">
        <x:v>Planta Campinas</x:v>
      </x:c>
      <x:c r="D64" s="28" t="str">
        <x:v>Linha 3 - Extrusão</x:v>
      </x:c>
      <x:c r="E64" s="28" t="str">
        <x:v>SKU-078</x:v>
      </x:c>
      <x:c r="F64" s="28" t="str">
        <x:v>Higiene e Limpeza</x:v>
      </x:c>
      <x:c r="G64" s="30" t="n">
        <x:v>53735.35</x:v>
      </x:c>
      <x:c r="H64" s="30" t="n">
        <x:v>32571.85</x:v>
      </x:c>
      <x:c r="I64" s="30" t="n">
        <x:v>1789.19</x:v>
      </x:c>
      <x:c r="J64" s="30" t="n">
        <x:v>14741.19</x:v>
      </x:c>
      <x:c r="K64" s="30" t="n">
        <x:v>11898.38</x:v>
      </x:c>
      <x:c r="L64" s="30" t="n">
        <x:v>343344</x:v>
      </x:c>
      <x:c r="M64" s="32" t="n">
        <x:v>5660.39</x:v>
      </x:c>
      <x:c r="N64" s="32" t="n">
        <x:v>2181.94</x:v>
      </x:c>
    </x:row>
    <x:row r="65">
      <x:c r="A65" s="34" t="n">
        <x:v>45362</x:v>
      </x:c>
      <x:c r="B65" s="28" t="str">
        <x:v>Grupo Industrial S.A.</x:v>
      </x:c>
      <x:c r="C65" s="28" t="str">
        <x:v>Planta Campinas</x:v>
      </x:c>
      <x:c r="D65" s="28" t="str">
        <x:v>Linha 4 - Embalagem</x:v>
      </x:c>
      <x:c r="E65" s="28" t="str">
        <x:v>SKU-105</x:v>
      </x:c>
      <x:c r="F65" s="28" t="str">
        <x:v>Embalagens</x:v>
      </x:c>
      <x:c r="G65" s="30" t="n">
        <x:v>35127.97</x:v>
      </x:c>
      <x:c r="H65" s="30" t="n">
        <x:v>38974.76</x:v>
      </x:c>
      <x:c r="I65" s="30" t="n">
        <x:v>1440.7</x:v>
      </x:c>
      <x:c r="J65" s="30" t="n">
        <x:v>13845.51</x:v>
      </x:c>
      <x:c r="K65" s="30" t="n">
        <x:v>11898.38</x:v>
      </x:c>
      <x:c r="L65" s="30" t="n">
        <x:v>231985</x:v>
      </x:c>
      <x:c r="M65" s="32" t="n">
        <x:v>3700.32</x:v>
      </x:c>
      <x:c r="N65" s="32" t="n">
        <x:v>1756.95</x:v>
      </x:c>
    </x:row>
    <x:row r="66">
      <x:c r="A66" s="34" t="n">
        <x:v>45362</x:v>
      </x:c>
      <x:c r="B66" s="28" t="str">
        <x:v>Grupo Industrial S.A.</x:v>
      </x:c>
      <x:c r="C66" s="28" t="str">
        <x:v>Planta Curitiba</x:v>
      </x:c>
      <x:c r="D66" s="28" t="str">
        <x:v>Linha 5 - Usinagem</x:v>
      </x:c>
      <x:c r="E66" s="28" t="str">
        <x:v>SKU-223</x:v>
      </x:c>
      <x:c r="F66" s="28" t="str">
        <x:v>Bebidas</x:v>
      </x:c>
      <x:c r="G66" s="30" t="n">
        <x:v>53515.39</x:v>
      </x:c>
      <x:c r="H66" s="30" t="n">
        <x:v>32275.07</x:v>
      </x:c>
      <x:c r="I66" s="30" t="n">
        <x:v>1922.5</x:v>
      </x:c>
      <x:c r="J66" s="30" t="n">
        <x:v>10110.77</x:v>
      </x:c>
      <x:c r="K66" s="30" t="n">
        <x:v>11898.38</x:v>
      </x:c>
      <x:c r="L66" s="30" t="n">
        <x:v>357000</x:v>
      </x:c>
      <x:c r="M66" s="32" t="n">
        <x:v>5806.33</x:v>
      </x:c>
      <x:c r="N66" s="32" t="n">
        <x:v>2344.51</x:v>
      </x:c>
    </x:row>
    <x:row r="67">
      <x:c r="A67" s="34" t="n">
        <x:v>45362</x:v>
      </x:c>
      <x:c r="B67" s="28" t="str">
        <x:v>Grupo Industrial S.A.</x:v>
      </x:c>
      <x:c r="C67" s="28" t="str">
        <x:v>Planta Curitiba</x:v>
      </x:c>
      <x:c r="D67" s="28" t="str">
        <x:v>Linha 6 - Finalização</x:v>
      </x:c>
      <x:c r="E67" s="28" t="str">
        <x:v>SKU-432</x:v>
      </x:c>
      <x:c r="F67" s="28" t="str">
        <x:v>Alimentos</x:v>
      </x:c>
      <x:c r="G67" s="30" t="n">
        <x:v>36767.45</x:v>
      </x:c>
      <x:c r="H67" s="30" t="n">
        <x:v>44849.96</x:v>
      </x:c>
      <x:c r="I67" s="30" t="n">
        <x:v>1367.37</x:v>
      </x:c>
      <x:c r="J67" s="30" t="n">
        <x:v>8359.92</x:v>
      </x:c>
      <x:c r="K67" s="30" t="n">
        <x:v>11898.38</x:v>
      </x:c>
      <x:c r="L67" s="30" t="n">
        <x:v>252630</x:v>
      </x:c>
      <x:c r="M67" s="32" t="n">
        <x:v>3989.21</x:v>
      </x:c>
      <x:c r="N67" s="32" t="n">
        <x:v>1667.52</x:v>
      </x:c>
    </x:row>
    <x:row r="68">
      <x:c r="A68" s="34" t="n">
        <x:v>45369</x:v>
      </x:c>
      <x:c r="B68" s="28" t="str">
        <x:v>Grupo Industrial S.A.</x:v>
      </x:c>
      <x:c r="C68" s="28" t="str">
        <x:v>Planta São Paulo</x:v>
      </x:c>
      <x:c r="D68" s="28" t="str">
        <x:v>Linha 1 - Corte</x:v>
      </x:c>
      <x:c r="E68" s="28" t="str">
        <x:v>SKU-001</x:v>
      </x:c>
      <x:c r="F68" s="28" t="str">
        <x:v>Alimentos</x:v>
      </x:c>
      <x:c r="G68" s="30" t="n">
        <x:v>61176.5</x:v>
      </x:c>
      <x:c r="H68" s="30" t="n">
        <x:v>31167.73</x:v>
      </x:c>
      <x:c r="I68" s="30" t="n">
        <x:v>1915.14</x:v>
      </x:c>
      <x:c r="J68" s="30" t="n">
        <x:v>6546.15</x:v>
      </x:c>
      <x:c r="K68" s="30" t="n">
        <x:v>14226.33</x:v>
      </x:c>
      <x:c r="L68" s="30" t="n">
        <x:v>414936</x:v>
      </x:c>
      <x:c r="M68" s="32" t="n">
        <x:v>6637.55</x:v>
      </x:c>
      <x:c r="N68" s="32" t="n">
        <x:v>2335.54</x:v>
      </x:c>
    </x:row>
    <x:row r="69">
      <x:c r="A69" s="34" t="n">
        <x:v>45369</x:v>
      </x:c>
      <x:c r="B69" s="28" t="str">
        <x:v>Grupo Industrial S.A.</x:v>
      </x:c>
      <x:c r="C69" s="28" t="str">
        <x:v>Planta São Paulo</x:v>
      </x:c>
      <x:c r="D69" s="28" t="str">
        <x:v>Linha 2 - Montagem</x:v>
      </x:c>
      <x:c r="E69" s="28" t="str">
        <x:v>SKU-002</x:v>
      </x:c>
      <x:c r="F69" s="28" t="str">
        <x:v>Alimentos</x:v>
      </x:c>
      <x:c r="G69" s="30" t="n">
        <x:v>55088.3</x:v>
      </x:c>
      <x:c r="H69" s="30" t="n">
        <x:v>36738.2</x:v>
      </x:c>
      <x:c r="I69" s="30" t="n">
        <x:v>1686.06</x:v>
      </x:c>
      <x:c r="J69" s="30" t="n">
        <x:v>8451.29</x:v>
      </x:c>
      <x:c r="K69" s="30" t="n">
        <x:v>14226.33</x:v>
      </x:c>
      <x:c r="L69" s="30" t="n">
        <x:v>380250</x:v>
      </x:c>
      <x:c r="M69" s="32" t="n">
        <x:v>5976.99</x:v>
      </x:c>
      <x:c r="N69" s="32" t="n">
        <x:v>2056.17</x:v>
      </x:c>
    </x:row>
    <x:row r="70">
      <x:c r="A70" s="34" t="n">
        <x:v>45369</x:v>
      </x:c>
      <x:c r="B70" s="28" t="str">
        <x:v>Grupo Industrial S.A.</x:v>
      </x:c>
      <x:c r="C70" s="28" t="str">
        <x:v>Planta Campinas</x:v>
      </x:c>
      <x:c r="D70" s="28" t="str">
        <x:v>Linha 3 - Extrusão</x:v>
      </x:c>
      <x:c r="E70" s="28" t="str">
        <x:v>SKU-078</x:v>
      </x:c>
      <x:c r="F70" s="28" t="str">
        <x:v>Higiene e Limpeza</x:v>
      </x:c>
      <x:c r="G70" s="30" t="n">
        <x:v>57311.12</x:v>
      </x:c>
      <x:c r="H70" s="30" t="n">
        <x:v>31656.12</x:v>
      </x:c>
      <x:c r="I70" s="30" t="n">
        <x:v>2028.54</x:v>
      </x:c>
      <x:c r="J70" s="30" t="n">
        <x:v>14882.98</x:v>
      </x:c>
      <x:c r="K70" s="30" t="n">
        <x:v>11898.38</x:v>
      </x:c>
      <x:c r="L70" s="30" t="n">
        <x:v>369196</x:v>
      </x:c>
      <x:c r="M70" s="32" t="n">
        <x:v>6037.05</x:v>
      </x:c>
      <x:c r="N70" s="32" t="n">
        <x:v>2473.83</x:v>
      </x:c>
    </x:row>
    <x:row r="71">
      <x:c r="A71" s="34" t="n">
        <x:v>45369</x:v>
      </x:c>
      <x:c r="B71" s="28" t="str">
        <x:v>Grupo Industrial S.A.</x:v>
      </x:c>
      <x:c r="C71" s="28" t="str">
        <x:v>Planta Campinas</x:v>
      </x:c>
      <x:c r="D71" s="28" t="str">
        <x:v>Linha 4 - Embalagem</x:v>
      </x:c>
      <x:c r="E71" s="28" t="str">
        <x:v>SKU-105</x:v>
      </x:c>
      <x:c r="F71" s="28" t="str">
        <x:v>Embalagens</x:v>
      </x:c>
      <x:c r="G71" s="30" t="n">
        <x:v>31945.71</x:v>
      </x:c>
      <x:c r="H71" s="30" t="n">
        <x:v>39707.78</x:v>
      </x:c>
      <x:c r="I71" s="30" t="n">
        <x:v>1320.52</x:v>
      </x:c>
      <x:c r="J71" s="30" t="n">
        <x:v>13924.09</x:v>
      </x:c>
      <x:c r="K71" s="30" t="n">
        <x:v>11898.38</x:v>
      </x:c>
      <x:c r="L71" s="30" t="n">
        <x:v>209300</x:v>
      </x:c>
      <x:c r="M71" s="32" t="n">
        <x:v>3365.1</x:v>
      </x:c>
      <x:c r="N71" s="32" t="n">
        <x:v>1610.39</x:v>
      </x:c>
    </x:row>
    <x:row r="72">
      <x:c r="A72" s="34" t="n">
        <x:v>45369</x:v>
      </x:c>
      <x:c r="B72" s="28" t="str">
        <x:v>Grupo Industrial S.A.</x:v>
      </x:c>
      <x:c r="C72" s="28" t="str">
        <x:v>Planta Curitiba</x:v>
      </x:c>
      <x:c r="D72" s="28" t="str">
        <x:v>Linha 5 - Usinagem</x:v>
      </x:c>
      <x:c r="E72" s="28" t="str">
        <x:v>SKU-223</x:v>
      </x:c>
      <x:c r="F72" s="28" t="str">
        <x:v>Bebidas</x:v>
      </x:c>
      <x:c r="G72" s="30" t="n">
        <x:v>51275.37</x:v>
      </x:c>
      <x:c r="H72" s="30" t="n">
        <x:v>31809.41</x:v>
      </x:c>
      <x:c r="I72" s="30" t="n">
        <x:v>1791.95</x:v>
      </x:c>
      <x:c r="J72" s="30" t="n">
        <x:v>10195.73</x:v>
      </x:c>
      <x:c r="K72" s="30" t="n">
        <x:v>11898.38</x:v>
      </x:c>
      <x:c r="L72" s="30" t="n">
        <x:v>337596</x:v>
      </x:c>
      <x:c r="M72" s="32" t="n">
        <x:v>5563.3</x:v>
      </x:c>
      <x:c r="N72" s="32" t="n">
        <x:v>2185.31</x:v>
      </x:c>
    </x:row>
    <x:row r="73">
      <x:c r="A73" s="34" t="n">
        <x:v>45369</x:v>
      </x:c>
      <x:c r="B73" s="28" t="str">
        <x:v>Grupo Industrial S.A.</x:v>
      </x:c>
      <x:c r="C73" s="28" t="str">
        <x:v>Planta Curitiba</x:v>
      </x:c>
      <x:c r="D73" s="28" t="str">
        <x:v>Linha 6 - Finalização</x:v>
      </x:c>
      <x:c r="E73" s="28" t="str">
        <x:v>SKU-432</x:v>
      </x:c>
      <x:c r="F73" s="28" t="str">
        <x:v>Alimentos</x:v>
      </x:c>
      <x:c r="G73" s="30" t="n">
        <x:v>39671.01</x:v>
      </x:c>
      <x:c r="H73" s="30" t="n">
        <x:v>44286.84</x:v>
      </x:c>
      <x:c r="I73" s="30" t="n">
        <x:v>1372.23</x:v>
      </x:c>
      <x:c r="J73" s="30" t="n">
        <x:v>8834.19</x:v>
      </x:c>
      <x:c r="K73" s="30" t="n">
        <x:v>11898.38</x:v>
      </x:c>
      <x:c r="L73" s="30" t="n">
        <x:v>266350</x:v>
      </x:c>
      <x:c r="M73" s="32" t="n">
        <x:v>4304.24</x:v>
      </x:c>
      <x:c r="N73" s="32" t="n">
        <x:v>1673.45</x:v>
      </x:c>
    </x:row>
    <x:row r="74">
      <x:c r="A74" s="34" t="n">
        <x:v>45376</x:v>
      </x:c>
      <x:c r="B74" s="28" t="str">
        <x:v>Grupo Industrial S.A.</x:v>
      </x:c>
      <x:c r="C74" s="28" t="str">
        <x:v>Planta São Paulo</x:v>
      </x:c>
      <x:c r="D74" s="28" t="str">
        <x:v>Linha 1 - Corte</x:v>
      </x:c>
      <x:c r="E74" s="28" t="str">
        <x:v>SKU-001</x:v>
      </x:c>
      <x:c r="F74" s="28" t="str">
        <x:v>Alimentos</x:v>
      </x:c>
      <x:c r="G74" s="30" t="n">
        <x:v>62989.4</x:v>
      </x:c>
      <x:c r="H74" s="30" t="n">
        <x:v>30272.05</x:v>
      </x:c>
      <x:c r="I74" s="30" t="n">
        <x:v>1843.99</x:v>
      </x:c>
      <x:c r="J74" s="30" t="n">
        <x:v>7677.1</x:v>
      </x:c>
      <x:c r="K74" s="30" t="n">
        <x:v>14226.33</x:v>
      </x:c>
      <x:c r="L74" s="30" t="n">
        <x:v>418896</x:v>
      </x:c>
      <x:c r="M74" s="32" t="n">
        <x:v>6834.25</x:v>
      </x:c>
      <x:c r="N74" s="32" t="n">
        <x:v>2248.77</x:v>
      </x:c>
    </x:row>
    <x:row r="75">
      <x:c r="A75" s="34" t="n">
        <x:v>45376</x:v>
      </x:c>
      <x:c r="B75" s="28" t="str">
        <x:v>Grupo Industrial S.A.</x:v>
      </x:c>
      <x:c r="C75" s="28" t="str">
        <x:v>Planta São Paulo</x:v>
      </x:c>
      <x:c r="D75" s="28" t="str">
        <x:v>Linha 2 - Montagem</x:v>
      </x:c>
      <x:c r="E75" s="28" t="str">
        <x:v>SKU-002</x:v>
      </x:c>
      <x:c r="F75" s="28" t="str">
        <x:v>Alimentos</x:v>
      </x:c>
      <x:c r="G75" s="30" t="n">
        <x:v>59422.42</x:v>
      </x:c>
      <x:c r="H75" s="30" t="n">
        <x:v>39433.22</x:v>
      </x:c>
      <x:c r="I75" s="30" t="n">
        <x:v>2003.28</x:v>
      </x:c>
      <x:c r="J75" s="30" t="n">
        <x:v>6661.8</x:v>
      </x:c>
      <x:c r="K75" s="30" t="n">
        <x:v>14226.33</x:v>
      </x:c>
      <x:c r="L75" s="30" t="n">
        <x:v>411762</x:v>
      </x:c>
      <x:c r="M75" s="32" t="n">
        <x:v>6447.24</x:v>
      </x:c>
      <x:c r="N75" s="32" t="n">
        <x:v>2443.03</x:v>
      </x:c>
    </x:row>
    <x:row r="76">
      <x:c r="A76" s="34" t="n">
        <x:v>45376</x:v>
      </x:c>
      <x:c r="B76" s="28" t="str">
        <x:v>Grupo Industrial S.A.</x:v>
      </x:c>
      <x:c r="C76" s="28" t="str">
        <x:v>Planta Campinas</x:v>
      </x:c>
      <x:c r="D76" s="28" t="str">
        <x:v>Linha 3 - Extrusão</x:v>
      </x:c>
      <x:c r="E76" s="28" t="str">
        <x:v>SKU-078</x:v>
      </x:c>
      <x:c r="F76" s="28" t="str">
        <x:v>Higiene e Limpeza</x:v>
      </x:c>
      <x:c r="G76" s="30" t="n">
        <x:v>55661.2</x:v>
      </x:c>
      <x:c r="H76" s="30" t="n">
        <x:v>33064.51</x:v>
      </x:c>
      <x:c r="I76" s="30" t="n">
        <x:v>1821.49</x:v>
      </x:c>
      <x:c r="J76" s="30" t="n">
        <x:v>13707.92</x:v>
      </x:c>
      <x:c r="K76" s="30" t="n">
        <x:v>11898.38</x:v>
      </x:c>
      <x:c r="L76" s="30" t="n">
        <x:v>363400</x:v>
      </x:c>
      <x:c r="M76" s="32" t="n">
        <x:v>5863.25</x:v>
      </x:c>
      <x:c r="N76" s="32" t="n">
        <x:v>2221.33</x:v>
      </x:c>
    </x:row>
    <x:row r="77">
      <x:c r="A77" s="34" t="n">
        <x:v>45376</x:v>
      </x:c>
      <x:c r="B77" s="28" t="str">
        <x:v>Grupo Industrial S.A.</x:v>
      </x:c>
      <x:c r="C77" s="28" t="str">
        <x:v>Planta Campinas</x:v>
      </x:c>
      <x:c r="D77" s="28" t="str">
        <x:v>Linha 4 - Embalagem</x:v>
      </x:c>
      <x:c r="E77" s="28" t="str">
        <x:v>SKU-105</x:v>
      </x:c>
      <x:c r="F77" s="28" t="str">
        <x:v>Embalagens</x:v>
      </x:c>
      <x:c r="G77" s="30" t="n">
        <x:v>34785.28</x:v>
      </x:c>
      <x:c r="H77" s="30" t="n">
        <x:v>38552.97</x:v>
      </x:c>
      <x:c r="I77" s="30" t="n">
        <x:v>1413.76</x:v>
      </x:c>
      <x:c r="J77" s="30" t="n">
        <x:v>14557.6</x:v>
      </x:c>
      <x:c r="K77" s="30" t="n">
        <x:v>11898.38</x:v>
      </x:c>
      <x:c r="L77" s="30" t="n">
        <x:v>228670</x:v>
      </x:c>
      <x:c r="M77" s="32" t="n">
        <x:v>3664.22</x:v>
      </x:c>
      <x:c r="N77" s="32" t="n">
        <x:v>1724.1</x:v>
      </x:c>
    </x:row>
    <x:row r="78">
      <x:c r="A78" s="34" t="n">
        <x:v>45376</x:v>
      </x:c>
      <x:c r="B78" s="28" t="str">
        <x:v>Grupo Industrial S.A.</x:v>
      </x:c>
      <x:c r="C78" s="28" t="str">
        <x:v>Planta Curitiba</x:v>
      </x:c>
      <x:c r="D78" s="28" t="str">
        <x:v>Linha 5 - Usinagem</x:v>
      </x:c>
      <x:c r="E78" s="28" t="str">
        <x:v>SKU-223</x:v>
      </x:c>
      <x:c r="F78" s="28" t="str">
        <x:v>Bebidas</x:v>
      </x:c>
      <x:c r="G78" s="30" t="n">
        <x:v>51249.77</x:v>
      </x:c>
      <x:c r="H78" s="30" t="n">
        <x:v>32053.88</x:v>
      </x:c>
      <x:c r="I78" s="30" t="n">
        <x:v>1701.18</x:v>
      </x:c>
      <x:c r="J78" s="30" t="n">
        <x:v>10119.31</x:v>
      </x:c>
      <x:c r="K78" s="30" t="n">
        <x:v>11898.38</x:v>
      </x:c>
      <x:c r="L78" s="30" t="n">
        <x:v>345492</x:v>
      </x:c>
      <x:c r="M78" s="32" t="n">
        <x:v>5560.52</x:v>
      </x:c>
      <x:c r="N78" s="32" t="n">
        <x:v>2074.61</x:v>
      </x:c>
    </x:row>
    <x:row r="79">
      <x:c r="A79" s="34" t="n">
        <x:v>45376</x:v>
      </x:c>
      <x:c r="B79" s="28" t="str">
        <x:v>Grupo Industrial S.A.</x:v>
      </x:c>
      <x:c r="C79" s="28" t="str">
        <x:v>Planta Curitiba</x:v>
      </x:c>
      <x:c r="D79" s="28" t="str">
        <x:v>Linha 6 - Finalização</x:v>
      </x:c>
      <x:c r="E79" s="28" t="str">
        <x:v>SKU-432</x:v>
      </x:c>
      <x:c r="F79" s="28" t="str">
        <x:v>Alimentos</x:v>
      </x:c>
      <x:c r="G79" s="30" t="n">
        <x:v>36246.2</x:v>
      </x:c>
      <x:c r="H79" s="30" t="n">
        <x:v>42935.32</x:v>
      </x:c>
      <x:c r="I79" s="30" t="n">
        <x:v>1345.6</x:v>
      </x:c>
      <x:c r="J79" s="30" t="n">
        <x:v>10268.66</x:v>
      </x:c>
      <x:c r="K79" s="30" t="n">
        <x:v>11898.38</x:v>
      </x:c>
      <x:c r="L79" s="30" t="n">
        <x:v>250740</x:v>
      </x:c>
      <x:c r="M79" s="32" t="n">
        <x:v>3932.65</x:v>
      </x:c>
      <x:c r="N79" s="32" t="n">
        <x:v>1640.98</x:v>
      </x:c>
    </x:row>
    <x:row r="80">
      <x:c r="A80" s="34" t="n">
        <x:v>45383</x:v>
      </x:c>
      <x:c r="B80" s="28" t="str">
        <x:v>Grupo Industrial S.A.</x:v>
      </x:c>
      <x:c r="C80" s="28" t="str">
        <x:v>Planta São Paulo</x:v>
      </x:c>
      <x:c r="D80" s="28" t="str">
        <x:v>Linha 1 - Corte</x:v>
      </x:c>
      <x:c r="E80" s="28" t="str">
        <x:v>SKU-001</x:v>
      </x:c>
      <x:c r="F80" s="28" t="str">
        <x:v>Alimentos</x:v>
      </x:c>
      <x:c r="G80" s="30" t="n">
        <x:v>58283.75</x:v>
      </x:c>
      <x:c r="H80" s="30" t="n">
        <x:v>30824.96</x:v>
      </x:c>
      <x:c r="I80" s="30" t="n">
        <x:v>1819.75</x:v>
      </x:c>
      <x:c r="J80" s="30" t="n">
        <x:v>6046.36</x:v>
      </x:c>
      <x:c r="K80" s="30" t="n">
        <x:v>14226.33</x:v>
      </x:c>
      <x:c r="L80" s="30" t="n">
        <x:v>393552</x:v>
      </x:c>
      <x:c r="M80" s="32" t="n">
        <x:v>6317.96</x:v>
      </x:c>
      <x:c r="N80" s="32" t="n">
        <x:v>2219.2</x:v>
      </x:c>
    </x:row>
    <x:row r="81">
      <x:c r="A81" s="34" t="n">
        <x:v>45383</x:v>
      </x:c>
      <x:c r="B81" s="28" t="str">
        <x:v>Grupo Industrial S.A.</x:v>
      </x:c>
      <x:c r="C81" s="28" t="str">
        <x:v>Planta São Paulo</x:v>
      </x:c>
      <x:c r="D81" s="28" t="str">
        <x:v>Linha 2 - Montagem</x:v>
      </x:c>
      <x:c r="E81" s="28" t="str">
        <x:v>SKU-002</x:v>
      </x:c>
      <x:c r="F81" s="28" t="str">
        <x:v>Alimentos</x:v>
      </x:c>
      <x:c r="G81" s="30" t="n">
        <x:v>59844.43</x:v>
      </x:c>
      <x:c r="H81" s="30" t="n">
        <x:v>39394.26</x:v>
      </x:c>
      <x:c r="I81" s="30" t="n">
        <x:v>1948.25</x:v>
      </x:c>
      <x:c r="J81" s="30" t="n">
        <x:v>6718.96</x:v>
      </x:c>
      <x:c r="K81" s="30" t="n">
        <x:v>14226.33</x:v>
      </x:c>
      <x:c r="L81" s="30" t="n">
        <x:v>399360</x:v>
      </x:c>
      <x:c r="M81" s="32" t="n">
        <x:v>6487.14</x:v>
      </x:c>
      <x:c r="N81" s="32" t="n">
        <x:v>2375.91</x:v>
      </x:c>
    </x:row>
    <x:row r="82">
      <x:c r="A82" s="34" t="n">
        <x:v>45383</x:v>
      </x:c>
      <x:c r="B82" s="28" t="str">
        <x:v>Grupo Industrial S.A.</x:v>
      </x:c>
      <x:c r="C82" s="28" t="str">
        <x:v>Planta Campinas</x:v>
      </x:c>
      <x:c r="D82" s="28" t="str">
        <x:v>Linha 3 - Extrusão</x:v>
      </x:c>
      <x:c r="E82" s="28" t="str">
        <x:v>SKU-078</x:v>
      </x:c>
      <x:c r="F82" s="28" t="str">
        <x:v>Higiene e Limpeza</x:v>
      </x:c>
      <x:c r="G82" s="30" t="n">
        <x:v>52166.38</x:v>
      </x:c>
      <x:c r="H82" s="30" t="n">
        <x:v>32130.92</x:v>
      </x:c>
      <x:c r="I82" s="30" t="n">
        <x:v>1837.11</x:v>
      </x:c>
      <x:c r="J82" s="30" t="n">
        <x:v>14007.07</x:v>
      </x:c>
      <x:c r="K82" s="30" t="n">
        <x:v>11898.38</x:v>
      </x:c>
      <x:c r="L82" s="30" t="n">
        <x:v>338008</x:v>
      </x:c>
      <x:c r="M82" s="32" t="n">
        <x:v>5490.13</x:v>
      </x:c>
      <x:c r="N82" s="32" t="n">
        <x:v>2240.37</x:v>
      </x:c>
    </x:row>
    <x:row r="83">
      <x:c r="A83" s="34" t="n">
        <x:v>45383</x:v>
      </x:c>
      <x:c r="B83" s="28" t="str">
        <x:v>Grupo Industrial S.A.</x:v>
      </x:c>
      <x:c r="C83" s="28" t="str">
        <x:v>Planta Campinas</x:v>
      </x:c>
      <x:c r="D83" s="28" t="str">
        <x:v>Linha 4 - Embalagem</x:v>
      </x:c>
      <x:c r="E83" s="28" t="str">
        <x:v>SKU-105</x:v>
      </x:c>
      <x:c r="F83" s="28" t="str">
        <x:v>Embalagens</x:v>
      </x:c>
      <x:c r="G83" s="30" t="n">
        <x:v>32862.22</x:v>
      </x:c>
      <x:c r="H83" s="30" t="n">
        <x:v>39676.67</x:v>
      </x:c>
      <x:c r="I83" s="30" t="n">
        <x:v>1400.87</x:v>
      </x:c>
      <x:c r="J83" s="30" t="n">
        <x:v>13245.52</x:v>
      </x:c>
      <x:c r="K83" s="30" t="n">
        <x:v>11898.38</x:v>
      </x:c>
      <x:c r="L83" s="30" t="n">
        <x:v>218725</x:v>
      </x:c>
      <x:c r="M83" s="32" t="n">
        <x:v>3458.51</x:v>
      </x:c>
      <x:c r="N83" s="32" t="n">
        <x:v>1708.38</x:v>
      </x:c>
    </x:row>
    <x:row r="84">
      <x:c r="A84" s="34" t="n">
        <x:v>45383</x:v>
      </x:c>
      <x:c r="B84" s="28" t="str">
        <x:v>Grupo Industrial S.A.</x:v>
      </x:c>
      <x:c r="C84" s="28" t="str">
        <x:v>Planta Curitiba</x:v>
      </x:c>
      <x:c r="D84" s="28" t="str">
        <x:v>Linha 5 - Usinagem</x:v>
      </x:c>
      <x:c r="E84" s="28" t="str">
        <x:v>SKU-223</x:v>
      </x:c>
      <x:c r="F84" s="28" t="str">
        <x:v>Bebidas</x:v>
      </x:c>
      <x:c r="G84" s="30" t="n">
        <x:v>48401.51</x:v>
      </x:c>
      <x:c r="H84" s="30" t="n">
        <x:v>33984.58</x:v>
      </x:c>
      <x:c r="I84" s="30" t="n">
        <x:v>1586.99</x:v>
      </x:c>
      <x:c r="J84" s="30" t="n">
        <x:v>8704.55</x:v>
      </x:c>
      <x:c r="K84" s="30" t="n">
        <x:v>11898.38</x:v>
      </x:c>
      <x:c r="L84" s="30" t="n">
        <x:v>325332</x:v>
      </x:c>
      <x:c r="M84" s="32" t="n">
        <x:v>5246.72</x:v>
      </x:c>
      <x:c r="N84" s="32" t="n">
        <x:v>1935.36</x:v>
      </x:c>
    </x:row>
    <x:row r="85">
      <x:c r="A85" s="34" t="n">
        <x:v>45383</x:v>
      </x:c>
      <x:c r="B85" s="28" t="str">
        <x:v>Grupo Industrial S.A.</x:v>
      </x:c>
      <x:c r="C85" s="28" t="str">
        <x:v>Planta Curitiba</x:v>
      </x:c>
      <x:c r="D85" s="28" t="str">
        <x:v>Linha 6 - Finalização</x:v>
      </x:c>
      <x:c r="E85" s="28" t="str">
        <x:v>SKU-432</x:v>
      </x:c>
      <x:c r="F85" s="28" t="str">
        <x:v>Alimentos</x:v>
      </x:c>
      <x:c r="G85" s="30" t="n">
        <x:v>39206.37</x:v>
      </x:c>
      <x:c r="H85" s="30" t="n">
        <x:v>44537.24</x:v>
      </x:c>
      <x:c r="I85" s="30" t="n">
        <x:v>1475.02</x:v>
      </x:c>
      <x:c r="J85" s="30" t="n">
        <x:v>9714.48</x:v>
      </x:c>
      <x:c r="K85" s="30" t="n">
        <x:v>11898.38</x:v>
      </x:c>
      <x:c r="L85" s="30" t="n">
        <x:v>260330</x:v>
      </x:c>
      <x:c r="M85" s="32" t="n">
        <x:v>4249.97</x:v>
      </x:c>
      <x:c r="N85" s="32" t="n">
        <x:v>1798.8</x:v>
      </x:c>
    </x:row>
    <x:row r="86">
      <x:c r="A86" s="34" t="n">
        <x:v>45390</x:v>
      </x:c>
      <x:c r="B86" s="28" t="str">
        <x:v>Grupo Industrial S.A.</x:v>
      </x:c>
      <x:c r="C86" s="28" t="str">
        <x:v>Planta São Paulo</x:v>
      </x:c>
      <x:c r="D86" s="28" t="str">
        <x:v>Linha 1 - Corte</x:v>
      </x:c>
      <x:c r="E86" s="28" t="str">
        <x:v>SKU-001</x:v>
      </x:c>
      <x:c r="F86" s="28" t="str">
        <x:v>Alimentos</x:v>
      </x:c>
      <x:c r="G86" s="30" t="n">
        <x:v>59999.42</x:v>
      </x:c>
      <x:c r="H86" s="30" t="n">
        <x:v>30380.98</x:v>
      </x:c>
      <x:c r="I86" s="30" t="n">
        <x:v>1759.53</x:v>
      </x:c>
      <x:c r="J86" s="30" t="n">
        <x:v>6944.54</x:v>
      </x:c>
      <x:c r="K86" s="30" t="n">
        <x:v>14226.33</x:v>
      </x:c>
      <x:c r="L86" s="30" t="n">
        <x:v>410616</x:v>
      </x:c>
      <x:c r="M86" s="32" t="n">
        <x:v>6503.94</x:v>
      </x:c>
      <x:c r="N86" s="32" t="n">
        <x:v>2145.77</x:v>
      </x:c>
    </x:row>
    <x:row r="87">
      <x:c r="A87" s="34" t="n">
        <x:v>45390</x:v>
      </x:c>
      <x:c r="B87" s="28" t="str">
        <x:v>Grupo Industrial S.A.</x:v>
      </x:c>
      <x:c r="C87" s="28" t="str">
        <x:v>Planta São Paulo</x:v>
      </x:c>
      <x:c r="D87" s="28" t="str">
        <x:v>Linha 2 - Montagem</x:v>
      </x:c>
      <x:c r="E87" s="28" t="str">
        <x:v>SKU-002</x:v>
      </x:c>
      <x:c r="F87" s="28" t="str">
        <x:v>Alimentos</x:v>
      </x:c>
      <x:c r="G87" s="30" t="n">
        <x:v>53963.89</x:v>
      </x:c>
      <x:c r="H87" s="30" t="n">
        <x:v>38694.97</x:v>
      </x:c>
      <x:c r="I87" s="30" t="n">
        <x:v>1739.87</x:v>
      </x:c>
      <x:c r="J87" s="30" t="n">
        <x:v>7542.5</x:v>
      </x:c>
      <x:c r="K87" s="30" t="n">
        <x:v>14226.33</x:v>
      </x:c>
      <x:c r="L87" s="30" t="n">
        <x:v>363870</x:v>
      </x:c>
      <x:c r="M87" s="32" t="n">
        <x:v>5849.69</x:v>
      </x:c>
      <x:c r="N87" s="32" t="n">
        <x:v>2121.79</x:v>
      </x:c>
    </x:row>
    <x:row r="88">
      <x:c r="A88" s="34" t="n">
        <x:v>45390</x:v>
      </x:c>
      <x:c r="B88" s="28" t="str">
        <x:v>Grupo Industrial S.A.</x:v>
      </x:c>
      <x:c r="C88" s="28" t="str">
        <x:v>Planta Campinas</x:v>
      </x:c>
      <x:c r="D88" s="28" t="str">
        <x:v>Linha 3 - Extrusão</x:v>
      </x:c>
      <x:c r="E88" s="28" t="str">
        <x:v>SKU-078</x:v>
      </x:c>
      <x:c r="F88" s="28" t="str">
        <x:v>Higiene e Limpeza</x:v>
      </x:c>
      <x:c r="G88" s="30" t="n">
        <x:v>55243.18</x:v>
      </x:c>
      <x:c r="H88" s="30" t="n">
        <x:v>33891.07</x:v>
      </x:c>
      <x:c r="I88" s="30" t="n">
        <x:v>1955.69</x:v>
      </x:c>
      <x:c r="J88" s="30" t="n">
        <x:v>11894.78</x:v>
      </x:c>
      <x:c r="K88" s="30" t="n">
        <x:v>11898.38</x:v>
      </x:c>
      <x:c r="L88" s="30" t="n">
        <x:v>352176</x:v>
      </x:c>
      <x:c r="M88" s="32" t="n">
        <x:v>5813.94</x:v>
      </x:c>
      <x:c r="N88" s="32" t="n">
        <x:v>2384.99</x:v>
      </x:c>
    </x:row>
    <x:row r="89">
      <x:c r="A89" s="34" t="n">
        <x:v>45390</x:v>
      </x:c>
      <x:c r="B89" s="28" t="str">
        <x:v>Grupo Industrial S.A.</x:v>
      </x:c>
      <x:c r="C89" s="28" t="str">
        <x:v>Planta Campinas</x:v>
      </x:c>
      <x:c r="D89" s="28" t="str">
        <x:v>Linha 4 - Embalagem</x:v>
      </x:c>
      <x:c r="E89" s="28" t="str">
        <x:v>SKU-105</x:v>
      </x:c>
      <x:c r="F89" s="28" t="str">
        <x:v>Embalagens</x:v>
      </x:c>
      <x:c r="G89" s="30" t="n">
        <x:v>34722.1</x:v>
      </x:c>
      <x:c r="H89" s="30" t="n">
        <x:v>40832.69</x:v>
      </x:c>
      <x:c r="I89" s="30" t="n">
        <x:v>1484.24</x:v>
      </x:c>
      <x:c r="J89" s="30" t="n">
        <x:v>12920.75</x:v>
      </x:c>
      <x:c r="K89" s="30" t="n">
        <x:v>11898.38</x:v>
      </x:c>
      <x:c r="L89" s="30" t="n">
        <x:v>233480</x:v>
      </x:c>
      <x:c r="M89" s="32" t="n">
        <x:v>3654.25</x:v>
      </x:c>
      <x:c r="N89" s="32" t="n">
        <x:v>1810.05</x:v>
      </x:c>
    </x:row>
    <x:row r="90">
      <x:c r="A90" s="34" t="n">
        <x:v>45390</x:v>
      </x:c>
      <x:c r="B90" s="28" t="str">
        <x:v>Grupo Industrial S.A.</x:v>
      </x:c>
      <x:c r="C90" s="28" t="str">
        <x:v>Planta Curitiba</x:v>
      </x:c>
      <x:c r="D90" s="28" t="str">
        <x:v>Linha 5 - Usinagem</x:v>
      </x:c>
      <x:c r="E90" s="28" t="str">
        <x:v>SKU-223</x:v>
      </x:c>
      <x:c r="F90" s="28" t="str">
        <x:v>Bebidas</x:v>
      </x:c>
      <x:c r="G90" s="30" t="n">
        <x:v>51996.01</x:v>
      </x:c>
      <x:c r="H90" s="30" t="n">
        <x:v>33258.63</x:v>
      </x:c>
      <x:c r="I90" s="30" t="n">
        <x:v>1911.42</x:v>
      </x:c>
      <x:c r="J90" s="30" t="n">
        <x:v>8946.56</x:v>
      </x:c>
      <x:c r="K90" s="30" t="n">
        <x:v>11898.38</x:v>
      </x:c>
      <x:c r="L90" s="30" t="n">
        <x:v>348852</x:v>
      </x:c>
      <x:c r="M90" s="32" t="n">
        <x:v>5636.37</x:v>
      </x:c>
      <x:c r="N90" s="32" t="n">
        <x:v>2330.99</x:v>
      </x:c>
    </x:row>
    <x:row r="91">
      <x:c r="A91" s="34" t="n">
        <x:v>45390</x:v>
      </x:c>
      <x:c r="B91" s="28" t="str">
        <x:v>Grupo Industrial S.A.</x:v>
      </x:c>
      <x:c r="C91" s="28" t="str">
        <x:v>Planta Curitiba</x:v>
      </x:c>
      <x:c r="D91" s="28" t="str">
        <x:v>Linha 6 - Finalização</x:v>
      </x:c>
      <x:c r="E91" s="28" t="str">
        <x:v>SKU-432</x:v>
      </x:c>
      <x:c r="F91" s="28" t="str">
        <x:v>Alimentos</x:v>
      </x:c>
      <x:c r="G91" s="30" t="n">
        <x:v>38233.21</x:v>
      </x:c>
      <x:c r="H91" s="30" t="n">
        <x:v>45002.64</x:v>
      </x:c>
      <x:c r="I91" s="30" t="n">
        <x:v>1371.32</x:v>
      </x:c>
      <x:c r="J91" s="30" t="n">
        <x:v>7511.31</x:v>
      </x:c>
      <x:c r="K91" s="30" t="n">
        <x:v>11898.38</x:v>
      </x:c>
      <x:c r="L91" s="30" t="n">
        <x:v>260050</x:v>
      </x:c>
      <x:c r="M91" s="32" t="n">
        <x:v>4144.48</x:v>
      </x:c>
      <x:c r="N91" s="32" t="n">
        <x:v>1672.34</x:v>
      </x:c>
    </x:row>
    <x:row r="92">
      <x:c r="A92" s="34" t="n">
        <x:v>45397</x:v>
      </x:c>
      <x:c r="B92" s="28" t="str">
        <x:v>Grupo Industrial S.A.</x:v>
      </x:c>
      <x:c r="C92" s="28" t="str">
        <x:v>Planta São Paulo</x:v>
      </x:c>
      <x:c r="D92" s="28" t="str">
        <x:v>Linha 1 - Corte</x:v>
      </x:c>
      <x:c r="E92" s="28" t="str">
        <x:v>SKU-001</x:v>
      </x:c>
      <x:c r="F92" s="28" t="str">
        <x:v>Alimentos</x:v>
      </x:c>
      <x:c r="G92" s="30" t="n">
        <x:v>59558.72</x:v>
      </x:c>
      <x:c r="H92" s="30" t="n">
        <x:v>29936.21</x:v>
      </x:c>
      <x:c r="I92" s="30" t="n">
        <x:v>1848.22</x:v>
      </x:c>
      <x:c r="J92" s="30" t="n">
        <x:v>8184.52</x:v>
      </x:c>
      <x:c r="K92" s="30" t="n">
        <x:v>14226.33</x:v>
      </x:c>
      <x:c r="L92" s="30" t="n">
        <x:v>396288</x:v>
      </x:c>
      <x:c r="M92" s="32" t="n">
        <x:v>6456.17</x:v>
      </x:c>
      <x:c r="N92" s="32" t="n">
        <x:v>2253.93</x:v>
      </x:c>
    </x:row>
    <x:row r="93">
      <x:c r="A93" s="34" t="n">
        <x:v>45397</x:v>
      </x:c>
      <x:c r="B93" s="28" t="str">
        <x:v>Grupo Industrial S.A.</x:v>
      </x:c>
      <x:c r="C93" s="28" t="str">
        <x:v>Planta São Paulo</x:v>
      </x:c>
      <x:c r="D93" s="28" t="str">
        <x:v>Linha 2 - Montagem</x:v>
      </x:c>
      <x:c r="E93" s="28" t="str">
        <x:v>SKU-002</x:v>
      </x:c>
      <x:c r="F93" s="28" t="str">
        <x:v>Alimentos</x:v>
      </x:c>
      <x:c r="G93" s="30" t="n">
        <x:v>58721.53</x:v>
      </x:c>
      <x:c r="H93" s="30" t="n">
        <x:v>38246.26</x:v>
      </x:c>
      <x:c r="I93" s="30" t="n">
        <x:v>1907.76</x:v>
      </x:c>
      <x:c r="J93" s="30" t="n">
        <x:v>6968.67</x:v>
      </x:c>
      <x:c r="K93" s="30" t="n">
        <x:v>14226.33</x:v>
      </x:c>
      <x:c r="L93" s="30" t="n">
        <x:v>395226</x:v>
      </x:c>
      <x:c r="M93" s="32" t="n">
        <x:v>6365.41</x:v>
      </x:c>
      <x:c r="N93" s="32" t="n">
        <x:v>2326.54</x:v>
      </x:c>
    </x:row>
    <x:row r="94">
      <x:c r="A94" s="34" t="n">
        <x:v>45397</x:v>
      </x:c>
      <x:c r="B94" s="28" t="str">
        <x:v>Grupo Industrial S.A.</x:v>
      </x:c>
      <x:c r="C94" s="28" t="str">
        <x:v>Planta Campinas</x:v>
      </x:c>
      <x:c r="D94" s="28" t="str">
        <x:v>Linha 3 - Extrusão</x:v>
      </x:c>
      <x:c r="E94" s="28" t="str">
        <x:v>SKU-078</x:v>
      </x:c>
      <x:c r="F94" s="28" t="str">
        <x:v>Higiene e Limpeza</x:v>
      </x:c>
      <x:c r="G94" s="30" t="n">
        <x:v>51697.72</x:v>
      </x:c>
      <x:c r="H94" s="30" t="n">
        <x:v>32899.24</x:v>
      </x:c>
      <x:c r="I94" s="30" t="n">
        <x:v>1847.99</x:v>
      </x:c>
      <x:c r="J94" s="30" t="n">
        <x:v>14061.4</x:v>
      </x:c>
      <x:c r="K94" s="30" t="n">
        <x:v>11898.38</x:v>
      </x:c>
      <x:c r="L94" s="30" t="n">
        <x:v>330372</x:v>
      </x:c>
      <x:c r="M94" s="32" t="n">
        <x:v>5440.81</x:v>
      </x:c>
      <x:c r="N94" s="32" t="n">
        <x:v>2253.65</x:v>
      </x:c>
    </x:row>
    <x:row r="95">
      <x:c r="A95" s="34" t="n">
        <x:v>45397</x:v>
      </x:c>
      <x:c r="B95" s="28" t="str">
        <x:v>Grupo Industrial S.A.</x:v>
      </x:c>
      <x:c r="C95" s="28" t="str">
        <x:v>Planta Campinas</x:v>
      </x:c>
      <x:c r="D95" s="28" t="str">
        <x:v>Linha 4 - Embalagem</x:v>
      </x:c>
      <x:c r="E95" s="28" t="str">
        <x:v>SKU-105</x:v>
      </x:c>
      <x:c r="F95" s="28" t="str">
        <x:v>Embalagens</x:v>
      </x:c>
      <x:c r="G95" s="30" t="n">
        <x:v>33447.13</x:v>
      </x:c>
      <x:c r="H95" s="30" t="n">
        <x:v>39863.22</x:v>
      </x:c>
      <x:c r="I95" s="30" t="n">
        <x:v>1449.46</x:v>
      </x:c>
      <x:c r="J95" s="30" t="n">
        <x:v>12447.43</x:v>
      </x:c>
      <x:c r="K95" s="30" t="n">
        <x:v>11898.38</x:v>
      </x:c>
      <x:c r="L95" s="30" t="n">
        <x:v>227890</x:v>
      </x:c>
      <x:c r="M95" s="32" t="n">
        <x:v>3520.07</x:v>
      </x:c>
      <x:c r="N95" s="32" t="n">
        <x:v>1767.63</x:v>
      </x:c>
    </x:row>
    <x:row r="96">
      <x:c r="A96" s="34" t="n">
        <x:v>45397</x:v>
      </x:c>
      <x:c r="B96" s="28" t="str">
        <x:v>Grupo Industrial S.A.</x:v>
      </x:c>
      <x:c r="C96" s="28" t="str">
        <x:v>Planta Curitiba</x:v>
      </x:c>
      <x:c r="D96" s="28" t="str">
        <x:v>Linha 5 - Usinagem</x:v>
      </x:c>
      <x:c r="E96" s="28" t="str">
        <x:v>SKU-223</x:v>
      </x:c>
      <x:c r="F96" s="28" t="str">
        <x:v>Bebidas</x:v>
      </x:c>
      <x:c r="G96" s="30" t="n">
        <x:v>50218.9</x:v>
      </x:c>
      <x:c r="H96" s="30" t="n">
        <x:v>34413.41</x:v>
      </x:c>
      <x:c r="I96" s="30" t="n">
        <x:v>1773.27</x:v>
      </x:c>
      <x:c r="J96" s="30" t="n">
        <x:v>8336.65</x:v>
      </x:c>
      <x:c r="K96" s="30" t="n">
        <x:v>11898.38</x:v>
      </x:c>
      <x:c r="L96" s="30" t="n">
        <x:v>330708</x:v>
      </x:c>
      <x:c r="M96" s="32" t="n">
        <x:v>5443.73</x:v>
      </x:c>
      <x:c r="N96" s="32" t="n">
        <x:v>2162.52</x:v>
      </x:c>
    </x:row>
    <x:row r="97">
      <x:c r="A97" s="34" t="n">
        <x:v>45397</x:v>
      </x:c>
      <x:c r="B97" s="28" t="str">
        <x:v>Grupo Industrial S.A.</x:v>
      </x:c>
      <x:c r="C97" s="28" t="str">
        <x:v>Planta Curitiba</x:v>
      </x:c>
      <x:c r="D97" s="28" t="str">
        <x:v>Linha 6 - Finalização</x:v>
      </x:c>
      <x:c r="E97" s="28" t="str">
        <x:v>SKU-432</x:v>
      </x:c>
      <x:c r="F97" s="28" t="str">
        <x:v>Alimentos</x:v>
      </x:c>
      <x:c r="G97" s="30" t="n">
        <x:v>37903.56</x:v>
      </x:c>
      <x:c r="H97" s="30" t="n">
        <x:v>44252.19</x:v>
      </x:c>
      <x:c r="I97" s="30" t="n">
        <x:v>1454.92</x:v>
      </x:c>
      <x:c r="J97" s="30" t="n">
        <x:v>10110.88</x:v>
      </x:c>
      <x:c r="K97" s="30" t="n">
        <x:v>11898.38</x:v>
      </x:c>
      <x:c r="L97" s="30" t="n">
        <x:v>256620</x:v>
      </x:c>
      <x:c r="M97" s="32" t="n">
        <x:v>4108.75</x:v>
      </x:c>
      <x:c r="N97" s="32" t="n">
        <x:v>1774.29</x:v>
      </x:c>
    </x:row>
    <x:row r="98">
      <x:c r="A98" s="34" t="n">
        <x:v>45404</x:v>
      </x:c>
      <x:c r="B98" s="28" t="str">
        <x:v>Grupo Industrial S.A.</x:v>
      </x:c>
      <x:c r="C98" s="28" t="str">
        <x:v>Planta São Paulo</x:v>
      </x:c>
      <x:c r="D98" s="28" t="str">
        <x:v>Linha 1 - Corte</x:v>
      </x:c>
      <x:c r="E98" s="28" t="str">
        <x:v>SKU-001</x:v>
      </x:c>
      <x:c r="F98" s="28" t="str">
        <x:v>Alimentos</x:v>
      </x:c>
      <x:c r="G98" s="30" t="n">
        <x:v>62987.86</x:v>
      </x:c>
      <x:c r="H98" s="30" t="n">
        <x:v>31310.13</x:v>
      </x:c>
      <x:c r="I98" s="30" t="n">
        <x:v>1941.77</x:v>
      </x:c>
      <x:c r="J98" s="30" t="n">
        <x:v>5944.83</x:v>
      </x:c>
      <x:c r="K98" s="30" t="n">
        <x:v>14226.33</x:v>
      </x:c>
      <x:c r="L98" s="30" t="n">
        <x:v>426600</x:v>
      </x:c>
      <x:c r="M98" s="32" t="n">
        <x:v>6827.88</x:v>
      </x:c>
      <x:c r="N98" s="32" t="n">
        <x:v>2368.02</x:v>
      </x:c>
    </x:row>
    <x:row r="99">
      <x:c r="A99" s="34" t="n">
        <x:v>45404</x:v>
      </x:c>
      <x:c r="B99" s="28" t="str">
        <x:v>Grupo Industrial S.A.</x:v>
      </x:c>
      <x:c r="C99" s="28" t="str">
        <x:v>Planta São Paulo</x:v>
      </x:c>
      <x:c r="D99" s="28" t="str">
        <x:v>Linha 2 - Montagem</x:v>
      </x:c>
      <x:c r="E99" s="28" t="str">
        <x:v>SKU-002</x:v>
      </x:c>
      <x:c r="F99" s="28" t="str">
        <x:v>Alimentos</x:v>
      </x:c>
      <x:c r="G99" s="30" t="n">
        <x:v>54311.16</x:v>
      </x:c>
      <x:c r="H99" s="30" t="n">
        <x:v>36842.55</x:v>
      </x:c>
      <x:c r="I99" s="30" t="n">
        <x:v>1720.78</x:v>
      </x:c>
      <x:c r="J99" s="30" t="n">
        <x:v>8294.53</x:v>
      </x:c>
      <x:c r="K99" s="30" t="n">
        <x:v>14226.33</x:v>
      </x:c>
      <x:c r="L99" s="30" t="n">
        <x:v>375414</x:v>
      </x:c>
      <x:c r="M99" s="32" t="n">
        <x:v>5887.33</x:v>
      </x:c>
      <x:c r="N99" s="32" t="n">
        <x:v>2098.51</x:v>
      </x:c>
    </x:row>
    <x:row r="100">
      <x:c r="A100" s="34" t="n">
        <x:v>45404</x:v>
      </x:c>
      <x:c r="B100" s="28" t="str">
        <x:v>Grupo Industrial S.A.</x:v>
      </x:c>
      <x:c r="C100" s="28" t="str">
        <x:v>Planta Campinas</x:v>
      </x:c>
      <x:c r="D100" s="28" t="str">
        <x:v>Linha 3 - Extrusão</x:v>
      </x:c>
      <x:c r="E100" s="28" t="str">
        <x:v>SKU-078</x:v>
      </x:c>
      <x:c r="F100" s="28" t="str">
        <x:v>Higiene e Limpeza</x:v>
      </x:c>
      <x:c r="G100" s="30" t="n">
        <x:v>53222.61</x:v>
      </x:c>
      <x:c r="H100" s="30" t="n">
        <x:v>32297.49</x:v>
      </x:c>
      <x:c r="I100" s="30" t="n">
        <x:v>1873.11</x:v>
      </x:c>
      <x:c r="J100" s="30" t="n">
        <x:v>15189.78</x:v>
      </x:c>
      <x:c r="K100" s="30" t="n">
        <x:v>11898.38</x:v>
      </x:c>
      <x:c r="L100" s="30" t="n">
        <x:v>336720</x:v>
      </x:c>
      <x:c r="M100" s="32" t="n">
        <x:v>5601.29</x:v>
      </x:c>
      <x:c r="N100" s="32" t="n">
        <x:v>2284.28</x:v>
      </x:c>
    </x:row>
    <x:row r="101">
      <x:c r="A101" s="34" t="n">
        <x:v>45404</x:v>
      </x:c>
      <x:c r="B101" s="28" t="str">
        <x:v>Grupo Industrial S.A.</x:v>
      </x:c>
      <x:c r="C101" s="28" t="str">
        <x:v>Planta Campinas</x:v>
      </x:c>
      <x:c r="D101" s="28" t="str">
        <x:v>Linha 4 - Embalagem</x:v>
      </x:c>
      <x:c r="E101" s="28" t="str">
        <x:v>SKU-105</x:v>
      </x:c>
      <x:c r="F101" s="28" t="str">
        <x:v>Embalagens</x:v>
      </x:c>
      <x:c r="G101" s="30" t="n">
        <x:v>31913.9</x:v>
      </x:c>
      <x:c r="H101" s="30" t="n">
        <x:v>39886.69</x:v>
      </x:c>
      <x:c r="I101" s="30" t="n">
        <x:v>1316.43</x:v>
      </x:c>
      <x:c r="J101" s="30" t="n">
        <x:v>13443.08</x:v>
      </x:c>
      <x:c r="K101" s="30" t="n">
        <x:v>11898.38</x:v>
      </x:c>
      <x:c r="L101" s="30" t="n">
        <x:v>215540</x:v>
      </x:c>
      <x:c r="M101" s="32" t="n">
        <x:v>3358.71</x:v>
      </x:c>
      <x:c r="N101" s="32" t="n">
        <x:v>1605.41</x:v>
      </x:c>
    </x:row>
    <x:row r="102">
      <x:c r="A102" s="34" t="n">
        <x:v>45404</x:v>
      </x:c>
      <x:c r="B102" s="28" t="str">
        <x:v>Grupo Industrial S.A.</x:v>
      </x:c>
      <x:c r="C102" s="28" t="str">
        <x:v>Planta Curitiba</x:v>
      </x:c>
      <x:c r="D102" s="28" t="str">
        <x:v>Linha 5 - Usinagem</x:v>
      </x:c>
      <x:c r="E102" s="28" t="str">
        <x:v>SKU-223</x:v>
      </x:c>
      <x:c r="F102" s="28" t="str">
        <x:v>Bebidas</x:v>
      </x:c>
      <x:c r="G102" s="30" t="n">
        <x:v>52345.32</x:v>
      </x:c>
      <x:c r="H102" s="30" t="n">
        <x:v>32470.26</x:v>
      </x:c>
      <x:c r="I102" s="30" t="n">
        <x:v>1858.2</x:v>
      </x:c>
      <x:c r="J102" s="30" t="n">
        <x:v>9215.85</x:v>
      </x:c>
      <x:c r="K102" s="30" t="n">
        <x:v>11898.38</x:v>
      </x:c>
      <x:c r="L102" s="30" t="n">
        <x:v>342384</x:v>
      </x:c>
      <x:c r="M102" s="32" t="n">
        <x:v>5674.23</x:v>
      </x:c>
      <x:c r="N102" s="32" t="n">
        <x:v>2266.09</x:v>
      </x:c>
    </x:row>
    <x:row r="103">
      <x:c r="A103" s="34" t="n">
        <x:v>45404</x:v>
      </x:c>
      <x:c r="B103" s="28" t="str">
        <x:v>Grupo Industrial S.A.</x:v>
      </x:c>
      <x:c r="C103" s="28" t="str">
        <x:v>Planta Curitiba</x:v>
      </x:c>
      <x:c r="D103" s="28" t="str">
        <x:v>Linha 6 - Finalização</x:v>
      </x:c>
      <x:c r="E103" s="28" t="str">
        <x:v>SKU-432</x:v>
      </x:c>
      <x:c r="F103" s="28" t="str">
        <x:v>Alimentos</x:v>
      </x:c>
      <x:c r="G103" s="30" t="n">
        <x:v>36194.88</x:v>
      </x:c>
      <x:c r="H103" s="30" t="n">
        <x:v>43862.42</x:v>
      </x:c>
      <x:c r="I103" s="30" t="n">
        <x:v>1386.58</x:v>
      </x:c>
      <x:c r="J103" s="30" t="n">
        <x:v>8769.18</x:v>
      </x:c>
      <x:c r="K103" s="30" t="n">
        <x:v>11898.38</x:v>
      </x:c>
      <x:c r="L103" s="30" t="n">
        <x:v>241710</x:v>
      </x:c>
      <x:c r="M103" s="32" t="n">
        <x:v>3923.53</x:v>
      </x:c>
      <x:c r="N103" s="32" t="n">
        <x:v>1690.95</x:v>
      </x:c>
    </x:row>
    <x:row r="104">
      <x:c r="A104" s="34" t="n">
        <x:v>45411</x:v>
      </x:c>
      <x:c r="B104" s="28" t="str">
        <x:v>Grupo Industrial S.A.</x:v>
      </x:c>
      <x:c r="C104" s="28" t="str">
        <x:v>Planta São Paulo</x:v>
      </x:c>
      <x:c r="D104" s="28" t="str">
        <x:v>Linha 1 - Corte</x:v>
      </x:c>
      <x:c r="E104" s="28" t="str">
        <x:v>SKU-001</x:v>
      </x:c>
      <x:c r="F104" s="28" t="str">
        <x:v>Alimentos</x:v>
      </x:c>
      <x:c r="G104" s="30" t="n">
        <x:v>59223.95</x:v>
      </x:c>
      <x:c r="H104" s="30" t="n">
        <x:v>30997.65</x:v>
      </x:c>
      <x:c r="I104" s="30" t="n">
        <x:v>1893.03</x:v>
      </x:c>
      <x:c r="J104" s="30" t="n">
        <x:v>6341.28</x:v>
      </x:c>
      <x:c r="K104" s="30" t="n">
        <x:v>14226.33</x:v>
      </x:c>
      <x:c r="L104" s="30" t="n">
        <x:v>403920</x:v>
      </x:c>
      <x:c r="M104" s="32" t="n">
        <x:v>6419.88</x:v>
      </x:c>
      <x:c r="N104" s="32" t="n">
        <x:v>2308.57</x:v>
      </x:c>
    </x:row>
    <x:row r="105">
      <x:c r="A105" s="34" t="n">
        <x:v>45411</x:v>
      </x:c>
      <x:c r="B105" s="28" t="str">
        <x:v>Grupo Industrial S.A.</x:v>
      </x:c>
      <x:c r="C105" s="28" t="str">
        <x:v>Planta São Paulo</x:v>
      </x:c>
      <x:c r="D105" s="28" t="str">
        <x:v>Linha 2 - Montagem</x:v>
      </x:c>
      <x:c r="E105" s="28" t="str">
        <x:v>SKU-002</x:v>
      </x:c>
      <x:c r="F105" s="28" t="str">
        <x:v>Alimentos</x:v>
      </x:c>
      <x:c r="G105" s="30" t="n">
        <x:v>57456.78</x:v>
      </x:c>
      <x:c r="H105" s="30" t="n">
        <x:v>37212.84</x:v>
      </x:c>
      <x:c r="I105" s="30" t="n">
        <x:v>1929.44</x:v>
      </x:c>
      <x:c r="J105" s="30" t="n">
        <x:v>8211.41</x:v>
      </x:c>
      <x:c r="K105" s="30" t="n">
        <x:v>14226.33</x:v>
      </x:c>
      <x:c r="L105" s="30" t="n">
        <x:v>395148</x:v>
      </x:c>
      <x:c r="M105" s="32" t="n">
        <x:v>6228.32</x:v>
      </x:c>
      <x:c r="N105" s="32" t="n">
        <x:v>2352.98</x:v>
      </x:c>
    </x:row>
    <x:row r="106">
      <x:c r="A106" s="34" t="n">
        <x:v>45411</x:v>
      </x:c>
      <x:c r="B106" s="28" t="str">
        <x:v>Grupo Industrial S.A.</x:v>
      </x:c>
      <x:c r="C106" s="28" t="str">
        <x:v>Planta Campinas</x:v>
      </x:c>
      <x:c r="D106" s="28" t="str">
        <x:v>Linha 3 - Extrusão</x:v>
      </x:c>
      <x:c r="E106" s="28" t="str">
        <x:v>SKU-078</x:v>
      </x:c>
      <x:c r="F106" s="28" t="str">
        <x:v>Higiene e Limpeza</x:v>
      </x:c>
      <x:c r="G106" s="30" t="n">
        <x:v>56415.17</x:v>
      </x:c>
      <x:c r="H106" s="30" t="n">
        <x:v>33214.7</x:v>
      </x:c>
      <x:c r="I106" s="30" t="n">
        <x:v>1857.93</x:v>
      </x:c>
      <x:c r="J106" s="30" t="n">
        <x:v>13590.81</x:v>
      </x:c>
      <x:c r="K106" s="30" t="n">
        <x:v>11898.38</x:v>
      </x:c>
      <x:c r="L106" s="30" t="n">
        <x:v>361192</x:v>
      </x:c>
      <x:c r="M106" s="32" t="n">
        <x:v>5937.29</x:v>
      </x:c>
      <x:c r="N106" s="32" t="n">
        <x:v>2265.77</x:v>
      </x:c>
    </x:row>
    <x:row r="107">
      <x:c r="A107" s="34" t="n">
        <x:v>45411</x:v>
      </x:c>
      <x:c r="B107" s="28" t="str">
        <x:v>Grupo Industrial S.A.</x:v>
      </x:c>
      <x:c r="C107" s="28" t="str">
        <x:v>Planta Campinas</x:v>
      </x:c>
      <x:c r="D107" s="28" t="str">
        <x:v>Linha 4 - Embalagem</x:v>
      </x:c>
      <x:c r="E107" s="28" t="str">
        <x:v>SKU-105</x:v>
      </x:c>
      <x:c r="F107" s="28" t="str">
        <x:v>Embalagens</x:v>
      </x:c>
      <x:c r="G107" s="30" t="n">
        <x:v>30841.73</x:v>
      </x:c>
      <x:c r="H107" s="30" t="n">
        <x:v>39588.08</x:v>
      </x:c>
      <x:c r="I107" s="30" t="n">
        <x:v>1258.67</x:v>
      </x:c>
      <x:c r="J107" s="30" t="n">
        <x:v>14953.17</x:v>
      </x:c>
      <x:c r="K107" s="30" t="n">
        <x:v>11898.38</x:v>
      </x:c>
      <x:c r="L107" s="30" t="n">
        <x:v>203710</x:v>
      </x:c>
      <x:c r="M107" s="32" t="n">
        <x:v>3245.87</x:v>
      </x:c>
      <x:c r="N107" s="32" t="n">
        <x:v>1534.97</x:v>
      </x:c>
    </x:row>
    <x:row r="108">
      <x:c r="A108" s="34" t="n">
        <x:v>45411</x:v>
      </x:c>
      <x:c r="B108" s="28" t="str">
        <x:v>Grupo Industrial S.A.</x:v>
      </x:c>
      <x:c r="C108" s="28" t="str">
        <x:v>Planta Curitiba</x:v>
      </x:c>
      <x:c r="D108" s="28" t="str">
        <x:v>Linha 5 - Usinagem</x:v>
      </x:c>
      <x:c r="E108" s="28" t="str">
        <x:v>SKU-223</x:v>
      </x:c>
      <x:c r="F108" s="28" t="str">
        <x:v>Bebidas</x:v>
      </x:c>
      <x:c r="G108" s="30" t="n">
        <x:v>51468.45</x:v>
      </x:c>
      <x:c r="H108" s="30" t="n">
        <x:v>32777.14</x:v>
      </x:c>
      <x:c r="I108" s="30" t="n">
        <x:v>1753.56</x:v>
      </x:c>
      <x:c r="J108" s="30" t="n">
        <x:v>9997.21</x:v>
      </x:c>
      <x:c r="K108" s="30" t="n">
        <x:v>11898.38</x:v>
      </x:c>
      <x:c r="L108" s="30" t="n">
        <x:v>340284</x:v>
      </x:c>
      <x:c r="M108" s="32" t="n">
        <x:v>5579.18</x:v>
      </x:c>
      <x:c r="N108" s="32" t="n">
        <x:v>2138.49</x:v>
      </x:c>
    </x:row>
    <x:row r="109">
      <x:c r="A109" s="34" t="n">
        <x:v>45411</x:v>
      </x:c>
      <x:c r="B109" s="28" t="str">
        <x:v>Grupo Industrial S.A.</x:v>
      </x:c>
      <x:c r="C109" s="28" t="str">
        <x:v>Planta Curitiba</x:v>
      </x:c>
      <x:c r="D109" s="28" t="str">
        <x:v>Linha 6 - Finalização</x:v>
      </x:c>
      <x:c r="E109" s="28" t="str">
        <x:v>SKU-432</x:v>
      </x:c>
      <x:c r="F109" s="28" t="str">
        <x:v>Alimentos</x:v>
      </x:c>
      <x:c r="G109" s="30" t="n">
        <x:v>35919.17</x:v>
      </x:c>
      <x:c r="H109" s="30" t="n">
        <x:v>44552.4</x:v>
      </x:c>
      <x:c r="I109" s="30" t="n">
        <x:v>1378.96</x:v>
      </x:c>
      <x:c r="J109" s="30" t="n">
        <x:v>8983.96</x:v>
      </x:c>
      <x:c r="K109" s="30" t="n">
        <x:v>11898.38</x:v>
      </x:c>
      <x:c r="L109" s="30" t="n">
        <x:v>247940</x:v>
      </x:c>
      <x:c r="M109" s="32" t="n">
        <x:v>3893.64</x:v>
      </x:c>
      <x:c r="N109" s="32" t="n">
        <x:v>1681.65</x:v>
      </x:c>
    </x:row>
    <x:row r="110">
      <x:c r="A110" s="34" t="n">
        <x:v>45418</x:v>
      </x:c>
      <x:c r="B110" s="28" t="str">
        <x:v>Grupo Industrial S.A.</x:v>
      </x:c>
      <x:c r="C110" s="28" t="str">
        <x:v>Planta São Paulo</x:v>
      </x:c>
      <x:c r="D110" s="28" t="str">
        <x:v>Linha 1 - Corte</x:v>
      </x:c>
      <x:c r="E110" s="28" t="str">
        <x:v>SKU-001</x:v>
      </x:c>
      <x:c r="F110" s="28" t="str">
        <x:v>Alimentos</x:v>
      </x:c>
      <x:c r="G110" s="30" t="n">
        <x:v>63047.77</x:v>
      </x:c>
      <x:c r="H110" s="30" t="n">
        <x:v>30649.49</x:v>
      </x:c>
      <x:c r="I110" s="30" t="n">
        <x:v>1890.62</x:v>
      </x:c>
      <x:c r="J110" s="30" t="n">
        <x:v>7597.44</x:v>
      </x:c>
      <x:c r="K110" s="30" t="n">
        <x:v>14226.33</x:v>
      </x:c>
      <x:c r="L110" s="30" t="n">
        <x:v>422352</x:v>
      </x:c>
      <x:c r="M110" s="32" t="n">
        <x:v>6828.19</x:v>
      </x:c>
      <x:c r="N110" s="32" t="n">
        <x:v>2305.63</x:v>
      </x:c>
    </x:row>
    <x:row r="111">
      <x:c r="A111" s="34" t="n">
        <x:v>45418</x:v>
      </x:c>
      <x:c r="B111" s="28" t="str">
        <x:v>Grupo Industrial S.A.</x:v>
      </x:c>
      <x:c r="C111" s="28" t="str">
        <x:v>Planta São Paulo</x:v>
      </x:c>
      <x:c r="D111" s="28" t="str">
        <x:v>Linha 2 - Montagem</x:v>
      </x:c>
      <x:c r="E111" s="28" t="str">
        <x:v>SKU-002</x:v>
      </x:c>
      <x:c r="F111" s="28" t="str">
        <x:v>Alimentos</x:v>
      </x:c>
      <x:c r="G111" s="30" t="n">
        <x:v>61829.6</x:v>
      </x:c>
      <x:c r="H111" s="30" t="n">
        <x:v>39765.79</x:v>
      </x:c>
      <x:c r="I111" s="30" t="n">
        <x:v>1872.83</x:v>
      </x:c>
      <x:c r="J111" s="30" t="n">
        <x:v>6133.83</x:v>
      </x:c>
      <x:c r="K111" s="30" t="n">
        <x:v>14226.33</x:v>
      </x:c>
      <x:c r="L111" s="30" t="n">
        <x:v>410826</x:v>
      </x:c>
      <x:c r="M111" s="32" t="n">
        <x:v>6696.26</x:v>
      </x:c>
      <x:c r="N111" s="32" t="n">
        <x:v>2283.94</x:v>
      </x:c>
    </x:row>
    <x:row r="112">
      <x:c r="A112" s="34" t="n">
        <x:v>45418</x:v>
      </x:c>
      <x:c r="B112" s="28" t="str">
        <x:v>Grupo Industrial S.A.</x:v>
      </x:c>
      <x:c r="C112" s="28" t="str">
        <x:v>Planta Campinas</x:v>
      </x:c>
      <x:c r="D112" s="28" t="str">
        <x:v>Linha 3 - Extrusão</x:v>
      </x:c>
      <x:c r="E112" s="28" t="str">
        <x:v>SKU-078</x:v>
      </x:c>
      <x:c r="F112" s="28" t="str">
        <x:v>Higiene e Limpeza</x:v>
      </x:c>
      <x:c r="G112" s="30" t="n">
        <x:v>58122.48</x:v>
      </x:c>
      <x:c r="H112" s="30" t="n">
        <x:v>33153.14</x:v>
      </x:c>
      <x:c r="I112" s="30" t="n">
        <x:v>1890.53</x:v>
      </x:c>
      <x:c r="J112" s="30" t="n">
        <x:v>13025.52</x:v>
      </x:c>
      <x:c r="K112" s="30" t="n">
        <x:v>11898.38</x:v>
      </x:c>
      <x:c r="L112" s="30" t="n">
        <x:v>369012</x:v>
      </x:c>
      <x:c r="M112" s="32" t="n">
        <x:v>6111.43</x:v>
      </x:c>
      <x:c r="N112" s="32" t="n">
        <x:v>2305.52</x:v>
      </x:c>
    </x:row>
    <x:row r="113">
      <x:c r="A113" s="34" t="n">
        <x:v>45418</x:v>
      </x:c>
      <x:c r="B113" s="28" t="str">
        <x:v>Grupo Industrial S.A.</x:v>
      </x:c>
      <x:c r="C113" s="28" t="str">
        <x:v>Planta Campinas</x:v>
      </x:c>
      <x:c r="D113" s="28" t="str">
        <x:v>Linha 4 - Embalagem</x:v>
      </x:c>
      <x:c r="E113" s="28" t="str">
        <x:v>SKU-105</x:v>
      </x:c>
      <x:c r="F113" s="28" t="str">
        <x:v>Embalagens</x:v>
      </x:c>
      <x:c r="G113" s="30" t="n">
        <x:v>34313.12</x:v>
      </x:c>
      <x:c r="H113" s="30" t="n">
        <x:v>40819.63</x:v>
      </x:c>
      <x:c r="I113" s="30" t="n">
        <x:v>1504.51</x:v>
      </x:c>
      <x:c r="J113" s="30" t="n">
        <x:v>11734.22</x:v>
      </x:c>
      <x:c r="K113" s="30" t="n">
        <x:v>11898.38</x:v>
      </x:c>
      <x:c r="L113" s="30" t="n">
        <x:v>228735</x:v>
      </x:c>
      <x:c r="M113" s="32" t="n">
        <x:v>3607.94</x:v>
      </x:c>
      <x:c r="N113" s="32" t="n">
        <x:v>1834.77</x:v>
      </x:c>
    </x:row>
    <x:row r="114">
      <x:c r="A114" s="34" t="n">
        <x:v>45418</x:v>
      </x:c>
      <x:c r="B114" s="28" t="str">
        <x:v>Grupo Industrial S.A.</x:v>
      </x:c>
      <x:c r="C114" s="28" t="str">
        <x:v>Planta Curitiba</x:v>
      </x:c>
      <x:c r="D114" s="28" t="str">
        <x:v>Linha 5 - Usinagem</x:v>
      </x:c>
      <x:c r="E114" s="28" t="str">
        <x:v>SKU-223</x:v>
      </x:c>
      <x:c r="F114" s="28" t="str">
        <x:v>Bebidas</x:v>
      </x:c>
      <x:c r="G114" s="30" t="n">
        <x:v>53107.92</x:v>
      </x:c>
      <x:c r="H114" s="30" t="n">
        <x:v>32065.98</x:v>
      </x:c>
      <x:c r="I114" s="30" t="n">
        <x:v>1781.7</x:v>
      </x:c>
      <x:c r="J114" s="30" t="n">
        <x:v>9867.56</x:v>
      </x:c>
      <x:c r="K114" s="30" t="n">
        <x:v>11898.38</x:v>
      </x:c>
      <x:c r="L114" s="30" t="n">
        <x:v>351540</x:v>
      </x:c>
      <x:c r="M114" s="32" t="n">
        <x:v>5751.68</x:v>
      </x:c>
      <x:c r="N114" s="32" t="n">
        <x:v>2172.81</x:v>
      </x:c>
    </x:row>
    <x:row r="115">
      <x:c r="A115" s="34" t="n">
        <x:v>45418</x:v>
      </x:c>
      <x:c r="B115" s="28" t="str">
        <x:v>Grupo Industrial S.A.</x:v>
      </x:c>
      <x:c r="C115" s="28" t="str">
        <x:v>Planta Curitiba</x:v>
      </x:c>
      <x:c r="D115" s="28" t="str">
        <x:v>Linha 6 - Finalização</x:v>
      </x:c>
      <x:c r="E115" s="28" t="str">
        <x:v>SKU-432</x:v>
      </x:c>
      <x:c r="F115" s="28" t="str">
        <x:v>Alimentos</x:v>
      </x:c>
      <x:c r="G115" s="30" t="n">
        <x:v>38542.75</x:v>
      </x:c>
      <x:c r="H115" s="30" t="n">
        <x:v>44534.2</x:v>
      </x:c>
      <x:c r="I115" s="30" t="n">
        <x:v>1402.65</x:v>
      </x:c>
      <x:c r="J115" s="30" t="n">
        <x:v>8068.35</x:v>
      </x:c>
      <x:c r="K115" s="30" t="n">
        <x:v>11898.38</x:v>
      </x:c>
      <x:c r="L115" s="30" t="n">
        <x:v>263200</x:v>
      </x:c>
      <x:c r="M115" s="32" t="n">
        <x:v>4174.25</x:v>
      </x:c>
      <x:c r="N115" s="32" t="n">
        <x:v>1710.55</x:v>
      </x:c>
    </x:row>
    <x:row r="116">
      <x:c r="A116" s="34" t="n">
        <x:v>45425</x:v>
      </x:c>
      <x:c r="B116" s="28" t="str">
        <x:v>Grupo Industrial S.A.</x:v>
      </x:c>
      <x:c r="C116" s="28" t="str">
        <x:v>Planta São Paulo</x:v>
      </x:c>
      <x:c r="D116" s="28" t="str">
        <x:v>Linha 1 - Corte</x:v>
      </x:c>
      <x:c r="E116" s="28" t="str">
        <x:v>SKU-001</x:v>
      </x:c>
      <x:c r="F116" s="28" t="str">
        <x:v>Alimentos</x:v>
      </x:c>
      <x:c r="G116" s="30" t="n">
        <x:v>60764.52</x:v>
      </x:c>
      <x:c r="H116" s="30" t="n">
        <x:v>30588.29</x:v>
      </x:c>
      <x:c r="I116" s="30" t="n">
        <x:v>1814.76</x:v>
      </x:c>
      <x:c r="J116" s="30" t="n">
        <x:v>7114.83</x:v>
      </x:c>
      <x:c r="K116" s="30" t="n">
        <x:v>14226.33</x:v>
      </x:c>
      <x:c r="L116" s="30" t="n">
        <x:v>402840</x:v>
      </x:c>
      <x:c r="M116" s="32" t="n">
        <x:v>6580.91</x:v>
      </x:c>
      <x:c r="N116" s="32" t="n">
        <x:v>2213.12</x:v>
      </x:c>
    </x:row>
    <x:row r="117">
      <x:c r="A117" s="34" t="n">
        <x:v>45425</x:v>
      </x:c>
      <x:c r="B117" s="28" t="str">
        <x:v>Grupo Industrial S.A.</x:v>
      </x:c>
      <x:c r="C117" s="28" t="str">
        <x:v>Planta São Paulo</x:v>
      </x:c>
      <x:c r="D117" s="28" t="str">
        <x:v>Linha 2 - Montagem</x:v>
      </x:c>
      <x:c r="E117" s="28" t="str">
        <x:v>SKU-002</x:v>
      </x:c>
      <x:c r="F117" s="28" t="str">
        <x:v>Alimentos</x:v>
      </x:c>
      <x:c r="G117" s="30" t="n">
        <x:v>64194.12</x:v>
      </x:c>
      <x:c r="H117" s="30" t="n">
        <x:v>38928.7</x:v>
      </x:c>
      <x:c r="I117" s="30" t="n">
        <x:v>1923.04</x:v>
      </x:c>
      <x:c r="J117" s="30" t="n">
        <x:v>6654.95</x:v>
      </x:c>
      <x:c r="K117" s="30" t="n">
        <x:v>14226.33</x:v>
      </x:c>
      <x:c r="L117" s="30" t="n">
        <x:v>425880</x:v>
      </x:c>
      <x:c r="M117" s="32" t="n">
        <x:v>6952.34</x:v>
      </x:c>
      <x:c r="N117" s="32" t="n">
        <x:v>2345.17</x:v>
      </x:c>
    </x:row>
    <x:row r="118">
      <x:c r="A118" s="34" t="n">
        <x:v>45425</x:v>
      </x:c>
      <x:c r="B118" s="28" t="str">
        <x:v>Grupo Industrial S.A.</x:v>
      </x:c>
      <x:c r="C118" s="28" t="str">
        <x:v>Planta Campinas</x:v>
      </x:c>
      <x:c r="D118" s="28" t="str">
        <x:v>Linha 3 - Extrusão</x:v>
      </x:c>
      <x:c r="E118" s="28" t="str">
        <x:v>SKU-078</x:v>
      </x:c>
      <x:c r="F118" s="28" t="str">
        <x:v>Higiene e Limpeza</x:v>
      </x:c>
      <x:c r="G118" s="30" t="n">
        <x:v>58128.12</x:v>
      </x:c>
      <x:c r="H118" s="30" t="n">
        <x:v>33494.32</x:v>
      </x:c>
      <x:c r="I118" s="30" t="n">
        <x:v>1980.48</x:v>
      </x:c>
      <x:c r="J118" s="30" t="n">
        <x:v>12656.13</x:v>
      </x:c>
      <x:c r="K118" s="30" t="n">
        <x:v>11898.38</x:v>
      </x:c>
      <x:c r="L118" s="30" t="n">
        <x:v>372876</x:v>
      </x:c>
      <x:c r="M118" s="32" t="n">
        <x:v>6112.02</x:v>
      </x:c>
      <x:c r="N118" s="32" t="n">
        <x:v>2415.21</x:v>
      </x:c>
    </x:row>
    <x:row r="119">
      <x:c r="A119" s="34" t="n">
        <x:v>45425</x:v>
      </x:c>
      <x:c r="B119" s="28" t="str">
        <x:v>Grupo Industrial S.A.</x:v>
      </x:c>
      <x:c r="C119" s="28" t="str">
        <x:v>Planta Campinas</x:v>
      </x:c>
      <x:c r="D119" s="28" t="str">
        <x:v>Linha 4 - Embalagem</x:v>
      </x:c>
      <x:c r="E119" s="28" t="str">
        <x:v>SKU-105</x:v>
      </x:c>
      <x:c r="F119" s="28" t="str">
        <x:v>Embalagens</x:v>
      </x:c>
      <x:c r="G119" s="30" t="n">
        <x:v>36460.73</x:v>
      </x:c>
      <x:c r="H119" s="30" t="n">
        <x:v>40875.55</x:v>
      </x:c>
      <x:c r="I119" s="30" t="n">
        <x:v>1592.46</x:v>
      </x:c>
      <x:c r="J119" s="30" t="n">
        <x:v>11847</x:v>
      </x:c>
      <x:c r="K119" s="30" t="n">
        <x:v>11898.38</x:v>
      </x:c>
      <x:c r="L119" s="30" t="n">
        <x:v>241605</x:v>
      </x:c>
      <x:c r="M119" s="32" t="n">
        <x:v>3833.75</x:v>
      </x:c>
      <x:c r="N119" s="32" t="n">
        <x:v>1942.03</x:v>
      </x:c>
    </x:row>
    <x:row r="120">
      <x:c r="A120" s="34" t="n">
        <x:v>45425</x:v>
      </x:c>
      <x:c r="B120" s="28" t="str">
        <x:v>Grupo Industrial S.A.</x:v>
      </x:c>
      <x:c r="C120" s="28" t="str">
        <x:v>Planta Curitiba</x:v>
      </x:c>
      <x:c r="D120" s="28" t="str">
        <x:v>Linha 5 - Usinagem</x:v>
      </x:c>
      <x:c r="E120" s="28" t="str">
        <x:v>SKU-223</x:v>
      </x:c>
      <x:c r="F120" s="28" t="str">
        <x:v>Bebidas</x:v>
      </x:c>
      <x:c r="G120" s="30" t="n">
        <x:v>54821.81</x:v>
      </x:c>
      <x:c r="H120" s="30" t="n">
        <x:v>32938.58</x:v>
      </x:c>
      <x:c r="I120" s="30" t="n">
        <x:v>1830.17</x:v>
      </x:c>
      <x:c r="J120" s="30" t="n">
        <x:v>9099.13</x:v>
      </x:c>
      <x:c r="K120" s="30" t="n">
        <x:v>11898.38</x:v>
      </x:c>
      <x:c r="L120" s="30" t="n">
        <x:v>363048</x:v>
      </x:c>
      <x:c r="M120" s="32" t="n">
        <x:v>5937.3</x:v>
      </x:c>
      <x:c r="N120" s="32" t="n">
        <x:v>2231.92</x:v>
      </x:c>
    </x:row>
    <x:row r="121">
      <x:c r="A121" s="34" t="n">
        <x:v>45425</x:v>
      </x:c>
      <x:c r="B121" s="28" t="str">
        <x:v>Grupo Industrial S.A.</x:v>
      </x:c>
      <x:c r="C121" s="28" t="str">
        <x:v>Planta Curitiba</x:v>
      </x:c>
      <x:c r="D121" s="28" t="str">
        <x:v>Linha 6 - Finalização</x:v>
      </x:c>
      <x:c r="E121" s="28" t="str">
        <x:v>SKU-432</x:v>
      </x:c>
      <x:c r="F121" s="28" t="str">
        <x:v>Alimentos</x:v>
      </x:c>
      <x:c r="G121" s="30" t="n">
        <x:v>36249.02</x:v>
      </x:c>
      <x:c r="H121" s="30" t="n">
        <x:v>45269.75</x:v>
      </x:c>
      <x:c r="I121" s="30" t="n">
        <x:v>1327.24</x:v>
      </x:c>
      <x:c r="J121" s="30" t="n">
        <x:v>7908.66</x:v>
      </x:c>
      <x:c r="K121" s="30" t="n">
        <x:v>11898.38</x:v>
      </x:c>
      <x:c r="L121" s="30" t="n">
        <x:v>245910</x:v>
      </x:c>
      <x:c r="M121" s="32" t="n">
        <x:v>3925.83</x:v>
      </x:c>
      <x:c r="N121" s="32" t="n">
        <x:v>1618.58</x:v>
      </x:c>
    </x:row>
    <x:row r="122">
      <x:c r="A122" s="34" t="n">
        <x:v>45432</x:v>
      </x:c>
      <x:c r="B122" s="28" t="str">
        <x:v>Grupo Industrial S.A.</x:v>
      </x:c>
      <x:c r="C122" s="28" t="str">
        <x:v>Planta São Paulo</x:v>
      </x:c>
      <x:c r="D122" s="28" t="str">
        <x:v>Linha 1 - Corte</x:v>
      </x:c>
      <x:c r="E122" s="28" t="str">
        <x:v>SKU-001</x:v>
      </x:c>
      <x:c r="F122" s="28" t="str">
        <x:v>Alimentos</x:v>
      </x:c>
      <x:c r="G122" s="30" t="n">
        <x:v>60580.58</x:v>
      </x:c>
      <x:c r="H122" s="30" t="n">
        <x:v>30852.95</x:v>
      </x:c>
      <x:c r="I122" s="30" t="n">
        <x:v>1898.94</x:v>
      </x:c>
      <x:c r="J122" s="30" t="n">
        <x:v>6039.26</x:v>
      </x:c>
      <x:c r="K122" s="30" t="n">
        <x:v>14226.33</x:v>
      </x:c>
      <x:c r="L122" s="30" t="n">
        <x:v>409752</x:v>
      </x:c>
      <x:c r="M122" s="32" t="n">
        <x:v>6560.99</x:v>
      </x:c>
      <x:c r="N122" s="32" t="n">
        <x:v>2315.77</x:v>
      </x:c>
    </x:row>
    <x:row r="123">
      <x:c r="A123" s="34" t="n">
        <x:v>45432</x:v>
      </x:c>
      <x:c r="B123" s="28" t="str">
        <x:v>Grupo Industrial S.A.</x:v>
      </x:c>
      <x:c r="C123" s="28" t="str">
        <x:v>Planta São Paulo</x:v>
      </x:c>
      <x:c r="D123" s="28" t="str">
        <x:v>Linha 2 - Montagem</x:v>
      </x:c>
      <x:c r="E123" s="28" t="str">
        <x:v>SKU-002</x:v>
      </x:c>
      <x:c r="F123" s="28" t="str">
        <x:v>Alimentos</x:v>
      </x:c>
      <x:c r="G123" s="30" t="n">
        <x:v>58737.09</x:v>
      </x:c>
      <x:c r="H123" s="30" t="n">
        <x:v>38611.52</x:v>
      </x:c>
      <x:c r="I123" s="30" t="n">
        <x:v>1870.46</x:v>
      </x:c>
      <x:c r="J123" s="30" t="n">
        <x:v>6785.33</x:v>
      </x:c>
      <x:c r="K123" s="30" t="n">
        <x:v>14226.33</x:v>
      </x:c>
      <x:c r="L123" s="30" t="n">
        <x:v>401622</x:v>
      </x:c>
      <x:c r="M123" s="32" t="n">
        <x:v>6361.33</x:v>
      </x:c>
      <x:c r="N123" s="32" t="n">
        <x:v>2281.05</x:v>
      </x:c>
    </x:row>
    <x:row r="124">
      <x:c r="A124" s="34" t="n">
        <x:v>45432</x:v>
      </x:c>
      <x:c r="B124" s="28" t="str">
        <x:v>Grupo Industrial S.A.</x:v>
      </x:c>
      <x:c r="C124" s="28" t="str">
        <x:v>Planta Campinas</x:v>
      </x:c>
      <x:c r="D124" s="28" t="str">
        <x:v>Linha 3 - Extrusão</x:v>
      </x:c>
      <x:c r="E124" s="28" t="str">
        <x:v>SKU-078</x:v>
      </x:c>
      <x:c r="F124" s="28" t="str">
        <x:v>Higiene e Limpeza</x:v>
      </x:c>
      <x:c r="G124" s="30" t="n">
        <x:v>55159.2</x:v>
      </x:c>
      <x:c r="H124" s="30" t="n">
        <x:v>32046.68</x:v>
      </x:c>
      <x:c r="I124" s="30" t="n">
        <x:v>1933.97</x:v>
      </x:c>
      <x:c r="J124" s="30" t="n">
        <x:v>13724.34</x:v>
      </x:c>
      <x:c r="K124" s="30" t="n">
        <x:v>11898.38</x:v>
      </x:c>
      <x:c r="L124" s="30" t="n">
        <x:v>354660</x:v>
      </x:c>
      <x:c r="M124" s="32" t="n">
        <x:v>5799.85</x:v>
      </x:c>
      <x:c r="N124" s="32" t="n">
        <x:v>2358.5</x:v>
      </x:c>
    </x:row>
    <x:row r="125">
      <x:c r="A125" s="34" t="n">
        <x:v>45432</x:v>
      </x:c>
      <x:c r="B125" s="28" t="str">
        <x:v>Grupo Industrial S.A.</x:v>
      </x:c>
      <x:c r="C125" s="28" t="str">
        <x:v>Planta Campinas</x:v>
      </x:c>
      <x:c r="D125" s="28" t="str">
        <x:v>Linha 4 - Embalagem</x:v>
      </x:c>
      <x:c r="E125" s="28" t="str">
        <x:v>SKU-105</x:v>
      </x:c>
      <x:c r="F125" s="28" t="str">
        <x:v>Embalagens</x:v>
      </x:c>
      <x:c r="G125" s="30" t="n">
        <x:v>32687.46</x:v>
      </x:c>
      <x:c r="H125" s="30" t="n">
        <x:v>40917.82</x:v>
      </x:c>
      <x:c r="I125" s="30" t="n">
        <x:v>1421.15</x:v>
      </x:c>
      <x:c r="J125" s="30" t="n">
        <x:v>11904.53</x:v>
      </x:c>
      <x:c r="K125" s="30" t="n">
        <x:v>11898.38</x:v>
      </x:c>
      <x:c r="L125" s="30" t="n">
        <x:v>216060</x:v>
      </x:c>
      <x:c r="M125" s="32" t="n">
        <x:v>3437</x:v>
      </x:c>
      <x:c r="N125" s="32" t="n">
        <x:v>1733.11</x:v>
      </x:c>
    </x:row>
    <x:row r="126">
      <x:c r="A126" s="34" t="n">
        <x:v>45432</x:v>
      </x:c>
      <x:c r="B126" s="28" t="str">
        <x:v>Grupo Industrial S.A.</x:v>
      </x:c>
      <x:c r="C126" s="28" t="str">
        <x:v>Planta Curitiba</x:v>
      </x:c>
      <x:c r="D126" s="28" t="str">
        <x:v>Linha 5 - Usinagem</x:v>
      </x:c>
      <x:c r="E126" s="28" t="str">
        <x:v>SKU-223</x:v>
      </x:c>
      <x:c r="F126" s="28" t="str">
        <x:v>Bebidas</x:v>
      </x:c>
      <x:c r="G126" s="30" t="n">
        <x:v>51969.73</x:v>
      </x:c>
      <x:c r="H126" s="30" t="n">
        <x:v>33482.71</x:v>
      </x:c>
      <x:c r="I126" s="30" t="n">
        <x:v>1787.22</x:v>
      </x:c>
      <x:c r="J126" s="30" t="n">
        <x:v>8509.92</x:v>
      </x:c>
      <x:c r="K126" s="30" t="n">
        <x:v>11898.38</x:v>
      </x:c>
      <x:c r="L126" s="30" t="n">
        <x:v>345072</x:v>
      </x:c>
      <x:c r="M126" s="32" t="n">
        <x:v>5628.42</x:v>
      </x:c>
      <x:c r="N126" s="32" t="n">
        <x:v>2179.53</x:v>
      </x:c>
    </x:row>
    <x:row r="127">
      <x:c r="A127" s="34" t="n">
        <x:v>45432</x:v>
      </x:c>
      <x:c r="B127" s="28" t="str">
        <x:v>Grupo Industrial S.A.</x:v>
      </x:c>
      <x:c r="C127" s="28" t="str">
        <x:v>Planta Curitiba</x:v>
      </x:c>
      <x:c r="D127" s="28" t="str">
        <x:v>Linha 6 - Finalização</x:v>
      </x:c>
      <x:c r="E127" s="28" t="str">
        <x:v>SKU-432</x:v>
      </x:c>
      <x:c r="F127" s="28" t="str">
        <x:v>Alimentos</x:v>
      </x:c>
      <x:c r="G127" s="30" t="n">
        <x:v>38723.11</x:v>
      </x:c>
      <x:c r="H127" s="30" t="n">
        <x:v>45543.22</x:v>
      </x:c>
      <x:c r="I127" s="30" t="n">
        <x:v>1448.43</x:v>
      </x:c>
      <x:c r="J127" s="30" t="n">
        <x:v>7553.75</x:v>
      </x:c>
      <x:c r="K127" s="30" t="n">
        <x:v>11898.38</x:v>
      </x:c>
      <x:c r="L127" s="30" t="n">
        <x:v>262920</x:v>
      </x:c>
      <x:c r="M127" s="32" t="n">
        <x:v>4193.78</x:v>
      </x:c>
      <x:c r="N127" s="32" t="n">
        <x:v>1766.38</x:v>
      </x:c>
    </x:row>
    <x:row r="128">
      <x:c r="A128" s="34" t="n">
        <x:v>45439</x:v>
      </x:c>
      <x:c r="B128" s="28" t="str">
        <x:v>Grupo Industrial S.A.</x:v>
      </x:c>
      <x:c r="C128" s="28" t="str">
        <x:v>Planta São Paulo</x:v>
      </x:c>
      <x:c r="D128" s="28" t="str">
        <x:v>Linha 1 - Corte</x:v>
      </x:c>
      <x:c r="E128" s="28" t="str">
        <x:v>SKU-001</x:v>
      </x:c>
      <x:c r="F128" s="28" t="str">
        <x:v>Alimentos</x:v>
      </x:c>
      <x:c r="G128" s="30" t="n">
        <x:v>58848.76</x:v>
      </x:c>
      <x:c r="H128" s="30" t="n">
        <x:v>29629.62</x:v>
      </x:c>
      <x:c r="I128" s="30" t="n">
        <x:v>1818.35</x:v>
      </x:c>
      <x:c r="J128" s="30" t="n">
        <x:v>8605.35</x:v>
      </x:c>
      <x:c r="K128" s="30" t="n">
        <x:v>14226.33</x:v>
      </x:c>
      <x:c r="L128" s="30" t="n">
        <x:v>399456</x:v>
      </x:c>
      <x:c r="M128" s="32" t="n">
        <x:v>6373.43</x:v>
      </x:c>
      <x:c r="N128" s="32" t="n">
        <x:v>2217.5</x:v>
      </x:c>
    </x:row>
    <x:row r="129">
      <x:c r="A129" s="34" t="n">
        <x:v>45439</x:v>
      </x:c>
      <x:c r="B129" s="28" t="str">
        <x:v>Grupo Industrial S.A.</x:v>
      </x:c>
      <x:c r="C129" s="28" t="str">
        <x:v>Planta São Paulo</x:v>
      </x:c>
      <x:c r="D129" s="28" t="str">
        <x:v>Linha 2 - Montagem</x:v>
      </x:c>
      <x:c r="E129" s="28" t="str">
        <x:v>SKU-002</x:v>
      </x:c>
      <x:c r="F129" s="28" t="str">
        <x:v>Alimentos</x:v>
      </x:c>
      <x:c r="G129" s="30" t="n">
        <x:v>56893.28</x:v>
      </x:c>
      <x:c r="H129" s="30" t="n">
        <x:v>38947.42</x:v>
      </x:c>
      <x:c r="I129" s="30" t="n">
        <x:v>1782.46</x:v>
      </x:c>
      <x:c r="J129" s="30" t="n">
        <x:v>6084.56</x:v>
      </x:c>
      <x:c r="K129" s="30" t="n">
        <x:v>14226.33</x:v>
      </x:c>
      <x:c r="L129" s="30" t="n">
        <x:v>386880</x:v>
      </x:c>
      <x:c r="M129" s="32" t="n">
        <x:v>6161.65</x:v>
      </x:c>
      <x:c r="N129" s="32" t="n">
        <x:v>2173.73</x:v>
      </x:c>
    </x:row>
    <x:row r="130">
      <x:c r="A130" s="34" t="n">
        <x:v>45439</x:v>
      </x:c>
      <x:c r="B130" s="28" t="str">
        <x:v>Grupo Industrial S.A.</x:v>
      </x:c>
      <x:c r="C130" s="28" t="str">
        <x:v>Planta Campinas</x:v>
      </x:c>
      <x:c r="D130" s="28" t="str">
        <x:v>Linha 3 - Extrusão</x:v>
      </x:c>
      <x:c r="E130" s="28" t="str">
        <x:v>SKU-078</x:v>
      </x:c>
      <x:c r="F130" s="28" t="str">
        <x:v>Higiene e Limpeza</x:v>
      </x:c>
      <x:c r="G130" s="30" t="n">
        <x:v>54241.84</x:v>
      </x:c>
      <x:c r="H130" s="30" t="n">
        <x:v>33501.78</x:v>
      </x:c>
      <x:c r="I130" s="30" t="n">
        <x:v>1766.76</x:v>
      </x:c>
      <x:c r="J130" s="30" t="n">
        <x:v>12251.68</x:v>
      </x:c>
      <x:c r="K130" s="30" t="n">
        <x:v>11898.38</x:v>
      </x:c>
      <x:c r="L130" s="30" t="n">
        <x:v>355212</x:v>
      </x:c>
      <x:c r="M130" s="32" t="n">
        <x:v>5703.39</x:v>
      </x:c>
      <x:c r="N130" s="32" t="n">
        <x:v>2154.58</x:v>
      </x:c>
    </x:row>
    <x:row r="131">
      <x:c r="A131" s="34" t="n">
        <x:v>45439</x:v>
      </x:c>
      <x:c r="B131" s="28" t="str">
        <x:v>Grupo Industrial S.A.</x:v>
      </x:c>
      <x:c r="C131" s="28" t="str">
        <x:v>Planta Campinas</x:v>
      </x:c>
      <x:c r="D131" s="28" t="str">
        <x:v>Linha 4 - Embalagem</x:v>
      </x:c>
      <x:c r="E131" s="28" t="str">
        <x:v>SKU-105</x:v>
      </x:c>
      <x:c r="F131" s="28" t="str">
        <x:v>Embalagens</x:v>
      </x:c>
      <x:c r="G131" s="30" t="n">
        <x:v>34100.51</x:v>
      </x:c>
      <x:c r="H131" s="30" t="n">
        <x:v>39777.72</x:v>
      </x:c>
      <x:c r="I131" s="30" t="n">
        <x:v>1491.02</x:v>
      </x:c>
      <x:c r="J131" s="30" t="n">
        <x:v>14380.75</x:v>
      </x:c>
      <x:c r="K131" s="30" t="n">
        <x:v>11898.38</x:v>
      </x:c>
      <x:c r="L131" s="30" t="n">
        <x:v>228280</x:v>
      </x:c>
      <x:c r="M131" s="32" t="n">
        <x:v>3585.58</x:v>
      </x:c>
      <x:c r="N131" s="32" t="n">
        <x:v>1818.32</x:v>
      </x:c>
    </x:row>
    <x:row r="132">
      <x:c r="A132" s="34" t="n">
        <x:v>45439</x:v>
      </x:c>
      <x:c r="B132" s="28" t="str">
        <x:v>Grupo Industrial S.A.</x:v>
      </x:c>
      <x:c r="C132" s="28" t="str">
        <x:v>Planta Curitiba</x:v>
      </x:c>
      <x:c r="D132" s="28" t="str">
        <x:v>Linha 5 - Usinagem</x:v>
      </x:c>
      <x:c r="E132" s="28" t="str">
        <x:v>SKU-223</x:v>
      </x:c>
      <x:c r="F132" s="28" t="str">
        <x:v>Bebidas</x:v>
      </x:c>
      <x:c r="G132" s="30" t="n">
        <x:v>55012.9</x:v>
      </x:c>
      <x:c r="H132" s="30" t="n">
        <x:v>33573.58</x:v>
      </x:c>
      <x:c r="I132" s="30" t="n">
        <x:v>1976.81</x:v>
      </x:c>
      <x:c r="J132" s="30" t="n">
        <x:v>8388.03</x:v>
      </x:c>
      <x:c r="K132" s="30" t="n">
        <x:v>11898.38</x:v>
      </x:c>
      <x:c r="L132" s="30" t="n">
        <x:v>368004</x:v>
      </x:c>
      <x:c r="M132" s="32" t="n">
        <x:v>5958</x:v>
      </x:c>
      <x:c r="N132" s="32" t="n">
        <x:v>2410.74</x:v>
      </x:c>
    </x:row>
    <x:row r="133">
      <x:c r="A133" s="34" t="n">
        <x:v>45439</x:v>
      </x:c>
      <x:c r="B133" s="28" t="str">
        <x:v>Grupo Industrial S.A.</x:v>
      </x:c>
      <x:c r="C133" s="28" t="str">
        <x:v>Planta Curitiba</x:v>
      </x:c>
      <x:c r="D133" s="28" t="str">
        <x:v>Linha 6 - Finalização</x:v>
      </x:c>
      <x:c r="E133" s="28" t="str">
        <x:v>SKU-432</x:v>
      </x:c>
      <x:c r="F133" s="28" t="str">
        <x:v>Alimentos</x:v>
      </x:c>
      <x:c r="G133" s="30" t="n">
        <x:v>37630.38</x:v>
      </x:c>
      <x:c r="H133" s="30" t="n">
        <x:v>44461.59</x:v>
      </x:c>
      <x:c r="I133" s="30" t="n">
        <x:v>1429.35</x:v>
      </x:c>
      <x:c r="J133" s="30" t="n">
        <x:v>9803.89</x:v>
      </x:c>
      <x:c r="K133" s="30" t="n">
        <x:v>11898.38</x:v>
      </x:c>
      <x:c r="L133" s="30" t="n">
        <x:v>253750</x:v>
      </x:c>
      <x:c r="M133" s="32" t="n">
        <x:v>4075.44</x:v>
      </x:c>
      <x:c r="N133" s="32" t="n">
        <x:v>1743.11</x:v>
      </x:c>
    </x:row>
    <x:row r="134">
      <x:c r="A134" s="34" t="n">
        <x:v>45446</x:v>
      </x:c>
      <x:c r="B134" s="28" t="str">
        <x:v>Grupo Industrial S.A.</x:v>
      </x:c>
      <x:c r="C134" s="28" t="str">
        <x:v>Planta São Paulo</x:v>
      </x:c>
      <x:c r="D134" s="28" t="str">
        <x:v>Linha 1 - Corte</x:v>
      </x:c>
      <x:c r="E134" s="28" t="str">
        <x:v>SKU-001</x:v>
      </x:c>
      <x:c r="F134" s="28" t="str">
        <x:v>Alimentos</x:v>
      </x:c>
      <x:c r="G134" s="30" t="n">
        <x:v>60355.29</x:v>
      </x:c>
      <x:c r="H134" s="30" t="n">
        <x:v>31956.7</x:v>
      </x:c>
      <x:c r="I134" s="30" t="n">
        <x:v>1742.28</x:v>
      </x:c>
      <x:c r="J134" s="30" t="n">
        <x:v>5907.88</x:v>
      </x:c>
      <x:c r="K134" s="30" t="n">
        <x:v>14226.33</x:v>
      </x:c>
      <x:c r="L134" s="30" t="n">
        <x:v>401616</x:v>
      </x:c>
      <x:c r="M134" s="32" t="n">
        <x:v>6530.67</x:v>
      </x:c>
      <x:c r="N134" s="32" t="n">
        <x:v>2124.73</x:v>
      </x:c>
    </x:row>
    <x:row r="135">
      <x:c r="A135" s="34" t="n">
        <x:v>45446</x:v>
      </x:c>
      <x:c r="B135" s="28" t="str">
        <x:v>Grupo Industrial S.A.</x:v>
      </x:c>
      <x:c r="C135" s="28" t="str">
        <x:v>Planta São Paulo</x:v>
      </x:c>
      <x:c r="D135" s="28" t="str">
        <x:v>Linha 2 - Montagem</x:v>
      </x:c>
      <x:c r="E135" s="28" t="str">
        <x:v>SKU-002</x:v>
      </x:c>
      <x:c r="F135" s="28" t="str">
        <x:v>Alimentos</x:v>
      </x:c>
      <x:c r="G135" s="30" t="n">
        <x:v>58239.86</x:v>
      </x:c>
      <x:c r="H135" s="30" t="n">
        <x:v>37958.56</x:v>
      </x:c>
      <x:c r="I135" s="30" t="n">
        <x:v>1912.48</x:v>
      </x:c>
      <x:c r="J135" s="30" t="n">
        <x:v>7040.43</x:v>
      </x:c>
      <x:c r="K135" s="30" t="n">
        <x:v>14226.33</x:v>
      </x:c>
      <x:c r="L135" s="30" t="n">
        <x:v>396318</x:v>
      </x:c>
      <x:c r="M135" s="32" t="n">
        <x:v>6301.78</x:v>
      </x:c>
      <x:c r="N135" s="32" t="n">
        <x:v>2332.3</x:v>
      </x:c>
    </x:row>
    <x:row r="136">
      <x:c r="A136" s="34" t="n">
        <x:v>45446</x:v>
      </x:c>
      <x:c r="B136" s="28" t="str">
        <x:v>Grupo Industrial S.A.</x:v>
      </x:c>
      <x:c r="C136" s="28" t="str">
        <x:v>Planta Campinas</x:v>
      </x:c>
      <x:c r="D136" s="28" t="str">
        <x:v>Linha 3 - Extrusão</x:v>
      </x:c>
      <x:c r="E136" s="28" t="str">
        <x:v>SKU-078</x:v>
      </x:c>
      <x:c r="F136" s="28" t="str">
        <x:v>Higiene e Limpeza</x:v>
      </x:c>
      <x:c r="G136" s="30" t="n">
        <x:v>56517.84</x:v>
      </x:c>
      <x:c r="H136" s="30" t="n">
        <x:v>33126.51</x:v>
      </x:c>
      <x:c r="I136" s="30" t="n">
        <x:v>1848.4</x:v>
      </x:c>
      <x:c r="J136" s="30" t="n">
        <x:v>12546.33</x:v>
      </x:c>
      <x:c r="K136" s="30" t="n">
        <x:v>11898.38</x:v>
      </x:c>
      <x:c r="L136" s="30" t="n">
        <x:v>357052</x:v>
      </x:c>
      <x:c r="M136" s="32" t="n">
        <x:v>5937.33</x:v>
      </x:c>
      <x:c r="N136" s="32" t="n">
        <x:v>2254.15</x:v>
      </x:c>
    </x:row>
    <x:row r="137">
      <x:c r="A137" s="34" t="n">
        <x:v>45446</x:v>
      </x:c>
      <x:c r="B137" s="28" t="str">
        <x:v>Grupo Industrial S.A.</x:v>
      </x:c>
      <x:c r="C137" s="28" t="str">
        <x:v>Planta Campinas</x:v>
      </x:c>
      <x:c r="D137" s="28" t="str">
        <x:v>Linha 4 - Embalagem</x:v>
      </x:c>
      <x:c r="E137" s="28" t="str">
        <x:v>SKU-105</x:v>
      </x:c>
      <x:c r="F137" s="28" t="str">
        <x:v>Embalagens</x:v>
      </x:c>
      <x:c r="G137" s="30" t="n">
        <x:v>31457.45</x:v>
      </x:c>
      <x:c r="H137" s="30" t="n">
        <x:v>40873.91</x:v>
      </x:c>
      <x:c r="I137" s="30" t="n">
        <x:v>1331.61</x:v>
      </x:c>
      <x:c r="J137" s="30" t="n">
        <x:v>12400.51</x:v>
      </x:c>
      <x:c r="K137" s="30" t="n">
        <x:v>11898.38</x:v>
      </x:c>
      <x:c r="L137" s="30" t="n">
        <x:v>207610</x:v>
      </x:c>
      <x:c r="M137" s="32" t="n">
        <x:v>3304.68</x:v>
      </x:c>
      <x:c r="N137" s="32" t="n">
        <x:v>1623.92</x:v>
      </x:c>
    </x:row>
    <x:row r="138">
      <x:c r="A138" s="34" t="n">
        <x:v>45446</x:v>
      </x:c>
      <x:c r="B138" s="28" t="str">
        <x:v>Grupo Industrial S.A.</x:v>
      </x:c>
      <x:c r="C138" s="28" t="str">
        <x:v>Planta Curitiba</x:v>
      </x:c>
      <x:c r="D138" s="28" t="str">
        <x:v>Linha 5 - Usinagem</x:v>
      </x:c>
      <x:c r="E138" s="28" t="str">
        <x:v>SKU-223</x:v>
      </x:c>
      <x:c r="F138" s="28" t="str">
        <x:v>Bebidas</x:v>
      </x:c>
      <x:c r="G138" s="30" t="n">
        <x:v>51099.82</x:v>
      </x:c>
      <x:c r="H138" s="30" t="n">
        <x:v>33422.75</x:v>
      </x:c>
      <x:c r="I138" s="30" t="n">
        <x:v>1826.82</x:v>
      </x:c>
      <x:c r="J138" s="30" t="n">
        <x:v>8759.46</x:v>
      </x:c>
      <x:c r="K138" s="30" t="n">
        <x:v>11898.38</x:v>
      </x:c>
      <x:c r="L138" s="30" t="n">
        <x:v>341376</x:v>
      </x:c>
      <x:c r="M138" s="32" t="n">
        <x:v>5529.2</x:v>
      </x:c>
      <x:c r="N138" s="32" t="n">
        <x:v>2227.83</x:v>
      </x:c>
    </x:row>
    <x:row r="139">
      <x:c r="A139" s="34" t="n">
        <x:v>45446</x:v>
      </x:c>
      <x:c r="B139" s="28" t="str">
        <x:v>Grupo Industrial S.A.</x:v>
      </x:c>
      <x:c r="C139" s="28" t="str">
        <x:v>Planta Curitiba</x:v>
      </x:c>
      <x:c r="D139" s="28" t="str">
        <x:v>Linha 6 - Finalização</x:v>
      </x:c>
      <x:c r="E139" s="28" t="str">
        <x:v>SKU-432</x:v>
      </x:c>
      <x:c r="F139" s="28" t="str">
        <x:v>Alimentos</x:v>
      </x:c>
      <x:c r="G139" s="30" t="n">
        <x:v>37898.94</x:v>
      </x:c>
      <x:c r="H139" s="30" t="n">
        <x:v>45251.92</x:v>
      </x:c>
      <x:c r="I139" s="30" t="n">
        <x:v>1386.69</x:v>
      </x:c>
      <x:c r="J139" s="30" t="n">
        <x:v>7572.89</x:v>
      </x:c>
      <x:c r="K139" s="30" t="n">
        <x:v>11898.38</x:v>
      </x:c>
      <x:c r="L139" s="30" t="n">
        <x:v>254940</x:v>
      </x:c>
      <x:c r="M139" s="32" t="n">
        <x:v>4100.81</x:v>
      </x:c>
      <x:c r="N139" s="32" t="n">
        <x:v>1691.08</x:v>
      </x:c>
    </x:row>
    <x:row r="140">
      <x:c r="A140" s="34" t="n">
        <x:v>45453</x:v>
      </x:c>
      <x:c r="B140" s="28" t="str">
        <x:v>Grupo Industrial S.A.</x:v>
      </x:c>
      <x:c r="C140" s="28" t="str">
        <x:v>Planta São Paulo</x:v>
      </x:c>
      <x:c r="D140" s="28" t="str">
        <x:v>Linha 1 - Corte</x:v>
      </x:c>
      <x:c r="E140" s="28" t="str">
        <x:v>SKU-001</x:v>
      </x:c>
      <x:c r="F140" s="28" t="str">
        <x:v>Alimentos</x:v>
      </x:c>
      <x:c r="G140" s="30" t="n">
        <x:v>60355.82</x:v>
      </x:c>
      <x:c r="H140" s="30" t="n">
        <x:v>30375.79</x:v>
      </x:c>
      <x:c r="I140" s="30" t="n">
        <x:v>1928.32</x:v>
      </x:c>
      <x:c r="J140" s="30" t="n">
        <x:v>8127.19</x:v>
      </x:c>
      <x:c r="K140" s="30" t="n">
        <x:v>14226.33</x:v>
      </x:c>
      <x:c r="L140" s="30" t="n">
        <x:v>407304</x:v>
      </x:c>
      <x:c r="M140" s="32" t="n">
        <x:v>6530.73</x:v>
      </x:c>
      <x:c r="N140" s="32" t="n">
        <x:v>2351.61</x:v>
      </x:c>
    </x:row>
    <x:row r="141">
      <x:c r="A141" s="34" t="n">
        <x:v>45453</x:v>
      </x:c>
      <x:c r="B141" s="28" t="str">
        <x:v>Grupo Industrial S.A.</x:v>
      </x:c>
      <x:c r="C141" s="28" t="str">
        <x:v>Planta São Paulo</x:v>
      </x:c>
      <x:c r="D141" s="28" t="str">
        <x:v>Linha 2 - Montagem</x:v>
      </x:c>
      <x:c r="E141" s="28" t="str">
        <x:v>SKU-002</x:v>
      </x:c>
      <x:c r="F141" s="28" t="str">
        <x:v>Alimentos</x:v>
      </x:c>
      <x:c r="G141" s="30" t="n">
        <x:v>59009</x:v>
      </x:c>
      <x:c r="H141" s="30" t="n">
        <x:v>39215.74</x:v>
      </x:c>
      <x:c r="I141" s="30" t="n">
        <x:v>1885.27</x:v>
      </x:c>
      <x:c r="J141" s="30" t="n">
        <x:v>7133.68</x:v>
      </x:c>
      <x:c r="K141" s="30" t="n">
        <x:v>14226.33</x:v>
      </x:c>
      <x:c r="L141" s="30" t="n">
        <x:v>405912</x:v>
      </x:c>
      <x:c r="M141" s="32" t="n">
        <x:v>6385</x:v>
      </x:c>
      <x:c r="N141" s="32" t="n">
        <x:v>2299.11</x:v>
      </x:c>
    </x:row>
    <x:row r="142">
      <x:c r="A142" s="34" t="n">
        <x:v>45453</x:v>
      </x:c>
      <x:c r="B142" s="28" t="str">
        <x:v>Grupo Industrial S.A.</x:v>
      </x:c>
      <x:c r="C142" s="28" t="str">
        <x:v>Planta Campinas</x:v>
      </x:c>
      <x:c r="D142" s="28" t="str">
        <x:v>Linha 3 - Extrusão</x:v>
      </x:c>
      <x:c r="E142" s="28" t="str">
        <x:v>SKU-078</x:v>
      </x:c>
      <x:c r="F142" s="28" t="str">
        <x:v>Higiene e Limpeza</x:v>
      </x:c>
      <x:c r="G142" s="30" t="n">
        <x:v>56469.79</x:v>
      </x:c>
      <x:c r="H142" s="30" t="n">
        <x:v>32001.6</x:v>
      </x:c>
      <x:c r="I142" s="30" t="n">
        <x:v>1960.67</x:v>
      </x:c>
      <x:c r="J142" s="30" t="n">
        <x:v>14754.66</x:v>
      </x:c>
      <x:c r="K142" s="30" t="n">
        <x:v>11898.38</x:v>
      </x:c>
      <x:c r="L142" s="30" t="n">
        <x:v>354660</x:v>
      </x:c>
      <x:c r="M142" s="32" t="n">
        <x:v>5932.28</x:v>
      </x:c>
      <x:c r="N142" s="32" t="n">
        <x:v>2391.06</x:v>
      </x:c>
    </x:row>
    <x:row r="143">
      <x:c r="A143" s="34" t="n">
        <x:v>45453</x:v>
      </x:c>
      <x:c r="B143" s="28" t="str">
        <x:v>Grupo Industrial S.A.</x:v>
      </x:c>
      <x:c r="C143" s="28" t="str">
        <x:v>Planta Campinas</x:v>
      </x:c>
      <x:c r="D143" s="28" t="str">
        <x:v>Linha 4 - Embalagem</x:v>
      </x:c>
      <x:c r="E143" s="28" t="str">
        <x:v>SKU-105</x:v>
      </x:c>
      <x:c r="F143" s="28" t="str">
        <x:v>Embalagens</x:v>
      </x:c>
      <x:c r="G143" s="30" t="n">
        <x:v>31096.43</x:v>
      </x:c>
      <x:c r="H143" s="30" t="n">
        <x:v>38913.04</x:v>
      </x:c>
      <x:c r="I143" s="30" t="n">
        <x:v>1387.55</x:v>
      </x:c>
      <x:c r="J143" s="30" t="n">
        <x:v>14502.2</x:v>
      </x:c>
      <x:c r="K143" s="30" t="n">
        <x:v>11898.38</x:v>
      </x:c>
      <x:c r="L143" s="30" t="n">
        <x:v>206440</x:v>
      </x:c>
      <x:c r="M143" s="32" t="n">
        <x:v>3266.75</x:v>
      </x:c>
      <x:c r="N143" s="32" t="n">
        <x:v>1692.13</x:v>
      </x:c>
    </x:row>
    <x:row r="144">
      <x:c r="A144" s="34" t="n">
        <x:v>45453</x:v>
      </x:c>
      <x:c r="B144" s="28" t="str">
        <x:v>Grupo Industrial S.A.</x:v>
      </x:c>
      <x:c r="C144" s="28" t="str">
        <x:v>Planta Curitiba</x:v>
      </x:c>
      <x:c r="D144" s="28" t="str">
        <x:v>Linha 5 - Usinagem</x:v>
      </x:c>
      <x:c r="E144" s="28" t="str">
        <x:v>SKU-223</x:v>
      </x:c>
      <x:c r="F144" s="28" t="str">
        <x:v>Bebidas</x:v>
      </x:c>
      <x:c r="G144" s="30" t="n">
        <x:v>50887.24</x:v>
      </x:c>
      <x:c r="H144" s="30" t="n">
        <x:v>34453.76</x:v>
      </x:c>
      <x:c r="I144" s="30" t="n">
        <x:v>1707.64</x:v>
      </x:c>
      <x:c r="J144" s="30" t="n">
        <x:v>7701.22</x:v>
      </x:c>
      <x:c r="K144" s="30" t="n">
        <x:v>11898.38</x:v>
      </x:c>
      <x:c r="L144" s="30" t="n">
        <x:v>341712</x:v>
      </x:c>
      <x:c r="M144" s="32" t="n">
        <x:v>5506.19</x:v>
      </x:c>
      <x:c r="N144" s="32" t="n">
        <x:v>2082.49</x:v>
      </x:c>
    </x:row>
    <x:row r="145">
      <x:c r="A145" s="34" t="n">
        <x:v>45453</x:v>
      </x:c>
      <x:c r="B145" s="28" t="str">
        <x:v>Grupo Industrial S.A.</x:v>
      </x:c>
      <x:c r="C145" s="28" t="str">
        <x:v>Planta Curitiba</x:v>
      </x:c>
      <x:c r="D145" s="28" t="str">
        <x:v>Linha 6 - Finalização</x:v>
      </x:c>
      <x:c r="E145" s="28" t="str">
        <x:v>SKU-432</x:v>
      </x:c>
      <x:c r="F145" s="28" t="str">
        <x:v>Alimentos</x:v>
      </x:c>
      <x:c r="G145" s="30" t="n">
        <x:v>37126.58</x:v>
      </x:c>
      <x:c r="H145" s="30" t="n">
        <x:v>44187.33</x:v>
      </x:c>
      <x:c r="I145" s="30" t="n">
        <x:v>1409.06</x:v>
      </x:c>
      <x:c r="J145" s="30" t="n">
        <x:v>8838.81</x:v>
      </x:c>
      <x:c r="K145" s="30" t="n">
        <x:v>11898.38</x:v>
      </x:c>
      <x:c r="L145" s="30" t="n">
        <x:v>247940</x:v>
      </x:c>
      <x:c r="M145" s="32" t="n">
        <x:v>4017.24</x:v>
      </x:c>
      <x:c r="N145" s="32" t="n">
        <x:v>1718.36</x:v>
      </x:c>
    </x:row>
    <x:row r="146">
      <x:c r="A146" s="34" t="n">
        <x:v>45460</x:v>
      </x:c>
      <x:c r="B146" s="28" t="str">
        <x:v>Grupo Industrial S.A.</x:v>
      </x:c>
      <x:c r="C146" s="28" t="str">
        <x:v>Planta São Paulo</x:v>
      </x:c>
      <x:c r="D146" s="28" t="str">
        <x:v>Linha 1 - Corte</x:v>
      </x:c>
      <x:c r="E146" s="28" t="str">
        <x:v>SKU-001</x:v>
      </x:c>
      <x:c r="F146" s="28" t="str">
        <x:v>Alimentos</x:v>
      </x:c>
      <x:c r="G146" s="30" t="n">
        <x:v>58983.36</x:v>
      </x:c>
      <x:c r="H146" s="30" t="n">
        <x:v>30515.58</x:v>
      </x:c>
      <x:c r="I146" s="30" t="n">
        <x:v>1807.72</x:v>
      </x:c>
      <x:c r="J146" s="30" t="n">
        <x:v>7706.32</x:v>
      </x:c>
      <x:c r="K146" s="30" t="n">
        <x:v>14226.33</x:v>
      </x:c>
      <x:c r="L146" s="30" t="n">
        <x:v>393120</x:v>
      </x:c>
      <x:c r="M146" s="32" t="n">
        <x:v>6382.22</x:v>
      </x:c>
      <x:c r="N146" s="32" t="n">
        <x:v>2204.54</x:v>
      </x:c>
    </x:row>
    <x:row r="147">
      <x:c r="A147" s="34" t="n">
        <x:v>45460</x:v>
      </x:c>
      <x:c r="B147" s="28" t="str">
        <x:v>Grupo Industrial S.A.</x:v>
      </x:c>
      <x:c r="C147" s="28" t="str">
        <x:v>Planta São Paulo</x:v>
      </x:c>
      <x:c r="D147" s="28" t="str">
        <x:v>Linha 2 - Montagem</x:v>
      </x:c>
      <x:c r="E147" s="28" t="str">
        <x:v>SKU-002</x:v>
      </x:c>
      <x:c r="F147" s="28" t="str">
        <x:v>Alimentos</x:v>
      </x:c>
      <x:c r="G147" s="30" t="n">
        <x:v>59341.53</x:v>
      </x:c>
      <x:c r="H147" s="30" t="n">
        <x:v>39510.51</x:v>
      </x:c>
      <x:c r="I147" s="30" t="n">
        <x:v>1936.9</x:v>
      </x:c>
      <x:c r="J147" s="30" t="n">
        <x:v>6460.33</x:v>
      </x:c>
      <x:c r="K147" s="30" t="n">
        <x:v>14226.33</x:v>
      </x:c>
      <x:c r="L147" s="30" t="n">
        <x:v>401076</x:v>
      </x:c>
      <x:c r="M147" s="32" t="n">
        <x:v>6420.98</x:v>
      </x:c>
      <x:c r="N147" s="32" t="n">
        <x:v>2362.07</x:v>
      </x:c>
    </x:row>
    <x:row r="148">
      <x:c r="A148" s="34" t="n">
        <x:v>45460</x:v>
      </x:c>
      <x:c r="B148" s="28" t="str">
        <x:v>Grupo Industrial S.A.</x:v>
      </x:c>
      <x:c r="C148" s="28" t="str">
        <x:v>Planta Campinas</x:v>
      </x:c>
      <x:c r="D148" s="28" t="str">
        <x:v>Linha 3 - Extrusão</x:v>
      </x:c>
      <x:c r="E148" s="28" t="str">
        <x:v>SKU-078</x:v>
      </x:c>
      <x:c r="F148" s="28" t="str">
        <x:v>Higiene e Limpeza</x:v>
      </x:c>
      <x:c r="G148" s="30" t="n">
        <x:v>55003.14</x:v>
      </x:c>
      <x:c r="H148" s="30" t="n">
        <x:v>32985.79</x:v>
      </x:c>
      <x:c r="I148" s="30" t="n">
        <x:v>1890.8</x:v>
      </x:c>
      <x:c r="J148" s="30" t="n">
        <x:v>12162.96</x:v>
      </x:c>
      <x:c r="K148" s="30" t="n">
        <x:v>11898.38</x:v>
      </x:c>
      <x:c r="L148" s="30" t="n">
        <x:v>348588</x:v>
      </x:c>
      <x:c r="M148" s="32" t="n">
        <x:v>5778.2</x:v>
      </x:c>
      <x:c r="N148" s="32" t="n">
        <x:v>2305.85</x:v>
      </x:c>
    </x:row>
    <x:row r="149">
      <x:c r="A149" s="34" t="n">
        <x:v>45460</x:v>
      </x:c>
      <x:c r="B149" s="28" t="str">
        <x:v>Grupo Industrial S.A.</x:v>
      </x:c>
      <x:c r="C149" s="28" t="str">
        <x:v>Planta Campinas</x:v>
      </x:c>
      <x:c r="D149" s="28" t="str">
        <x:v>Linha 4 - Embalagem</x:v>
      </x:c>
      <x:c r="E149" s="28" t="str">
        <x:v>SKU-105</x:v>
      </x:c>
      <x:c r="F149" s="28" t="str">
        <x:v>Embalagens</x:v>
      </x:c>
      <x:c r="G149" s="30" t="n">
        <x:v>34467.18</x:v>
      </x:c>
      <x:c r="H149" s="30" t="n">
        <x:v>40577.24</x:v>
      </x:c>
      <x:c r="I149" s="30" t="n">
        <x:v>1464.35</x:v>
      </x:c>
      <x:c r="J149" s="30" t="n">
        <x:v>12219.05</x:v>
      </x:c>
      <x:c r="K149" s="30" t="n">
        <x:v>11898.38</x:v>
      </x:c>
      <x:c r="L149" s="30" t="n">
        <x:v>228800</x:v>
      </x:c>
      <x:c r="M149" s="32" t="n">
        <x:v>3620.85</x:v>
      </x:c>
      <x:c r="N149" s="32" t="n">
        <x:v>1785.79</x:v>
      </x:c>
    </x:row>
    <x:row r="150">
      <x:c r="A150" s="34" t="n">
        <x:v>45460</x:v>
      </x:c>
      <x:c r="B150" s="28" t="str">
        <x:v>Grupo Industrial S.A.</x:v>
      </x:c>
      <x:c r="C150" s="28" t="str">
        <x:v>Planta Curitiba</x:v>
      </x:c>
      <x:c r="D150" s="28" t="str">
        <x:v>Linha 5 - Usinagem</x:v>
      </x:c>
      <x:c r="E150" s="28" t="str">
        <x:v>SKU-223</x:v>
      </x:c>
      <x:c r="F150" s="28" t="str">
        <x:v>Bebidas</x:v>
      </x:c>
      <x:c r="G150" s="30" t="n">
        <x:v>53757.07</x:v>
      </x:c>
      <x:c r="H150" s="30" t="n">
        <x:v>33311.39</x:v>
      </x:c>
      <x:c r="I150" s="30" t="n">
        <x:v>1882.78</x:v>
      </x:c>
      <x:c r="J150" s="30" t="n">
        <x:v>9067.09</x:v>
      </x:c>
      <x:c r="K150" s="30" t="n">
        <x:v>11898.38</x:v>
      </x:c>
      <x:c r="L150" s="30" t="n">
        <x:v>356328</x:v>
      </x:c>
      <x:c r="M150" s="32" t="n">
        <x:v>5816.72</x:v>
      </x:c>
      <x:c r="N150" s="32" t="n">
        <x:v>2296.07</x:v>
      </x:c>
    </x:row>
    <x:row r="151">
      <x:c r="A151" s="34" t="n">
        <x:v>45460</x:v>
      </x:c>
      <x:c r="B151" s="28" t="str">
        <x:v>Grupo Industrial S.A.</x:v>
      </x:c>
      <x:c r="C151" s="28" t="str">
        <x:v>Planta Curitiba</x:v>
      </x:c>
      <x:c r="D151" s="28" t="str">
        <x:v>Linha 6 - Finalização</x:v>
      </x:c>
      <x:c r="E151" s="28" t="str">
        <x:v>SKU-432</x:v>
      </x:c>
      <x:c r="F151" s="28" t="str">
        <x:v>Alimentos</x:v>
      </x:c>
      <x:c r="G151" s="30" t="n">
        <x:v>37284.81</x:v>
      </x:c>
      <x:c r="H151" s="30" t="n">
        <x:v>45305.09</x:v>
      </x:c>
      <x:c r="I151" s="30" t="n">
        <x:v>1371.88</x:v>
      </x:c>
      <x:c r="J151" s="30" t="n">
        <x:v>7609.62</x:v>
      </x:c>
      <x:c r="K151" s="30" t="n">
        <x:v>11898.38</x:v>
      </x:c>
      <x:c r="L151" s="30" t="n">
        <x:v>252700</x:v>
      </x:c>
      <x:c r="M151" s="32" t="n">
        <x:v>4034.36</x:v>
      </x:c>
      <x:c r="N151" s="32" t="n">
        <x:v>1673.02</x:v>
      </x:c>
    </x:row>
    <x:row r="152">
      <x:c r="A152" s="34" t="n">
        <x:v>45467</x:v>
      </x:c>
      <x:c r="B152" s="28" t="str">
        <x:v>Grupo Industrial S.A.</x:v>
      </x:c>
      <x:c r="C152" s="28" t="str">
        <x:v>Planta São Paulo</x:v>
      </x:c>
      <x:c r="D152" s="28" t="str">
        <x:v>Linha 1 - Corte</x:v>
      </x:c>
      <x:c r="E152" s="28" t="str">
        <x:v>SKU-001</x:v>
      </x:c>
      <x:c r="F152" s="28" t="str">
        <x:v>Alimentos</x:v>
      </x:c>
      <x:c r="G152" s="30" t="n">
        <x:v>61406.35</x:v>
      </x:c>
      <x:c r="H152" s="30" t="n">
        <x:v>29382.26</x:v>
      </x:c>
      <x:c r="I152" s="30" t="n">
        <x:v>1900.02</x:v>
      </x:c>
      <x:c r="J152" s="30" t="n">
        <x:v>8428.73</x:v>
      </x:c>
      <x:c r="K152" s="30" t="n">
        <x:v>14226.33</x:v>
      </x:c>
      <x:c r="L152" s="30" t="n">
        <x:v>412344</x:v>
      </x:c>
      <x:c r="M152" s="32" t="n">
        <x:v>6644.4</x:v>
      </x:c>
      <x:c r="N152" s="32" t="n">
        <x:v>2317.09</x:v>
      </x:c>
    </x:row>
    <x:row r="153">
      <x:c r="A153" s="34" t="n">
        <x:v>45467</x:v>
      </x:c>
      <x:c r="B153" s="28" t="str">
        <x:v>Grupo Industrial S.A.</x:v>
      </x:c>
      <x:c r="C153" s="28" t="str">
        <x:v>Planta São Paulo</x:v>
      </x:c>
      <x:c r="D153" s="28" t="str">
        <x:v>Linha 2 - Montagem</x:v>
      </x:c>
      <x:c r="E153" s="28" t="str">
        <x:v>SKU-002</x:v>
      </x:c>
      <x:c r="F153" s="28" t="str">
        <x:v>Alimentos</x:v>
      </x:c>
      <x:c r="G153" s="30" t="n">
        <x:v>61052.95</x:v>
      </x:c>
      <x:c r="H153" s="30" t="n">
        <x:v>38285.85</x:v>
      </x:c>
      <x:c r="I153" s="30" t="n">
        <x:v>1951.98</x:v>
      </x:c>
      <x:c r="J153" s="30" t="n">
        <x:v>7366.77</x:v>
      </x:c>
      <x:c r="K153" s="30" t="n">
        <x:v>14226.33</x:v>
      </x:c>
      <x:c r="L153" s="30" t="n">
        <x:v>412854</x:v>
      </x:c>
      <x:c r="M153" s="32" t="n">
        <x:v>6606.16</x:v>
      </x:c>
      <x:c r="N153" s="32" t="n">
        <x:v>2380.47</x:v>
      </x:c>
    </x:row>
    <x:row r="154">
      <x:c r="A154" s="34" t="n">
        <x:v>45467</x:v>
      </x:c>
      <x:c r="B154" s="28" t="str">
        <x:v>Grupo Industrial S.A.</x:v>
      </x:c>
      <x:c r="C154" s="28" t="str">
        <x:v>Planta Campinas</x:v>
      </x:c>
      <x:c r="D154" s="28" t="str">
        <x:v>Linha 3 - Extrusão</x:v>
      </x:c>
      <x:c r="E154" s="28" t="str">
        <x:v>SKU-078</x:v>
      </x:c>
      <x:c r="F154" s="28" t="str">
        <x:v>Higiene e Limpeza</x:v>
      </x:c>
      <x:c r="G154" s="30" t="n">
        <x:v>52604.68</x:v>
      </x:c>
      <x:c r="H154" s="30" t="n">
        <x:v>32744.9</x:v>
      </x:c>
      <x:c r="I154" s="30" t="n">
        <x:v>1782.26</x:v>
      </x:c>
      <x:c r="J154" s="30" t="n">
        <x:v>12527.38</x:v>
      </x:c>
      <x:c r="K154" s="30" t="n">
        <x:v>11898.38</x:v>
      </x:c>
      <x:c r="L154" s="30" t="n">
        <x:v>340400</x:v>
      </x:c>
      <x:c r="M154" s="32" t="n">
        <x:v>5526.24</x:v>
      </x:c>
      <x:c r="N154" s="32" t="n">
        <x:v>2173.49</x:v>
      </x:c>
    </x:row>
    <x:row r="155">
      <x:c r="A155" s="34" t="n">
        <x:v>45467</x:v>
      </x:c>
      <x:c r="B155" s="28" t="str">
        <x:v>Grupo Industrial S.A.</x:v>
      </x:c>
      <x:c r="C155" s="28" t="str">
        <x:v>Planta Campinas</x:v>
      </x:c>
      <x:c r="D155" s="28" t="str">
        <x:v>Linha 4 - Embalagem</x:v>
      </x:c>
      <x:c r="E155" s="28" t="str">
        <x:v>SKU-105</x:v>
      </x:c>
      <x:c r="F155" s="28" t="str">
        <x:v>Embalagens</x:v>
      </x:c>
      <x:c r="G155" s="30" t="n">
        <x:v>33452.73</x:v>
      </x:c>
      <x:c r="H155" s="30" t="n">
        <x:v>40716.42</x:v>
      </x:c>
      <x:c r="I155" s="30" t="n">
        <x:v>1362.61</x:v>
      </x:c>
      <x:c r="J155" s="30" t="n">
        <x:v>12734.26</x:v>
      </x:c>
      <x:c r="K155" s="30" t="n">
        <x:v>11898.38</x:v>
      </x:c>
      <x:c r="L155" s="30" t="n">
        <x:v>221585</x:v>
      </x:c>
      <x:c r="M155" s="32" t="n">
        <x:v>3514.28</x:v>
      </x:c>
      <x:c r="N155" s="32" t="n">
        <x:v>1661.72</x:v>
      </x:c>
    </x:row>
    <x:row r="156">
      <x:c r="A156" s="34" t="n">
        <x:v>45467</x:v>
      </x:c>
      <x:c r="B156" s="28" t="str">
        <x:v>Grupo Industrial S.A.</x:v>
      </x:c>
      <x:c r="C156" s="28" t="str">
        <x:v>Planta Curitiba</x:v>
      </x:c>
      <x:c r="D156" s="28" t="str">
        <x:v>Linha 5 - Usinagem</x:v>
      </x:c>
      <x:c r="E156" s="28" t="str">
        <x:v>SKU-223</x:v>
      </x:c>
      <x:c r="F156" s="28" t="str">
        <x:v>Bebidas</x:v>
      </x:c>
      <x:c r="G156" s="30" t="n">
        <x:v>53925.11</x:v>
      </x:c>
      <x:c r="H156" s="30" t="n">
        <x:v>34155.16</x:v>
      </x:c>
      <x:c r="I156" s="30" t="n">
        <x:v>1983.34</x:v>
      </x:c>
      <x:c r="J156" s="30" t="n">
        <x:v>7780.4</x:v>
      </x:c>
      <x:c r="K156" s="30" t="n">
        <x:v>11898.38</x:v>
      </x:c>
      <x:c r="L156" s="30" t="n">
        <x:v>366240</x:v>
      </x:c>
      <x:c r="M156" s="32" t="n">
        <x:v>5834.9</x:v>
      </x:c>
      <x:c r="N156" s="32" t="n">
        <x:v>2418.7</x:v>
      </x:c>
    </x:row>
    <x:row r="157">
      <x:c r="A157" s="34" t="n">
        <x:v>45467</x:v>
      </x:c>
      <x:c r="B157" s="28" t="str">
        <x:v>Grupo Industrial S.A.</x:v>
      </x:c>
      <x:c r="C157" s="28" t="str">
        <x:v>Planta Curitiba</x:v>
      </x:c>
      <x:c r="D157" s="28" t="str">
        <x:v>Linha 6 - Finalização</x:v>
      </x:c>
      <x:c r="E157" s="28" t="str">
        <x:v>SKU-432</x:v>
      </x:c>
      <x:c r="F157" s="28" t="str">
        <x:v>Alimentos</x:v>
      </x:c>
      <x:c r="G157" s="30" t="n">
        <x:v>37766.27</x:v>
      </x:c>
      <x:c r="H157" s="30" t="n">
        <x:v>42904.11</x:v>
      </x:c>
      <x:c r="I157" s="30" t="n">
        <x:v>1363.74</x:v>
      </x:c>
      <x:c r="J157" s="30" t="n">
        <x:v>9823.52</x:v>
      </x:c>
      <x:c r="K157" s="30" t="n">
        <x:v>11898.38</x:v>
      </x:c>
      <x:c r="L157" s="30" t="n">
        <x:v>252490</x:v>
      </x:c>
      <x:c r="M157" s="32" t="n">
        <x:v>4086.45</x:v>
      </x:c>
      <x:c r="N157" s="32" t="n">
        <x:v>1663.1</x:v>
      </x:c>
    </x:row>
    <x:row r="158">
      <x:c r="A158" s="34" t="n">
        <x:v>45474</x:v>
      </x:c>
      <x:c r="B158" s="28" t="str">
        <x:v>Grupo Industrial S.A.</x:v>
      </x:c>
      <x:c r="C158" s="28" t="str">
        <x:v>Planta São Paulo</x:v>
      </x:c>
      <x:c r="D158" s="28" t="str">
        <x:v>Linha 1 - Corte</x:v>
      </x:c>
      <x:c r="E158" s="28" t="str">
        <x:v>SKU-001</x:v>
      </x:c>
      <x:c r="F158" s="28" t="str">
        <x:v>Alimentos</x:v>
      </x:c>
      <x:c r="G158" s="30" t="n">
        <x:v>59639.11</x:v>
      </x:c>
      <x:c r="H158" s="30" t="n">
        <x:v>30398.19</x:v>
      </x:c>
      <x:c r="I158" s="30" t="n">
        <x:v>1927.84</x:v>
      </x:c>
      <x:c r="J158" s="30" t="n">
        <x:v>7809.56</x:v>
      </x:c>
      <x:c r="K158" s="30" t="n">
        <x:v>14226.33</x:v>
      </x:c>
      <x:c r="L158" s="30" t="n">
        <x:v>401256</x:v>
      </x:c>
      <x:c r="M158" s="32" t="n">
        <x:v>6447.34</x:v>
      </x:c>
      <x:c r="N158" s="32" t="n">
        <x:v>2351.03</x:v>
      </x:c>
    </x:row>
    <x:row r="159">
      <x:c r="A159" s="34" t="n">
        <x:v>45474</x:v>
      </x:c>
      <x:c r="B159" s="28" t="str">
        <x:v>Grupo Industrial S.A.</x:v>
      </x:c>
      <x:c r="C159" s="28" t="str">
        <x:v>Planta São Paulo</x:v>
      </x:c>
      <x:c r="D159" s="28" t="str">
        <x:v>Linha 2 - Montagem</x:v>
      </x:c>
      <x:c r="E159" s="28" t="str">
        <x:v>SKU-002</x:v>
      </x:c>
      <x:c r="F159" s="28" t="str">
        <x:v>Alimentos</x:v>
      </x:c>
      <x:c r="G159" s="30" t="n">
        <x:v>57697.72</x:v>
      </x:c>
      <x:c r="H159" s="30" t="n">
        <x:v>39788</x:v>
      </x:c>
      <x:c r="I159" s="30" t="n">
        <x:v>1763.46</x:v>
      </x:c>
      <x:c r="J159" s="30" t="n">
        <x:v>5966.32</x:v>
      </x:c>
      <x:c r="K159" s="30" t="n">
        <x:v>14226.33</x:v>
      </x:c>
      <x:c r="L159" s="30" t="n">
        <x:v>389766</x:v>
      </x:c>
      <x:c r="M159" s="32" t="n">
        <x:v>6237.47</x:v>
      </x:c>
      <x:c r="N159" s="32" t="n">
        <x:v>2150.56</x:v>
      </x:c>
    </x:row>
    <x:row r="160">
      <x:c r="A160" s="34" t="n">
        <x:v>45474</x:v>
      </x:c>
      <x:c r="B160" s="28" t="str">
        <x:v>Grupo Industrial S.A.</x:v>
      </x:c>
      <x:c r="C160" s="28" t="str">
        <x:v>Planta Campinas</x:v>
      </x:c>
      <x:c r="D160" s="28" t="str">
        <x:v>Linha 3 - Extrusão</x:v>
      </x:c>
      <x:c r="E160" s="28" t="str">
        <x:v>SKU-078</x:v>
      </x:c>
      <x:c r="F160" s="28" t="str">
        <x:v>Higiene e Limpeza</x:v>
      </x:c>
      <x:c r="G160" s="30" t="n">
        <x:v>53605.68</x:v>
      </x:c>
      <x:c r="H160" s="30" t="n">
        <x:v>34005.33</x:v>
      </x:c>
      <x:c r="I160" s="30" t="n">
        <x:v>1847.63</x:v>
      </x:c>
      <x:c r="J160" s="30" t="n">
        <x:v>11954.23</x:v>
      </x:c>
      <x:c r="K160" s="30" t="n">
        <x:v>11898.38</x:v>
      </x:c>
      <x:c r="L160" s="30" t="n">
        <x:v>349784</x:v>
      </x:c>
      <x:c r="M160" s="32" t="n">
        <x:v>5626.31</x:v>
      </x:c>
      <x:c r="N160" s="32" t="n">
        <x:v>2253.21</x:v>
      </x:c>
    </x:row>
    <x:row r="161">
      <x:c r="A161" s="34" t="n">
        <x:v>45474</x:v>
      </x:c>
      <x:c r="B161" s="28" t="str">
        <x:v>Grupo Industrial S.A.</x:v>
      </x:c>
      <x:c r="C161" s="28" t="str">
        <x:v>Planta Campinas</x:v>
      </x:c>
      <x:c r="D161" s="28" t="str">
        <x:v>Linha 4 - Embalagem</x:v>
      </x:c>
      <x:c r="E161" s="28" t="str">
        <x:v>SKU-105</x:v>
      </x:c>
      <x:c r="F161" s="28" t="str">
        <x:v>Embalagens</x:v>
      </x:c>
      <x:c r="G161" s="30" t="n">
        <x:v>30633.92</x:v>
      </x:c>
      <x:c r="H161" s="30" t="n">
        <x:v>40208.4</x:v>
      </x:c>
      <x:c r="I161" s="30" t="n">
        <x:v>1348.03</x:v>
      </x:c>
      <x:c r="J161" s="30" t="n">
        <x:v>11974.83</x:v>
      </x:c>
      <x:c r="K161" s="30" t="n">
        <x:v>11898.38</x:v>
      </x:c>
      <x:c r="L161" s="30" t="n">
        <x:v>206505</x:v>
      </x:c>
      <x:c r="M161" s="32" t="n">
        <x:v>3215.25</x:v>
      </x:c>
      <x:c r="N161" s="32" t="n">
        <x:v>1643.93</x:v>
      </x:c>
    </x:row>
    <x:row r="162">
      <x:c r="A162" s="34" t="n">
        <x:v>45474</x:v>
      </x:c>
      <x:c r="B162" s="28" t="str">
        <x:v>Grupo Industrial S.A.</x:v>
      </x:c>
      <x:c r="C162" s="28" t="str">
        <x:v>Planta Curitiba</x:v>
      </x:c>
      <x:c r="D162" s="28" t="str">
        <x:v>Linha 5 - Usinagem</x:v>
      </x:c>
      <x:c r="E162" s="28" t="str">
        <x:v>SKU-223</x:v>
      </x:c>
      <x:c r="F162" s="28" t="str">
        <x:v>Bebidas</x:v>
      </x:c>
      <x:c r="G162" s="30" t="n">
        <x:v>48034.24</x:v>
      </x:c>
      <x:c r="H162" s="30" t="n">
        <x:v>33251.58</x:v>
      </x:c>
      <x:c r="I162" s="30" t="n">
        <x:v>1586.4</x:v>
      </x:c>
      <x:c r="J162" s="30" t="n">
        <x:v>8489.84</x:v>
      </x:c>
      <x:c r="K162" s="30" t="n">
        <x:v>11898.38</x:v>
      </x:c>
      <x:c r="L162" s="30" t="n">
        <x:v>312312</x:v>
      </x:c>
      <x:c r="M162" s="32" t="n">
        <x:v>5192.79</x:v>
      </x:c>
      <x:c r="N162" s="32" t="n">
        <x:v>1934.63</x:v>
      </x:c>
    </x:row>
    <x:row r="163">
      <x:c r="A163" s="34" t="n">
        <x:v>45474</x:v>
      </x:c>
      <x:c r="B163" s="28" t="str">
        <x:v>Grupo Industrial S.A.</x:v>
      </x:c>
      <x:c r="C163" s="28" t="str">
        <x:v>Planta Curitiba</x:v>
      </x:c>
      <x:c r="D163" s="28" t="str">
        <x:v>Linha 6 - Finalização</x:v>
      </x:c>
      <x:c r="E163" s="28" t="str">
        <x:v>SKU-432</x:v>
      </x:c>
      <x:c r="F163" s="28" t="str">
        <x:v>Alimentos</x:v>
      </x:c>
      <x:c r="G163" s="30" t="n">
        <x:v>35414.24</x:v>
      </x:c>
      <x:c r="H163" s="30" t="n">
        <x:v>45023.2</x:v>
      </x:c>
      <x:c r="I163" s="30" t="n">
        <x:v>1343.69</x:v>
      </x:c>
      <x:c r="J163" s="30" t="n">
        <x:v>9107.96</x:v>
      </x:c>
      <x:c r="K163" s="30" t="n">
        <x:v>11898.38</x:v>
      </x:c>
      <x:c r="L163" s="30" t="n">
        <x:v>242410</x:v>
      </x:c>
      <x:c r="M163" s="32" t="n">
        <x:v>3828.49</x:v>
      </x:c>
      <x:c r="N163" s="32" t="n">
        <x:v>1638.64</x:v>
      </x:c>
    </x:row>
    <x:row r="164">
      <x:c r="A164" s="34" t="n">
        <x:v>45481</x:v>
      </x:c>
      <x:c r="B164" s="28" t="str">
        <x:v>Grupo Industrial S.A.</x:v>
      </x:c>
      <x:c r="C164" s="28" t="str">
        <x:v>Planta São Paulo</x:v>
      </x:c>
      <x:c r="D164" s="28" t="str">
        <x:v>Linha 1 - Corte</x:v>
      </x:c>
      <x:c r="E164" s="28" t="str">
        <x:v>SKU-001</x:v>
      </x:c>
      <x:c r="F164" s="28" t="str">
        <x:v>Alimentos</x:v>
      </x:c>
      <x:c r="G164" s="30" t="n">
        <x:v>61923.75</x:v>
      </x:c>
      <x:c r="H164" s="30" t="n">
        <x:v>29933.62</x:v>
      </x:c>
      <x:c r="I164" s="30" t="n">
        <x:v>1909.58</x:v>
      </x:c>
      <x:c r="J164" s="30" t="n">
        <x:v>7969.14</x:v>
      </x:c>
      <x:c r="K164" s="30" t="n">
        <x:v>14226.33</x:v>
      </x:c>
      <x:c r="L164" s="30" t="n">
        <x:v>416232</x:v>
      </x:c>
      <x:c r="M164" s="32" t="n">
        <x:v>6694.33</x:v>
      </x:c>
      <x:c r="N164" s="32" t="n">
        <x:v>2328.75</x:v>
      </x:c>
    </x:row>
    <x:row r="165">
      <x:c r="A165" s="34" t="n">
        <x:v>45481</x:v>
      </x:c>
      <x:c r="B165" s="28" t="str">
        <x:v>Grupo Industrial S.A.</x:v>
      </x:c>
      <x:c r="C165" s="28" t="str">
        <x:v>Planta São Paulo</x:v>
      </x:c>
      <x:c r="D165" s="28" t="str">
        <x:v>Linha 2 - Montagem</x:v>
      </x:c>
      <x:c r="E165" s="28" t="str">
        <x:v>SKU-002</x:v>
      </x:c>
      <x:c r="F165" s="28" t="str">
        <x:v>Alimentos</x:v>
      </x:c>
      <x:c r="G165" s="30" t="n">
        <x:v>54335.44</x:v>
      </x:c>
      <x:c r="H165" s="30" t="n">
        <x:v>37977.87</x:v>
      </x:c>
      <x:c r="I165" s="30" t="n">
        <x:v>1761.69</x:v>
      </x:c>
      <x:c r="J165" s="30" t="n">
        <x:v>8172.6</x:v>
      </x:c>
      <x:c r="K165" s="30" t="n">
        <x:v>14226.33</x:v>
      </x:c>
      <x:c r="L165" s="30" t="n">
        <x:v>374244</x:v>
      </x:c>
      <x:c r="M165" s="32" t="n">
        <x:v>5873.99</x:v>
      </x:c>
      <x:c r="N165" s="32" t="n">
        <x:v>2148.41</x:v>
      </x:c>
    </x:row>
    <x:row r="166">
      <x:c r="A166" s="34" t="n">
        <x:v>45481</x:v>
      </x:c>
      <x:c r="B166" s="28" t="str">
        <x:v>Grupo Industrial S.A.</x:v>
      </x:c>
      <x:c r="C166" s="28" t="str">
        <x:v>Planta Campinas</x:v>
      </x:c>
      <x:c r="D166" s="28" t="str">
        <x:v>Linha 3 - Extrusão</x:v>
      </x:c>
      <x:c r="E166" s="28" t="str">
        <x:v>SKU-078</x:v>
      </x:c>
      <x:c r="F166" s="28" t="str">
        <x:v>Higiene e Limpeza</x:v>
      </x:c>
      <x:c r="G166" s="30" t="n">
        <x:v>52514.63</x:v>
      </x:c>
      <x:c r="H166" s="30" t="n">
        <x:v>31875.99</x:v>
      </x:c>
      <x:c r="I166" s="30" t="n">
        <x:v>1792.69</x:v>
      </x:c>
      <x:c r="J166" s="30" t="n">
        <x:v>14061.87</x:v>
      </x:c>
      <x:c r="K166" s="30" t="n">
        <x:v>11898.38</x:v>
      </x:c>
      <x:c r="L166" s="30" t="n">
        <x:v>333408</x:v>
      </x:c>
      <x:c r="M166" s="32" t="n">
        <x:v>5511.79</x:v>
      </x:c>
      <x:c r="N166" s="32" t="n">
        <x:v>2186.21</x:v>
      </x:c>
    </x:row>
    <x:row r="167">
      <x:c r="A167" s="34" t="n">
        <x:v>45481</x:v>
      </x:c>
      <x:c r="B167" s="28" t="str">
        <x:v>Grupo Industrial S.A.</x:v>
      </x:c>
      <x:c r="C167" s="28" t="str">
        <x:v>Planta Campinas</x:v>
      </x:c>
      <x:c r="D167" s="28" t="str">
        <x:v>Linha 4 - Embalagem</x:v>
      </x:c>
      <x:c r="E167" s="28" t="str">
        <x:v>SKU-105</x:v>
      </x:c>
      <x:c r="F167" s="28" t="str">
        <x:v>Embalagens</x:v>
      </x:c>
      <x:c r="G167" s="30" t="n">
        <x:v>31924.07</x:v>
      </x:c>
      <x:c r="H167" s="30" t="n">
        <x:v>40738.29</x:v>
      </x:c>
      <x:c r="I167" s="30" t="n">
        <x:v>1295.19</x:v>
      </x:c>
      <x:c r="J167" s="30" t="n">
        <x:v>11997.59</x:v>
      </x:c>
      <x:c r="K167" s="30" t="n">
        <x:v>11898.38</x:v>
      </x:c>
      <x:c r="L167" s="30" t="n">
        <x:v>211055</x:v>
      </x:c>
      <x:c r="M167" s="32" t="n">
        <x:v>3350.66</x:v>
      </x:c>
      <x:c r="N167" s="32" t="n">
        <x:v>1579.5</x:v>
      </x:c>
    </x:row>
    <x:row r="168">
      <x:c r="A168" s="34" t="n">
        <x:v>45481</x:v>
      </x:c>
      <x:c r="B168" s="28" t="str">
        <x:v>Grupo Industrial S.A.</x:v>
      </x:c>
      <x:c r="C168" s="28" t="str">
        <x:v>Planta Curitiba</x:v>
      </x:c>
      <x:c r="D168" s="28" t="str">
        <x:v>Linha 5 - Usinagem</x:v>
      </x:c>
      <x:c r="E168" s="28" t="str">
        <x:v>SKU-223</x:v>
      </x:c>
      <x:c r="F168" s="28" t="str">
        <x:v>Bebidas</x:v>
      </x:c>
      <x:c r="G168" s="30" t="n">
        <x:v>50625.43</x:v>
      </x:c>
      <x:c r="H168" s="30" t="n">
        <x:v>33374.65</x:v>
      </x:c>
      <x:c r="I168" s="30" t="n">
        <x:v>1799.4</x:v>
      </x:c>
      <x:c r="J168" s="30" t="n">
        <x:v>8034.38</x:v>
      </x:c>
      <x:c r="K168" s="30" t="n">
        <x:v>11898.38</x:v>
      </x:c>
      <x:c r="L168" s="30" t="n">
        <x:v>334908</x:v>
      </x:c>
      <x:c r="M168" s="32" t="n">
        <x:v>5472.91</x:v>
      </x:c>
      <x:c r="N168" s="32" t="n">
        <x:v>2194.39</x:v>
      </x:c>
    </x:row>
    <x:row r="169">
      <x:c r="A169" s="34" t="n">
        <x:v>45481</x:v>
      </x:c>
      <x:c r="B169" s="28" t="str">
        <x:v>Grupo Industrial S.A.</x:v>
      </x:c>
      <x:c r="C169" s="28" t="str">
        <x:v>Planta Curitiba</x:v>
      </x:c>
      <x:c r="D169" s="28" t="str">
        <x:v>Linha 6 - Finalização</x:v>
      </x:c>
      <x:c r="E169" s="28" t="str">
        <x:v>SKU-432</x:v>
      </x:c>
      <x:c r="F169" s="28" t="str">
        <x:v>Alimentos</x:v>
      </x:c>
      <x:c r="G169" s="30" t="n">
        <x:v>36613.25</x:v>
      </x:c>
      <x:c r="H169" s="30" t="n">
        <x:v>43908.02</x:v>
      </x:c>
      <x:c r="I169" s="30" t="n">
        <x:v>1360.67</x:v>
      </x:c>
      <x:c r="J169" s="30" t="n">
        <x:v>9233.17</x:v>
      </x:c>
      <x:c r="K169" s="30" t="n">
        <x:v>11898.38</x:v>
      </x:c>
      <x:c r="L169" s="30" t="n">
        <x:v>250810</x:v>
      </x:c>
      <x:c r="M169" s="32" t="n">
        <x:v>3958.11</x:v>
      </x:c>
      <x:c r="N169" s="32" t="n">
        <x:v>1659.35</x:v>
      </x:c>
    </x:row>
    <x:row r="170">
      <x:c r="A170" s="34" t="n">
        <x:v>45488</x:v>
      </x:c>
      <x:c r="B170" s="28" t="str">
        <x:v>Grupo Industrial S.A.</x:v>
      </x:c>
      <x:c r="C170" s="28" t="str">
        <x:v>Planta São Paulo</x:v>
      </x:c>
      <x:c r="D170" s="28" t="str">
        <x:v>Linha 1 - Corte</x:v>
      </x:c>
      <x:c r="E170" s="28" t="str">
        <x:v>SKU-001</x:v>
      </x:c>
      <x:c r="F170" s="28" t="str">
        <x:v>Alimentos</x:v>
      </x:c>
      <x:c r="G170" s="30" t="n">
        <x:v>62426.48</x:v>
      </x:c>
      <x:c r="H170" s="30" t="n">
        <x:v>30075.1</x:v>
      </x:c>
      <x:c r="I170" s="30" t="n">
        <x:v>1889.35</x:v>
      </x:c>
      <x:c r="J170" s="30" t="n">
        <x:v>8038.88</x:v>
      </x:c>
      <x:c r="K170" s="30" t="n">
        <x:v>14226.33</x:v>
      </x:c>
      <x:c r="L170" s="30" t="n">
        <x:v>420264</x:v>
      </x:c>
      <x:c r="M170" s="32" t="n">
        <x:v>6748.68</x:v>
      </x:c>
      <x:c r="N170" s="32" t="n">
        <x:v>2304.08</x:v>
      </x:c>
    </x:row>
    <x:row r="171">
      <x:c r="A171" s="34" t="n">
        <x:v>45488</x:v>
      </x:c>
      <x:c r="B171" s="28" t="str">
        <x:v>Grupo Industrial S.A.</x:v>
      </x:c>
      <x:c r="C171" s="28" t="str">
        <x:v>Planta São Paulo</x:v>
      </x:c>
      <x:c r="D171" s="28" t="str">
        <x:v>Linha 2 - Montagem</x:v>
      </x:c>
      <x:c r="E171" s="28" t="str">
        <x:v>SKU-002</x:v>
      </x:c>
      <x:c r="F171" s="28" t="str">
        <x:v>Alimentos</x:v>
      </x:c>
      <x:c r="G171" s="30" t="n">
        <x:v>55041.95</x:v>
      </x:c>
      <x:c r="H171" s="30" t="n">
        <x:v>38794.31</x:v>
      </x:c>
      <x:c r="I171" s="30" t="n">
        <x:v>1758.71</x:v>
      </x:c>
      <x:c r="J171" s="30" t="n">
        <x:v>5811.74</x:v>
      </x:c>
      <x:c r="K171" s="30" t="n">
        <x:v>14226.33</x:v>
      </x:c>
      <x:c r="L171" s="30" t="n">
        <x:v>377442</x:v>
      </x:c>
      <x:c r="M171" s="32" t="n">
        <x:v>5950.36</x:v>
      </x:c>
      <x:c r="N171" s="32" t="n">
        <x:v>2144.77</x:v>
      </x:c>
    </x:row>
    <x:row r="172">
      <x:c r="A172" s="34" t="n">
        <x:v>45488</x:v>
      </x:c>
      <x:c r="B172" s="28" t="str">
        <x:v>Grupo Industrial S.A.</x:v>
      </x:c>
      <x:c r="C172" s="28" t="str">
        <x:v>Planta Campinas</x:v>
      </x:c>
      <x:c r="D172" s="28" t="str">
        <x:v>Linha 3 - Extrusão</x:v>
      </x:c>
      <x:c r="E172" s="28" t="str">
        <x:v>SKU-078</x:v>
      </x:c>
      <x:c r="F172" s="28" t="str">
        <x:v>Higiene e Limpeza</x:v>
      </x:c>
      <x:c r="G172" s="30" t="n">
        <x:v>52570.19</x:v>
      </x:c>
      <x:c r="H172" s="30" t="n">
        <x:v>33302.59</x:v>
      </x:c>
      <x:c r="I172" s="30" t="n">
        <x:v>1696.41</x:v>
      </x:c>
      <x:c r="J172" s="30" t="n">
        <x:v>12238.29</x:v>
      </x:c>
      <x:c r="K172" s="30" t="n">
        <x:v>11898.38</x:v>
      </x:c>
      <x:c r="L172" s="30" t="n">
        <x:v>333408</x:v>
      </x:c>
      <x:c r="M172" s="32" t="n">
        <x:v>5517.62</x:v>
      </x:c>
      <x:c r="N172" s="32" t="n">
        <x:v>2068.8</x:v>
      </x:c>
    </x:row>
    <x:row r="173">
      <x:c r="A173" s="34" t="n">
        <x:v>45488</x:v>
      </x:c>
      <x:c r="B173" s="28" t="str">
        <x:v>Grupo Industrial S.A.</x:v>
      </x:c>
      <x:c r="C173" s="28" t="str">
        <x:v>Planta Campinas</x:v>
      </x:c>
      <x:c r="D173" s="28" t="str">
        <x:v>Linha 4 - Embalagem</x:v>
      </x:c>
      <x:c r="E173" s="28" t="str">
        <x:v>SKU-105</x:v>
      </x:c>
      <x:c r="F173" s="28" t="str">
        <x:v>Embalagens</x:v>
      </x:c>
      <x:c r="G173" s="30" t="n">
        <x:v>32437.66</x:v>
      </x:c>
      <x:c r="H173" s="30" t="n">
        <x:v>40520.53</x:v>
      </x:c>
      <x:c r="I173" s="30" t="n">
        <x:v>1300.49</x:v>
      </x:c>
      <x:c r="J173" s="30" t="n">
        <x:v>12436.06</x:v>
      </x:c>
      <x:c r="K173" s="30" t="n">
        <x:v>11898.38</x:v>
      </x:c>
      <x:c r="L173" s="30" t="n">
        <x:v>215410</x:v>
      </x:c>
      <x:c r="M173" s="32" t="n">
        <x:v>3404.57</x:v>
      </x:c>
      <x:c r="N173" s="32" t="n">
        <x:v>1585.96</x:v>
      </x:c>
    </x:row>
    <x:row r="174">
      <x:c r="A174" s="34" t="n">
        <x:v>45488</x:v>
      </x:c>
      <x:c r="B174" s="28" t="str">
        <x:v>Grupo Industrial S.A.</x:v>
      </x:c>
      <x:c r="C174" s="28" t="str">
        <x:v>Planta Curitiba</x:v>
      </x:c>
      <x:c r="D174" s="28" t="str">
        <x:v>Linha 5 - Usinagem</x:v>
      </x:c>
      <x:c r="E174" s="28" t="str">
        <x:v>SKU-223</x:v>
      </x:c>
      <x:c r="F174" s="28" t="str">
        <x:v>Bebidas</x:v>
      </x:c>
      <x:c r="G174" s="30" t="n">
        <x:v>50322.9</x:v>
      </x:c>
      <x:c r="H174" s="30" t="n">
        <x:v>33903.73</x:v>
      </x:c>
      <x:c r="I174" s="30" t="n">
        <x:v>1737.23</x:v>
      </x:c>
      <x:c r="J174" s="30" t="n">
        <x:v>8733.16</x:v>
      </x:c>
      <x:c r="K174" s="30" t="n">
        <x:v>11898.38</x:v>
      </x:c>
      <x:c r="L174" s="30" t="n">
        <x:v>335244</x:v>
      </x:c>
      <x:c r="M174" s="32" t="n">
        <x:v>5440.21</x:v>
      </x:c>
      <x:c r="N174" s="32" t="n">
        <x:v>2118.57</x:v>
      </x:c>
    </x:row>
    <x:row r="175">
      <x:c r="A175" s="34" t="n">
        <x:v>45488</x:v>
      </x:c>
      <x:c r="B175" s="28" t="str">
        <x:v>Grupo Industrial S.A.</x:v>
      </x:c>
      <x:c r="C175" s="28" t="str">
        <x:v>Planta Curitiba</x:v>
      </x:c>
      <x:c r="D175" s="28" t="str">
        <x:v>Linha 6 - Finalização</x:v>
      </x:c>
      <x:c r="E175" s="28" t="str">
        <x:v>SKU-432</x:v>
      </x:c>
      <x:c r="F175" s="28" t="str">
        <x:v>Alimentos</x:v>
      </x:c>
      <x:c r="G175" s="30" t="n">
        <x:v>35404.85</x:v>
      </x:c>
      <x:c r="H175" s="30" t="n">
        <x:v>43766.77</x:v>
      </x:c>
      <x:c r="I175" s="30" t="n">
        <x:v>1329.39</x:v>
      </x:c>
      <x:c r="J175" s="30" t="n">
        <x:v>10107.88</x:v>
      </x:c>
      <x:c r="K175" s="30" t="n">
        <x:v>11898.38</x:v>
      </x:c>
      <x:c r="L175" s="30" t="n">
        <x:v>242760</x:v>
      </x:c>
      <x:c r="M175" s="32" t="n">
        <x:v>3827.48</x:v>
      </x:c>
      <x:c r="N175" s="32" t="n">
        <x:v>1621.21</x:v>
      </x:c>
    </x:row>
    <x:row r="176">
      <x:c r="A176" s="34" t="n">
        <x:v>45495</x:v>
      </x:c>
      <x:c r="B176" s="28" t="str">
        <x:v>Grupo Industrial S.A.</x:v>
      </x:c>
      <x:c r="C176" s="28" t="str">
        <x:v>Planta São Paulo</x:v>
      </x:c>
      <x:c r="D176" s="28" t="str">
        <x:v>Linha 1 - Corte</x:v>
      </x:c>
      <x:c r="E176" s="28" t="str">
        <x:v>SKU-001</x:v>
      </x:c>
      <x:c r="F176" s="28" t="str">
        <x:v>Alimentos</x:v>
      </x:c>
      <x:c r="G176" s="30" t="n">
        <x:v>55512.29</x:v>
      </x:c>
      <x:c r="H176" s="30" t="n">
        <x:v>31084.52</x:v>
      </x:c>
      <x:c r="I176" s="30" t="n">
        <x:v>1798.69</x:v>
      </x:c>
      <x:c r="J176" s="30" t="n">
        <x:v>5902.55</x:v>
      </x:c>
      <x:c r="K176" s="30" t="n">
        <x:v>14226.33</x:v>
      </x:c>
      <x:c r="L176" s="30" t="n">
        <x:v>376344</x:v>
      </x:c>
      <x:c r="M176" s="32" t="n">
        <x:v>6001.21</x:v>
      </x:c>
      <x:c r="N176" s="32" t="n">
        <x:v>2193.53</x:v>
      </x:c>
    </x:row>
    <x:row r="177">
      <x:c r="A177" s="34" t="n">
        <x:v>45495</x:v>
      </x:c>
      <x:c r="B177" s="28" t="str">
        <x:v>Grupo Industrial S.A.</x:v>
      </x:c>
      <x:c r="C177" s="28" t="str">
        <x:v>Planta São Paulo</x:v>
      </x:c>
      <x:c r="D177" s="28" t="str">
        <x:v>Linha 2 - Montagem</x:v>
      </x:c>
      <x:c r="E177" s="28" t="str">
        <x:v>SKU-002</x:v>
      </x:c>
      <x:c r="F177" s="28" t="str">
        <x:v>Alimentos</x:v>
      </x:c>
      <x:c r="G177" s="30" t="n">
        <x:v>54696</x:v>
      </x:c>
      <x:c r="H177" s="30" t="n">
        <x:v>37264.08</x:v>
      </x:c>
      <x:c r="I177" s="30" t="n">
        <x:v>1788.06</x:v>
      </x:c>
      <x:c r="J177" s="30" t="n">
        <x:v>7829.73</x:v>
      </x:c>
      <x:c r="K177" s="30" t="n">
        <x:v>14226.33</x:v>
      </x:c>
      <x:c r="L177" s="30" t="n">
        <x:v>372450</x:v>
      </x:c>
      <x:c r="M177" s="32" t="n">
        <x:v>5912.97</x:v>
      </x:c>
      <x:c r="N177" s="32" t="n">
        <x:v>2180.56</x:v>
      </x:c>
    </x:row>
    <x:row r="178">
      <x:c r="A178" s="34" t="n">
        <x:v>45495</x:v>
      </x:c>
      <x:c r="B178" s="28" t="str">
        <x:v>Grupo Industrial S.A.</x:v>
      </x:c>
      <x:c r="C178" s="28" t="str">
        <x:v>Planta Campinas</x:v>
      </x:c>
      <x:c r="D178" s="28" t="str">
        <x:v>Linha 3 - Extrusão</x:v>
      </x:c>
      <x:c r="E178" s="28" t="str">
        <x:v>SKU-078</x:v>
      </x:c>
      <x:c r="F178" s="28" t="str">
        <x:v>Higiene e Limpeza</x:v>
      </x:c>
      <x:c r="G178" s="30" t="n">
        <x:v>56021.79</x:v>
      </x:c>
      <x:c r="H178" s="30" t="n">
        <x:v>33118.85</x:v>
      </x:c>
      <x:c r="I178" s="30" t="n">
        <x:v>2000.71</x:v>
      </x:c>
      <x:c r="J178" s="30" t="n">
        <x:v>13115.9</x:v>
      </x:c>
      <x:c r="K178" s="30" t="n">
        <x:v>11898.38</x:v>
      </x:c>
      <x:c r="L178" s="30" t="n">
        <x:v>363308</x:v>
      </x:c>
      <x:c r="M178" s="32" t="n">
        <x:v>5879.89</x:v>
      </x:c>
      <x:c r="N178" s="32" t="n">
        <x:v>2439.89</x:v>
      </x:c>
    </x:row>
    <x:row r="179">
      <x:c r="A179" s="34" t="n">
        <x:v>45495</x:v>
      </x:c>
      <x:c r="B179" s="28" t="str">
        <x:v>Grupo Industrial S.A.</x:v>
      </x:c>
      <x:c r="C179" s="28" t="str">
        <x:v>Planta Campinas</x:v>
      </x:c>
      <x:c r="D179" s="28" t="str">
        <x:v>Linha 4 - Embalagem</x:v>
      </x:c>
      <x:c r="E179" s="28" t="str">
        <x:v>SKU-105</x:v>
      </x:c>
      <x:c r="F179" s="28" t="str">
        <x:v>Embalagens</x:v>
      </x:c>
      <x:c r="G179" s="30" t="n">
        <x:v>33353.68</x:v>
      </x:c>
      <x:c r="H179" s="30" t="n">
        <x:v>39129.64</x:v>
      </x:c>
      <x:c r="I179" s="30" t="n">
        <x:v>1459.68</x:v>
      </x:c>
      <x:c r="J179" s="30" t="n">
        <x:v>14883.38</x:v>
      </x:c>
      <x:c r="K179" s="30" t="n">
        <x:v>11898.38</x:v>
      </x:c>
      <x:c r="L179" s="30" t="n">
        <x:v>220545</x:v>
      </x:c>
      <x:c r="M179" s="32" t="n">
        <x:v>3500.71</x:v>
      </x:c>
      <x:c r="N179" s="32" t="n">
        <x:v>1780.1</x:v>
      </x:c>
    </x:row>
    <x:row r="180">
      <x:c r="A180" s="34" t="n">
        <x:v>45495</x:v>
      </x:c>
      <x:c r="B180" s="28" t="str">
        <x:v>Grupo Industrial S.A.</x:v>
      </x:c>
      <x:c r="C180" s="28" t="str">
        <x:v>Planta Curitiba</x:v>
      </x:c>
      <x:c r="D180" s="28" t="str">
        <x:v>Linha 5 - Usinagem</x:v>
      </x:c>
      <x:c r="E180" s="28" t="str">
        <x:v>SKU-223</x:v>
      </x:c>
      <x:c r="F180" s="28" t="str">
        <x:v>Bebidas</x:v>
      </x:c>
      <x:c r="G180" s="30" t="n">
        <x:v>50909.78</x:v>
      </x:c>
      <x:c r="H180" s="30" t="n">
        <x:v>33117.22</x:v>
      </x:c>
      <x:c r="I180" s="30" t="n">
        <x:v>1755.26</x:v>
      </x:c>
      <x:c r="J180" s="30" t="n">
        <x:v>9432.34</x:v>
      </x:c>
      <x:c r="K180" s="30" t="n">
        <x:v>11898.38</x:v>
      </x:c>
      <x:c r="L180" s="30" t="n">
        <x:v>341208</x:v>
      </x:c>
      <x:c r="M180" s="32" t="n">
        <x:v>5503.65</x:v>
      </x:c>
      <x:c r="N180" s="32" t="n">
        <x:v>2140.57</x:v>
      </x:c>
    </x:row>
    <x:row r="181">
      <x:c r="A181" s="34" t="n">
        <x:v>45495</x:v>
      </x:c>
      <x:c r="B181" s="28" t="str">
        <x:v>Grupo Industrial S.A.</x:v>
      </x:c>
      <x:c r="C181" s="28" t="str">
        <x:v>Planta Curitiba</x:v>
      </x:c>
      <x:c r="D181" s="28" t="str">
        <x:v>Linha 6 - Finalização</x:v>
      </x:c>
      <x:c r="E181" s="28" t="str">
        <x:v>SKU-432</x:v>
      </x:c>
      <x:c r="F181" s="28" t="str">
        <x:v>Alimentos</x:v>
      </x:c>
      <x:c r="G181" s="30" t="n">
        <x:v>33853.24</x:v>
      </x:c>
      <x:c r="H181" s="30" t="n">
        <x:v>44712.4</x:v>
      </x:c>
      <x:c r="I181" s="30" t="n">
        <x:v>1290.96</x:v>
      </x:c>
      <x:c r="J181" s="30" t="n">
        <x:v>7977.75</x:v>
      </x:c>
      <x:c r="K181" s="30" t="n">
        <x:v>11898.38</x:v>
      </x:c>
      <x:c r="L181" s="30" t="n">
        <x:v>233940</x:v>
      </x:c>
      <x:c r="M181" s="32" t="n">
        <x:v>3659.74</x:v>
      </x:c>
      <x:c r="N181" s="32" t="n">
        <x:v>1574.34</x:v>
      </x:c>
    </x:row>
    <x:row r="182">
      <x:c r="A182" s="34" t="n">
        <x:v>45502</x:v>
      </x:c>
      <x:c r="B182" s="28" t="str">
        <x:v>Grupo Industrial S.A.</x:v>
      </x:c>
      <x:c r="C182" s="28" t="str">
        <x:v>Planta São Paulo</x:v>
      </x:c>
      <x:c r="D182" s="28" t="str">
        <x:v>Linha 1 - Corte</x:v>
      </x:c>
      <x:c r="E182" s="28" t="str">
        <x:v>SKU-001</x:v>
      </x:c>
      <x:c r="F182" s="28" t="str">
        <x:v>Alimentos</x:v>
      </x:c>
      <x:c r="G182" s="30" t="n">
        <x:v>57112.34</x:v>
      </x:c>
      <x:c r="H182" s="30" t="n">
        <x:v>30522.98</x:v>
      </x:c>
      <x:c r="I182" s="30" t="n">
        <x:v>1684.98</x:v>
      </x:c>
      <x:c r="J182" s="30" t="n">
        <x:v>7117.71</x:v>
      </x:c>
      <x:c r="K182" s="30" t="n">
        <x:v>14226.33</x:v>
      </x:c>
      <x:c r="L182" s="30" t="n">
        <x:v>385488</x:v>
      </x:c>
      <x:c r="M182" s="32" t="n">
        <x:v>6174.19</x:v>
      </x:c>
      <x:c r="N182" s="32" t="n">
        <x:v>2054.85</x:v>
      </x:c>
    </x:row>
    <x:row r="183">
      <x:c r="A183" s="34" t="n">
        <x:v>45502</x:v>
      </x:c>
      <x:c r="B183" s="28" t="str">
        <x:v>Grupo Industrial S.A.</x:v>
      </x:c>
      <x:c r="C183" s="28" t="str">
        <x:v>Planta São Paulo</x:v>
      </x:c>
      <x:c r="D183" s="28" t="str">
        <x:v>Linha 2 - Montagem</x:v>
      </x:c>
      <x:c r="E183" s="28" t="str">
        <x:v>SKU-002</x:v>
      </x:c>
      <x:c r="F183" s="28" t="str">
        <x:v>Alimentos</x:v>
      </x:c>
      <x:c r="G183" s="30" t="n">
        <x:v>57562.41</x:v>
      </x:c>
      <x:c r="H183" s="30" t="n">
        <x:v>38096.65</x:v>
      </x:c>
      <x:c r="I183" s="30" t="n">
        <x:v>1804.72</x:v>
      </x:c>
      <x:c r="J183" s="30" t="n">
        <x:v>7959.63</x:v>
      </x:c>
      <x:c r="K183" s="30" t="n">
        <x:v>14226.33</x:v>
      </x:c>
      <x:c r="L183" s="30" t="n">
        <x:v>388674</x:v>
      </x:c>
      <x:c r="M183" s="32" t="n">
        <x:v>6222.84</x:v>
      </x:c>
      <x:c r="N183" s="32" t="n">
        <x:v>2200.87</x:v>
      </x:c>
    </x:row>
    <x:row r="184">
      <x:c r="A184" s="34" t="n">
        <x:v>45502</x:v>
      </x:c>
      <x:c r="B184" s="28" t="str">
        <x:v>Grupo Industrial S.A.</x:v>
      </x:c>
      <x:c r="C184" s="28" t="str">
        <x:v>Planta Campinas</x:v>
      </x:c>
      <x:c r="D184" s="28" t="str">
        <x:v>Linha 3 - Extrusão</x:v>
      </x:c>
      <x:c r="E184" s="28" t="str">
        <x:v>SKU-078</x:v>
      </x:c>
      <x:c r="F184" s="28" t="str">
        <x:v>Higiene e Limpeza</x:v>
      </x:c>
      <x:c r="G184" s="30" t="n">
        <x:v>52303</x:v>
      </x:c>
      <x:c r="H184" s="30" t="n">
        <x:v>33017.44</x:v>
      </x:c>
      <x:c r="I184" s="30" t="n">
        <x:v>1747.31</x:v>
      </x:c>
      <x:c r="J184" s="30" t="n">
        <x:v>13037.56</x:v>
      </x:c>
      <x:c r="K184" s="30" t="n">
        <x:v>11898.38</x:v>
      </x:c>
      <x:c r="L184" s="30" t="n">
        <x:v>331384</x:v>
      </x:c>
      <x:c r="M184" s="32" t="n">
        <x:v>5489.58</x:v>
      </x:c>
      <x:c r="N184" s="32" t="n">
        <x:v>2130.86</x:v>
      </x:c>
    </x:row>
    <x:row r="185">
      <x:c r="A185" s="34" t="n">
        <x:v>45502</x:v>
      </x:c>
      <x:c r="B185" s="28" t="str">
        <x:v>Grupo Industrial S.A.</x:v>
      </x:c>
      <x:c r="C185" s="28" t="str">
        <x:v>Planta Campinas</x:v>
      </x:c>
      <x:c r="D185" s="28" t="str">
        <x:v>Linha 4 - Embalagem</x:v>
      </x:c>
      <x:c r="E185" s="28" t="str">
        <x:v>SKU-105</x:v>
      </x:c>
      <x:c r="F185" s="28" t="str">
        <x:v>Embalagens</x:v>
      </x:c>
      <x:c r="G185" s="30" t="n">
        <x:v>31148.5</x:v>
      </x:c>
      <x:c r="H185" s="30" t="n">
        <x:v>38581.43</x:v>
      </x:c>
      <x:c r="I185" s="30" t="n">
        <x:v>1301.72</x:v>
      </x:c>
      <x:c r="J185" s="30" t="n">
        <x:v>14823.94</x:v>
      </x:c>
      <x:c r="K185" s="30" t="n">
        <x:v>11898.38</x:v>
      </x:c>
      <x:c r="L185" s="30" t="n">
        <x:v>209105</x:v>
      </x:c>
      <x:c r="M185" s="32" t="n">
        <x:v>3269.26</x:v>
      </x:c>
      <x:c r="N185" s="32" t="n">
        <x:v>1587.46</x:v>
      </x:c>
    </x:row>
    <x:row r="186">
      <x:c r="A186" s="34" t="n">
        <x:v>45502</x:v>
      </x:c>
      <x:c r="B186" s="28" t="str">
        <x:v>Grupo Industrial S.A.</x:v>
      </x:c>
      <x:c r="C186" s="28" t="str">
        <x:v>Planta Curitiba</x:v>
      </x:c>
      <x:c r="D186" s="28" t="str">
        <x:v>Linha 5 - Usinagem</x:v>
      </x:c>
      <x:c r="E186" s="28" t="str">
        <x:v>SKU-223</x:v>
      </x:c>
      <x:c r="F186" s="28" t="str">
        <x:v>Bebidas</x:v>
      </x:c>
      <x:c r="G186" s="30" t="n">
        <x:v>49577.32</x:v>
      </x:c>
      <x:c r="H186" s="30" t="n">
        <x:v>33576.11</x:v>
      </x:c>
      <x:c r="I186" s="30" t="n">
        <x:v>1794.83</x:v>
      </x:c>
      <x:c r="J186" s="30" t="n">
        <x:v>8351.65</x:v>
      </x:c>
      <x:c r="K186" s="30" t="n">
        <x:v>11898.38</x:v>
      </x:c>
      <x:c r="L186" s="30" t="n">
        <x:v>333228</x:v>
      </x:c>
      <x:c r="M186" s="32" t="n">
        <x:v>5359.6</x:v>
      </x:c>
      <x:c r="N186" s="32" t="n">
        <x:v>2188.81</x:v>
      </x:c>
    </x:row>
    <x:row r="187">
      <x:c r="A187" s="34" t="n">
        <x:v>45502</x:v>
      </x:c>
      <x:c r="B187" s="28" t="str">
        <x:v>Grupo Industrial S.A.</x:v>
      </x:c>
      <x:c r="C187" s="28" t="str">
        <x:v>Planta Curitiba</x:v>
      </x:c>
      <x:c r="D187" s="28" t="str">
        <x:v>Linha 6 - Finalização</x:v>
      </x:c>
      <x:c r="E187" s="28" t="str">
        <x:v>SKU-432</x:v>
      </x:c>
      <x:c r="F187" s="28" t="str">
        <x:v>Alimentos</x:v>
      </x:c>
      <x:c r="G187" s="30" t="n">
        <x:v>36987.38</x:v>
      </x:c>
      <x:c r="H187" s="30" t="n">
        <x:v>44220.97</x:v>
      </x:c>
      <x:c r="I187" s="30" t="n">
        <x:v>1406.62</x:v>
      </x:c>
      <x:c r="J187" s="30" t="n">
        <x:v>8478.91</x:v>
      </x:c>
      <x:c r="K187" s="30" t="n">
        <x:v>11898.38</x:v>
      </x:c>
      <x:c r="L187" s="30" t="n">
        <x:v>249410</x:v>
      </x:c>
      <x:c r="M187" s="32" t="n">
        <x:v>3998.56</x:v>
      </x:c>
      <x:c r="N187" s="32" t="n">
        <x:v>1715.39</x:v>
      </x:c>
    </x:row>
    <x:row r="188">
      <x:c r="A188" s="34" t="n">
        <x:v>45509</x:v>
      </x:c>
      <x:c r="B188" s="28" t="str">
        <x:v>Grupo Industrial S.A.</x:v>
      </x:c>
      <x:c r="C188" s="28" t="str">
        <x:v>Planta São Paulo</x:v>
      </x:c>
      <x:c r="D188" s="28" t="str">
        <x:v>Linha 1 - Corte</x:v>
      </x:c>
      <x:c r="E188" s="28" t="str">
        <x:v>SKU-001</x:v>
      </x:c>
      <x:c r="F188" s="28" t="str">
        <x:v>Alimentos</x:v>
      </x:c>
      <x:c r="G188" s="30" t="n">
        <x:v>60378.18</x:v>
      </x:c>
      <x:c r="H188" s="30" t="n">
        <x:v>32075.42</x:v>
      </x:c>
      <x:c r="I188" s="30" t="n">
        <x:v>1921.64</x:v>
      </x:c>
      <x:c r="J188" s="30" t="n">
        <x:v>5882.67</x:v>
      </x:c>
      <x:c r="K188" s="30" t="n">
        <x:v>14226.33</x:v>
      </x:c>
      <x:c r="L188" s="30" t="n">
        <x:v>404064</x:v>
      </x:c>
      <x:c r="M188" s="32" t="n">
        <x:v>6521.35</x:v>
      </x:c>
      <x:c r="N188" s="32" t="n">
        <x:v>2343.46</x:v>
      </x:c>
    </x:row>
    <x:row r="189">
      <x:c r="A189" s="34" t="n">
        <x:v>45509</x:v>
      </x:c>
      <x:c r="B189" s="28" t="str">
        <x:v>Grupo Industrial S.A.</x:v>
      </x:c>
      <x:c r="C189" s="28" t="str">
        <x:v>Planta São Paulo</x:v>
      </x:c>
      <x:c r="D189" s="28" t="str">
        <x:v>Linha 2 - Montagem</x:v>
      </x:c>
      <x:c r="E189" s="28" t="str">
        <x:v>SKU-002</x:v>
      </x:c>
      <x:c r="F189" s="28" t="str">
        <x:v>Alimentos</x:v>
      </x:c>
      <x:c r="G189" s="30" t="n">
        <x:v>58762.12</x:v>
      </x:c>
      <x:c r="H189" s="30" t="n">
        <x:v>38871.44</x:v>
      </x:c>
      <x:c r="I189" s="30" t="n">
        <x:v>1832.3</x:v>
      </x:c>
      <x:c r="J189" s="30" t="n">
        <x:v>6496.76</x:v>
      </x:c>
      <x:c r="K189" s="30" t="n">
        <x:v>14226.33</x:v>
      </x:c>
      <x:c r="L189" s="30" t="n">
        <x:v>388596</x:v>
      </x:c>
      <x:c r="M189" s="32" t="n">
        <x:v>6346.8</x:v>
      </x:c>
      <x:c r="N189" s="32" t="n">
        <x:v>2234.51</x:v>
      </x:c>
    </x:row>
    <x:row r="190">
      <x:c r="A190" s="34" t="n">
        <x:v>45509</x:v>
      </x:c>
      <x:c r="B190" s="28" t="str">
        <x:v>Grupo Industrial S.A.</x:v>
      </x:c>
      <x:c r="C190" s="28" t="str">
        <x:v>Planta Campinas</x:v>
      </x:c>
      <x:c r="D190" s="28" t="str">
        <x:v>Linha 3 - Extrusão</x:v>
      </x:c>
      <x:c r="E190" s="28" t="str">
        <x:v>SKU-078</x:v>
      </x:c>
      <x:c r="F190" s="28" t="str">
        <x:v>Higiene e Limpeza</x:v>
      </x:c>
      <x:c r="G190" s="30" t="n">
        <x:v>56611.68</x:v>
      </x:c>
      <x:c r="H190" s="30" t="n">
        <x:v>32749.5</x:v>
      </x:c>
      <x:c r="I190" s="30" t="n">
        <x:v>1989.51</x:v>
      </x:c>
      <x:c r="J190" s="30" t="n">
        <x:v>12803.41</x:v>
      </x:c>
      <x:c r="K190" s="30" t="n">
        <x:v>11898.38</x:v>
      </x:c>
      <x:c r="L190" s="30" t="n">
        <x:v>360088</x:v>
      </x:c>
      <x:c r="M190" s="32" t="n">
        <x:v>5936.44</x:v>
      </x:c>
      <x:c r="N190" s="32" t="n">
        <x:v>2426.23</x:v>
      </x:c>
    </x:row>
    <x:row r="191">
      <x:c r="A191" s="34" t="n">
        <x:v>45509</x:v>
      </x:c>
      <x:c r="B191" s="28" t="str">
        <x:v>Grupo Industrial S.A.</x:v>
      </x:c>
      <x:c r="C191" s="28" t="str">
        <x:v>Planta Campinas</x:v>
      </x:c>
      <x:c r="D191" s="28" t="str">
        <x:v>Linha 4 - Embalagem</x:v>
      </x:c>
      <x:c r="E191" s="28" t="str">
        <x:v>SKU-105</x:v>
      </x:c>
      <x:c r="F191" s="28" t="str">
        <x:v>Embalagens</x:v>
      </x:c>
      <x:c r="G191" s="30" t="n">
        <x:v>32459.34</x:v>
      </x:c>
      <x:c r="H191" s="30" t="n">
        <x:v>41737.77</x:v>
      </x:c>
      <x:c r="I191" s="30" t="n">
        <x:v>1390.89</x:v>
      </x:c>
      <x:c r="J191" s="30" t="n">
        <x:v>11749.06</x:v>
      </x:c>
      <x:c r="K191" s="30" t="n">
        <x:v>11898.38</x:v>
      </x:c>
      <x:c r="L191" s="30" t="n">
        <x:v>215410</x:v>
      </x:c>
      <x:c r="M191" s="32" t="n">
        <x:v>3403.77</x:v>
      </x:c>
      <x:c r="N191" s="32" t="n">
        <x:v>1696.21</x:v>
      </x:c>
    </x:row>
    <x:row r="192">
      <x:c r="A192" s="34" t="n">
        <x:v>45509</x:v>
      </x:c>
      <x:c r="B192" s="28" t="str">
        <x:v>Grupo Industrial S.A.</x:v>
      </x:c>
      <x:c r="C192" s="28" t="str">
        <x:v>Planta Curitiba</x:v>
      </x:c>
      <x:c r="D192" s="28" t="str">
        <x:v>Linha 5 - Usinagem</x:v>
      </x:c>
      <x:c r="E192" s="28" t="str">
        <x:v>SKU-223</x:v>
      </x:c>
      <x:c r="F192" s="28" t="str">
        <x:v>Bebidas</x:v>
      </x:c>
      <x:c r="G192" s="30" t="n">
        <x:v>54341.26</x:v>
      </x:c>
      <x:c r="H192" s="30" t="n">
        <x:v>34367.04</x:v>
      </x:c>
      <x:c r="I192" s="30" t="n">
        <x:v>1914.41</x:v>
      </x:c>
      <x:c r="J192" s="30" t="n">
        <x:v>7911.99</x:v>
      </x:c>
      <x:c r="K192" s="30" t="n">
        <x:v>11898.38</x:v>
      </x:c>
      <x:c r="L192" s="30" t="n">
        <x:v>357924</x:v>
      </x:c>
      <x:c r="M192" s="32" t="n">
        <x:v>5869.31</x:v>
      </x:c>
      <x:c r="N192" s="32" t="n">
        <x:v>2334.65</x:v>
      </x:c>
    </x:row>
    <x:row r="193">
      <x:c r="A193" s="34" t="n">
        <x:v>45509</x:v>
      </x:c>
      <x:c r="B193" s="28" t="str">
        <x:v>Grupo Industrial S.A.</x:v>
      </x:c>
      <x:c r="C193" s="28" t="str">
        <x:v>Planta Curitiba</x:v>
      </x:c>
      <x:c r="D193" s="28" t="str">
        <x:v>Linha 6 - Finalização</x:v>
      </x:c>
      <x:c r="E193" s="28" t="str">
        <x:v>SKU-432</x:v>
      </x:c>
      <x:c r="F193" s="28" t="str">
        <x:v>Alimentos</x:v>
      </x:c>
      <x:c r="G193" s="30" t="n">
        <x:v>38627.77</x:v>
      </x:c>
      <x:c r="H193" s="30" t="n">
        <x:v>44320</x:v>
      </x:c>
      <x:c r="I193" s="30" t="n">
        <x:v>1444.89</x:v>
      </x:c>
      <x:c r="J193" s="30" t="n">
        <x:v>10082.6</x:v>
      </x:c>
      <x:c r="K193" s="30" t="n">
        <x:v>11898.38</x:v>
      </x:c>
      <x:c r="L193" s="30" t="n">
        <x:v>262570</x:v>
      </x:c>
      <x:c r="M193" s="32" t="n">
        <x:v>4172.12</x:v>
      </x:c>
      <x:c r="N193" s="32" t="n">
        <x:v>1762.07</x:v>
      </x:c>
    </x:row>
    <x:row r="194">
      <x:c r="A194" s="34" t="n">
        <x:v>45516</x:v>
      </x:c>
      <x:c r="B194" s="28" t="str">
        <x:v>Grupo Industrial S.A.</x:v>
      </x:c>
      <x:c r="C194" s="28" t="str">
        <x:v>Planta São Paulo</x:v>
      </x:c>
      <x:c r="D194" s="28" t="str">
        <x:v>Linha 1 - Corte</x:v>
      </x:c>
      <x:c r="E194" s="28" t="str">
        <x:v>SKU-001</x:v>
      </x:c>
      <x:c r="F194" s="28" t="str">
        <x:v>Alimentos</x:v>
      </x:c>
      <x:c r="G194" s="30" t="n">
        <x:v>61762.06</x:v>
      </x:c>
      <x:c r="H194" s="30" t="n">
        <x:v>30537.08</x:v>
      </x:c>
      <x:c r="I194" s="30" t="n">
        <x:v>1778.51</x:v>
      </x:c>
      <x:c r="J194" s="30" t="n">
        <x:v>7974.56</x:v>
      </x:c>
      <x:c r="K194" s="30" t="n">
        <x:v>14226.33</x:v>
      </x:c>
      <x:c r="L194" s="30" t="n">
        <x:v>407448</x:v>
      </x:c>
      <x:c r="M194" s="32" t="n">
        <x:v>6670.82</x:v>
      </x:c>
      <x:c r="N194" s="32" t="n">
        <x:v>2168.91</x:v>
      </x:c>
    </x:row>
    <x:row r="195">
      <x:c r="A195" s="34" t="n">
        <x:v>45516</x:v>
      </x:c>
      <x:c r="B195" s="28" t="str">
        <x:v>Grupo Industrial S.A.</x:v>
      </x:c>
      <x:c r="C195" s="28" t="str">
        <x:v>Planta São Paulo</x:v>
      </x:c>
      <x:c r="D195" s="28" t="str">
        <x:v>Linha 2 - Montagem</x:v>
      </x:c>
      <x:c r="E195" s="28" t="str">
        <x:v>SKU-002</x:v>
      </x:c>
      <x:c r="F195" s="28" t="str">
        <x:v>Alimentos</x:v>
      </x:c>
      <x:c r="G195" s="30" t="n">
        <x:v>58295.69</x:v>
      </x:c>
      <x:c r="H195" s="30" t="n">
        <x:v>38243.87</x:v>
      </x:c>
      <x:c r="I195" s="30" t="n">
        <x:v>1902.77</x:v>
      </x:c>
      <x:c r="J195" s="30" t="n">
        <x:v>8151.85</x:v>
      </x:c>
      <x:c r="K195" s="30" t="n">
        <x:v>14226.33</x:v>
      </x:c>
      <x:c r="L195" s="30" t="n">
        <x:v>392496</x:v>
      </x:c>
      <x:c r="M195" s="32" t="n">
        <x:v>6296.42</x:v>
      </x:c>
      <x:c r="N195" s="32" t="n">
        <x:v>2320.45</x:v>
      </x:c>
    </x:row>
    <x:row r="196">
      <x:c r="A196" s="34" t="n">
        <x:v>45516</x:v>
      </x:c>
      <x:c r="B196" s="28" t="str">
        <x:v>Grupo Industrial S.A.</x:v>
      </x:c>
      <x:c r="C196" s="28" t="str">
        <x:v>Planta Campinas</x:v>
      </x:c>
      <x:c r="D196" s="28" t="str">
        <x:v>Linha 3 - Extrusão</x:v>
      </x:c>
      <x:c r="E196" s="28" t="str">
        <x:v>SKU-078</x:v>
      </x:c>
      <x:c r="F196" s="28" t="str">
        <x:v>Higiene e Limpeza</x:v>
      </x:c>
      <x:c r="G196" s="30" t="n">
        <x:v>53948.05</x:v>
      </x:c>
      <x:c r="H196" s="30" t="n">
        <x:v>33315.61</x:v>
      </x:c>
      <x:c r="I196" s="30" t="n">
        <x:v>1756.2</x:v>
      </x:c>
      <x:c r="J196" s="30" t="n">
        <x:v>11903.74</x:v>
      </x:c>
      <x:c r="K196" s="30" t="n">
        <x:v>11898.38</x:v>
      </x:c>
      <x:c r="L196" s="30" t="n">
        <x:v>346012</x:v>
      </x:c>
      <x:c r="M196" s="32" t="n">
        <x:v>5657.12</x:v>
      </x:c>
      <x:c r="N196" s="32" t="n">
        <x:v>2141.71</x:v>
      </x:c>
    </x:row>
    <x:row r="197">
      <x:c r="A197" s="34" t="n">
        <x:v>45516</x:v>
      </x:c>
      <x:c r="B197" s="28" t="str">
        <x:v>Grupo Industrial S.A.</x:v>
      </x:c>
      <x:c r="C197" s="28" t="str">
        <x:v>Planta Campinas</x:v>
      </x:c>
      <x:c r="D197" s="28" t="str">
        <x:v>Linha 4 - Embalagem</x:v>
      </x:c>
      <x:c r="E197" s="28" t="str">
        <x:v>SKU-105</x:v>
      </x:c>
      <x:c r="F197" s="28" t="str">
        <x:v>Embalagens</x:v>
      </x:c>
      <x:c r="G197" s="30" t="n">
        <x:v>35139.18</x:v>
      </x:c>
      <x:c r="H197" s="30" t="n">
        <x:v>40102.53</x:v>
      </x:c>
      <x:c r="I197" s="30" t="n">
        <x:v>1427.7</x:v>
      </x:c>
      <x:c r="J197" s="30" t="n">
        <x:v>12541.33</x:v>
      </x:c>
      <x:c r="K197" s="30" t="n">
        <x:v>11898.38</x:v>
      </x:c>
      <x:c r="L197" s="30" t="n">
        <x:v>233480</x:v>
      </x:c>
      <x:c r="M197" s="32" t="n">
        <x:v>3684.78</x:v>
      </x:c>
      <x:c r="N197" s="32" t="n">
        <x:v>1741.1</x:v>
      </x:c>
    </x:row>
    <x:row r="198">
      <x:c r="A198" s="34" t="n">
        <x:v>45516</x:v>
      </x:c>
      <x:c r="B198" s="28" t="str">
        <x:v>Grupo Industrial S.A.</x:v>
      </x:c>
      <x:c r="C198" s="28" t="str">
        <x:v>Planta Curitiba</x:v>
      </x:c>
      <x:c r="D198" s="28" t="str">
        <x:v>Linha 5 - Usinagem</x:v>
      </x:c>
      <x:c r="E198" s="28" t="str">
        <x:v>SKU-223</x:v>
      </x:c>
      <x:c r="F198" s="28" t="str">
        <x:v>Bebidas</x:v>
      </x:c>
      <x:c r="G198" s="30" t="n">
        <x:v>51063.01</x:v>
      </x:c>
      <x:c r="H198" s="30" t="n">
        <x:v>33468.24</x:v>
      </x:c>
      <x:c r="I198" s="30" t="n">
        <x:v>1702.87</x:v>
      </x:c>
      <x:c r="J198" s="30" t="n">
        <x:v>9633.68</x:v>
      </x:c>
      <x:c r="K198" s="30" t="n">
        <x:v>11898.38</x:v>
      </x:c>
      <x:c r="L198" s="30" t="n">
        <x:v>332724</x:v>
      </x:c>
      <x:c r="M198" s="32" t="n">
        <x:v>5515.23</x:v>
      </x:c>
      <x:c r="N198" s="32" t="n">
        <x:v>2076.67</x:v>
      </x:c>
    </x:row>
    <x:row r="199">
      <x:c r="A199" s="34" t="n">
        <x:v>45516</x:v>
      </x:c>
      <x:c r="B199" s="28" t="str">
        <x:v>Grupo Industrial S.A.</x:v>
      </x:c>
      <x:c r="C199" s="28" t="str">
        <x:v>Planta Curitiba</x:v>
      </x:c>
      <x:c r="D199" s="28" t="str">
        <x:v>Linha 6 - Finalização</x:v>
      </x:c>
      <x:c r="E199" s="28" t="str">
        <x:v>SKU-432</x:v>
      </x:c>
      <x:c r="F199" s="28" t="str">
        <x:v>Alimentos</x:v>
      </x:c>
      <x:c r="G199" s="30" t="n">
        <x:v>37532.42</x:v>
      </x:c>
      <x:c r="H199" s="30" t="n">
        <x:v>43236.85</x:v>
      </x:c>
      <x:c r="I199" s="30" t="n">
        <x:v>1425.31</x:v>
      </x:c>
      <x:c r="J199" s="30" t="n">
        <x:v>10059.42</x:v>
      </x:c>
      <x:c r="K199" s="30" t="n">
        <x:v>11898.38</x:v>
      </x:c>
      <x:c r="L199" s="30" t="n">
        <x:v>253330</x:v>
      </x:c>
      <x:c r="M199" s="32" t="n">
        <x:v>4053.81</x:v>
      </x:c>
      <x:c r="N199" s="32" t="n">
        <x:v>1738.19</x:v>
      </x:c>
    </x:row>
    <x:row r="200">
      <x:c r="A200" s="34" t="n">
        <x:v>45523</x:v>
      </x:c>
      <x:c r="B200" s="28" t="str">
        <x:v>Grupo Industrial S.A.</x:v>
      </x:c>
      <x:c r="C200" s="28" t="str">
        <x:v>Planta São Paulo</x:v>
      </x:c>
      <x:c r="D200" s="28" t="str">
        <x:v>Linha 1 - Corte</x:v>
      </x:c>
      <x:c r="E200" s="28" t="str">
        <x:v>SKU-001</x:v>
      </x:c>
      <x:c r="F200" s="28" t="str">
        <x:v>Alimentos</x:v>
      </x:c>
      <x:c r="G200" s="30" t="n">
        <x:v>61546.86</x:v>
      </x:c>
      <x:c r="H200" s="30" t="n">
        <x:v>30656.22</x:v>
      </x:c>
      <x:c r="I200" s="30" t="n">
        <x:v>1893.71</x:v>
      </x:c>
      <x:c r="J200" s="30" t="n">
        <x:v>6525.37</x:v>
      </x:c>
      <x:c r="K200" s="30" t="n">
        <x:v>14226.33</x:v>
      </x:c>
      <x:c r="L200" s="30" t="n">
        <x:v>412848</x:v>
      </x:c>
      <x:c r="M200" s="32" t="n">
        <x:v>6647.57</x:v>
      </x:c>
      <x:c r="N200" s="32" t="n">
        <x:v>2309.4</x:v>
      </x:c>
    </x:row>
    <x:row r="201">
      <x:c r="A201" s="34" t="n">
        <x:v>45523</x:v>
      </x:c>
      <x:c r="B201" s="28" t="str">
        <x:v>Grupo Industrial S.A.</x:v>
      </x:c>
      <x:c r="C201" s="28" t="str">
        <x:v>Planta São Paulo</x:v>
      </x:c>
      <x:c r="D201" s="28" t="str">
        <x:v>Linha 2 - Montagem</x:v>
      </x:c>
      <x:c r="E201" s="28" t="str">
        <x:v>SKU-002</x:v>
      </x:c>
      <x:c r="F201" s="28" t="str">
        <x:v>Alimentos</x:v>
      </x:c>
      <x:c r="G201" s="30" t="n">
        <x:v>55427.17</x:v>
      </x:c>
      <x:c r="H201" s="30" t="n">
        <x:v>37541.56</x:v>
      </x:c>
      <x:c r="I201" s="30" t="n">
        <x:v>1804.31</x:v>
      </x:c>
      <x:c r="J201" s="30" t="n">
        <x:v>8429.05</x:v>
      </x:c>
      <x:c r="K201" s="30" t="n">
        <x:v>14226.33</x:v>
      </x:c>
      <x:c r="L201" s="30" t="n">
        <x:v>376116</x:v>
      </x:c>
      <x:c r="M201" s="32" t="n">
        <x:v>5986.6</x:v>
      </x:c>
      <x:c r="N201" s="32" t="n">
        <x:v>2200.38</x:v>
      </x:c>
    </x:row>
    <x:row r="202">
      <x:c r="A202" s="34" t="n">
        <x:v>45523</x:v>
      </x:c>
      <x:c r="B202" s="28" t="str">
        <x:v>Grupo Industrial S.A.</x:v>
      </x:c>
      <x:c r="C202" s="28" t="str">
        <x:v>Planta Campinas</x:v>
      </x:c>
      <x:c r="D202" s="28" t="str">
        <x:v>Linha 3 - Extrusão</x:v>
      </x:c>
      <x:c r="E202" s="28" t="str">
        <x:v>SKU-078</x:v>
      </x:c>
      <x:c r="F202" s="28" t="str">
        <x:v>Higiene e Limpeza</x:v>
      </x:c>
      <x:c r="G202" s="30" t="n">
        <x:v>55309.09</x:v>
      </x:c>
      <x:c r="H202" s="30" t="n">
        <x:v>32395.55</x:v>
      </x:c>
      <x:c r="I202" s="30" t="n">
        <x:v>1936.15</x:v>
      </x:c>
      <x:c r="J202" s="30" t="n">
        <x:v>14726.3</x:v>
      </x:c>
      <x:c r="K202" s="30" t="n">
        <x:v>11898.38</x:v>
      </x:c>
      <x:c r="L202" s="30" t="n">
        <x:v>362664</x:v>
      </x:c>
      <x:c r="M202" s="32" t="n">
        <x:v>5799.85</x:v>
      </x:c>
      <x:c r="N202" s="32" t="n">
        <x:v>2361.15</x:v>
      </x:c>
    </x:row>
    <x:row r="203">
      <x:c r="A203" s="34" t="n">
        <x:v>45523</x:v>
      </x:c>
      <x:c r="B203" s="28" t="str">
        <x:v>Grupo Industrial S.A.</x:v>
      </x:c>
      <x:c r="C203" s="28" t="str">
        <x:v>Planta Campinas</x:v>
      </x:c>
      <x:c r="D203" s="28" t="str">
        <x:v>Linha 4 - Embalagem</x:v>
      </x:c>
      <x:c r="E203" s="28" t="str">
        <x:v>SKU-105</x:v>
      </x:c>
      <x:c r="F203" s="28" t="str">
        <x:v>Embalagens</x:v>
      </x:c>
      <x:c r="G203" s="30" t="n">
        <x:v>34726.04</x:v>
      </x:c>
      <x:c r="H203" s="30" t="n">
        <x:v>39329.14</x:v>
      </x:c>
      <x:c r="I203" s="30" t="n">
        <x:v>1548.67</x:v>
      </x:c>
      <x:c r="J203" s="30" t="n">
        <x:v>14398.13</x:v>
      </x:c>
      <x:c r="K203" s="30" t="n">
        <x:v>11898.38</x:v>
      </x:c>
      <x:c r="L203" s="30" t="n">
        <x:v>233415</x:v>
      </x:c>
      <x:c r="M203" s="32" t="n">
        <x:v>3641.46</x:v>
      </x:c>
      <x:c r="N203" s="32" t="n">
        <x:v>1888.62</x:v>
      </x:c>
    </x:row>
    <x:row r="204">
      <x:c r="A204" s="34" t="n">
        <x:v>45523</x:v>
      </x:c>
      <x:c r="B204" s="28" t="str">
        <x:v>Grupo Industrial S.A.</x:v>
      </x:c>
      <x:c r="C204" s="28" t="str">
        <x:v>Planta Curitiba</x:v>
      </x:c>
      <x:c r="D204" s="28" t="str">
        <x:v>Linha 5 - Usinagem</x:v>
      </x:c>
      <x:c r="E204" s="28" t="str">
        <x:v>SKU-223</x:v>
      </x:c>
      <x:c r="F204" s="28" t="str">
        <x:v>Bebidas</x:v>
      </x:c>
      <x:c r="G204" s="30" t="n">
        <x:v>53306.44</x:v>
      </x:c>
      <x:c r="H204" s="30" t="n">
        <x:v>32841.8</x:v>
      </x:c>
      <x:c r="I204" s="30" t="n">
        <x:v>1797.56</x:v>
      </x:c>
      <x:c r="J204" s="30" t="n">
        <x:v>9968.21</x:v>
      </x:c>
      <x:c r="K204" s="30" t="n">
        <x:v>11898.38</x:v>
      </x:c>
      <x:c r="L204" s="30" t="n">
        <x:v>348684</x:v>
      </x:c>
      <x:c r="M204" s="32" t="n">
        <x:v>5757.54</x:v>
      </x:c>
      <x:c r="N204" s="32" t="n">
        <x:v>2192.15</x:v>
      </x:c>
    </x:row>
    <x:row r="205">
      <x:c r="A205" s="34" t="n">
        <x:v>45523</x:v>
      </x:c>
      <x:c r="B205" s="28" t="str">
        <x:v>Grupo Industrial S.A.</x:v>
      </x:c>
      <x:c r="C205" s="28" t="str">
        <x:v>Planta Curitiba</x:v>
      </x:c>
      <x:c r="D205" s="28" t="str">
        <x:v>Linha 6 - Finalização</x:v>
      </x:c>
      <x:c r="E205" s="28" t="str">
        <x:v>SKU-432</x:v>
      </x:c>
      <x:c r="F205" s="28" t="str">
        <x:v>Alimentos</x:v>
      </x:c>
      <x:c r="G205" s="30" t="n">
        <x:v>38144.45</x:v>
      </x:c>
      <x:c r="H205" s="30" t="n">
        <x:v>44749.4</x:v>
      </x:c>
      <x:c r="I205" s="30" t="n">
        <x:v>1485.52</x:v>
      </x:c>
      <x:c r="J205" s="30" t="n">
        <x:v>8177.48</x:v>
      </x:c>
      <x:c r="K205" s="30" t="n">
        <x:v>11898.38</x:v>
      </x:c>
      <x:c r="L205" s="30" t="n">
        <x:v>256830</x:v>
      </x:c>
      <x:c r="M205" s="32" t="n">
        <x:v>4119.92</x:v>
      </x:c>
      <x:c r="N205" s="32" t="n">
        <x:v>1811.61</x:v>
      </x:c>
    </x:row>
    <x:row r="206">
      <x:c r="A206" s="34" t="n">
        <x:v>45530</x:v>
      </x:c>
      <x:c r="B206" s="28" t="str">
        <x:v>Grupo Industrial S.A.</x:v>
      </x:c>
      <x:c r="C206" s="28" t="str">
        <x:v>Planta São Paulo</x:v>
      </x:c>
      <x:c r="D206" s="28" t="str">
        <x:v>Linha 1 - Corte</x:v>
      </x:c>
      <x:c r="E206" s="28" t="str">
        <x:v>SKU-001</x:v>
      </x:c>
      <x:c r="F206" s="28" t="str">
        <x:v>Alimentos</x:v>
      </x:c>
      <x:c r="G206" s="30" t="n">
        <x:v>62067.7</x:v>
      </x:c>
      <x:c r="H206" s="30" t="n">
        <x:v>30671.5</x:v>
      </x:c>
      <x:c r="I206" s="30" t="n">
        <x:v>1953.22</x:v>
      </x:c>
      <x:c r="J206" s="30" t="n">
        <x:v>8230.94</x:v>
      </x:c>
      <x:c r="K206" s="30" t="n">
        <x:v>14226.33</x:v>
      </x:c>
      <x:c r="L206" s="30" t="n">
        <x:v>406512</x:v>
      </x:c>
      <x:c r="M206" s="32" t="n">
        <x:v>6703.83</x:v>
      </x:c>
      <x:c r="N206" s="32" t="n">
        <x:v>2381.98</x:v>
      </x:c>
    </x:row>
    <x:row r="207">
      <x:c r="A207" s="34" t="n">
        <x:v>45530</x:v>
      </x:c>
      <x:c r="B207" s="28" t="str">
        <x:v>Grupo Industrial S.A.</x:v>
      </x:c>
      <x:c r="C207" s="28" t="str">
        <x:v>Planta São Paulo</x:v>
      </x:c>
      <x:c r="D207" s="28" t="str">
        <x:v>Linha 2 - Montagem</x:v>
      </x:c>
      <x:c r="E207" s="28" t="str">
        <x:v>SKU-002</x:v>
      </x:c>
      <x:c r="F207" s="28" t="str">
        <x:v>Alimentos</x:v>
      </x:c>
      <x:c r="G207" s="30" t="n">
        <x:v>52556.4</x:v>
      </x:c>
      <x:c r="H207" s="30" t="n">
        <x:v>39310.08</x:v>
      </x:c>
      <x:c r="I207" s="30" t="n">
        <x:v>1675.32</x:v>
      </x:c>
      <x:c r="J207" s="30" t="n">
        <x:v>6719.75</x:v>
      </x:c>
      <x:c r="K207" s="30" t="n">
        <x:v>14226.33</x:v>
      </x:c>
      <x:c r="L207" s="30" t="n">
        <x:v>358176</x:v>
      </x:c>
      <x:c r="M207" s="32" t="n">
        <x:v>5676.53</x:v>
      </x:c>
      <x:c r="N207" s="32" t="n">
        <x:v>2043.08</x:v>
      </x:c>
    </x:row>
    <x:row r="208">
      <x:c r="A208" s="34" t="n">
        <x:v>45530</x:v>
      </x:c>
      <x:c r="B208" s="28" t="str">
        <x:v>Grupo Industrial S.A.</x:v>
      </x:c>
      <x:c r="C208" s="28" t="str">
        <x:v>Planta Campinas</x:v>
      </x:c>
      <x:c r="D208" s="28" t="str">
        <x:v>Linha 3 - Extrusão</x:v>
      </x:c>
      <x:c r="E208" s="28" t="str">
        <x:v>SKU-078</x:v>
      </x:c>
      <x:c r="F208" s="28" t="str">
        <x:v>Higiene e Limpeza</x:v>
      </x:c>
      <x:c r="G208" s="30" t="n">
        <x:v>52166.05</x:v>
      </x:c>
      <x:c r="H208" s="30" t="n">
        <x:v>32116.66</x:v>
      </x:c>
      <x:c r="I208" s="30" t="n">
        <x:v>1748.63</x:v>
      </x:c>
      <x:c r="J208" s="30" t="n">
        <x:v>13780.68</x:v>
      </x:c>
      <x:c r="K208" s="30" t="n">
        <x:v>11898.38</x:v>
      </x:c>
      <x:c r="L208" s="30" t="n">
        <x:v>334880</x:v>
      </x:c>
      <x:c r="M208" s="32" t="n">
        <x:v>5470.26</x:v>
      </x:c>
      <x:c r="N208" s="32" t="n">
        <x:v>2132.47</x:v>
      </x:c>
    </x:row>
    <x:row r="209">
      <x:c r="A209" s="34" t="n">
        <x:v>45530</x:v>
      </x:c>
      <x:c r="B209" s="28" t="str">
        <x:v>Grupo Industrial S.A.</x:v>
      </x:c>
      <x:c r="C209" s="28" t="str">
        <x:v>Planta Campinas</x:v>
      </x:c>
      <x:c r="D209" s="28" t="str">
        <x:v>Linha 4 - Embalagem</x:v>
      </x:c>
      <x:c r="E209" s="28" t="str">
        <x:v>SKU-105</x:v>
      </x:c>
      <x:c r="F209" s="28" t="str">
        <x:v>Embalagens</x:v>
      </x:c>
      <x:c r="G209" s="30" t="n">
        <x:v>33301.13</x:v>
      </x:c>
      <x:c r="H209" s="30" t="n">
        <x:v>40692.25</x:v>
      </x:c>
      <x:c r="I209" s="30" t="n">
        <x:v>1356.17</x:v>
      </x:c>
      <x:c r="J209" s="30" t="n">
        <x:v>12385.4</x:v>
      </x:c>
      <x:c r="K209" s="30" t="n">
        <x:v>11898.38</x:v>
      </x:c>
      <x:c r="L209" s="30" t="n">
        <x:v>221455</x:v>
      </x:c>
      <x:c r="M209" s="32" t="n">
        <x:v>3492.04</x:v>
      </x:c>
      <x:c r="N209" s="32" t="n">
        <x:v>1653.87</x:v>
      </x:c>
    </x:row>
    <x:row r="210">
      <x:c r="A210" s="34" t="n">
        <x:v>45530</x:v>
      </x:c>
      <x:c r="B210" s="28" t="str">
        <x:v>Grupo Industrial S.A.</x:v>
      </x:c>
      <x:c r="C210" s="28" t="str">
        <x:v>Planta Curitiba</x:v>
      </x:c>
      <x:c r="D210" s="28" t="str">
        <x:v>Linha 5 - Usinagem</x:v>
      </x:c>
      <x:c r="E210" s="28" t="str">
        <x:v>SKU-223</x:v>
      </x:c>
      <x:c r="F210" s="28" t="str">
        <x:v>Bebidas</x:v>
      </x:c>
      <x:c r="G210" s="30" t="n">
        <x:v>51465.6</x:v>
      </x:c>
      <x:c r="H210" s="30" t="n">
        <x:v>33144.43</x:v>
      </x:c>
      <x:c r="I210" s="30" t="n">
        <x:v>1712.01</x:v>
      </x:c>
      <x:c r="J210" s="30" t="n">
        <x:v>8685.41</x:v>
      </x:c>
      <x:c r="K210" s="30" t="n">
        <x:v>11898.38</x:v>
      </x:c>
      <x:c r="L210" s="30" t="n">
        <x:v>344064</x:v>
      </x:c>
      <x:c r="M210" s="32" t="n">
        <x:v>5558.71</x:v>
      </x:c>
      <x:c r="N210" s="32" t="n">
        <x:v>2087.81</x:v>
      </x:c>
    </x:row>
    <x:row r="211">
      <x:c r="A211" s="34" t="n">
        <x:v>45530</x:v>
      </x:c>
      <x:c r="B211" s="28" t="str">
        <x:v>Grupo Industrial S.A.</x:v>
      </x:c>
      <x:c r="C211" s="28" t="str">
        <x:v>Planta Curitiba</x:v>
      </x:c>
      <x:c r="D211" s="28" t="str">
        <x:v>Linha 6 - Finalização</x:v>
      </x:c>
      <x:c r="E211" s="28" t="str">
        <x:v>SKU-432</x:v>
      </x:c>
      <x:c r="F211" s="28" t="str">
        <x:v>Alimentos</x:v>
      </x:c>
      <x:c r="G211" s="30" t="n">
        <x:v>37510</x:v>
      </x:c>
      <x:c r="H211" s="30" t="n">
        <x:v>44378.76</x:v>
      </x:c>
      <x:c r="I211" s="30" t="n">
        <x:v>1446.06</x:v>
      </x:c>
      <x:c r="J211" s="30" t="n">
        <x:v>8670</x:v>
      </x:c>
      <x:c r="K211" s="30" t="n">
        <x:v>11898.38</x:v>
      </x:c>
      <x:c r="L211" s="30" t="n">
        <x:v>256760</x:v>
      </x:c>
      <x:c r="M211" s="32" t="n">
        <x:v>4051.39</x:v>
      </x:c>
      <x:c r="N211" s="32" t="n">
        <x:v>1763.49</x:v>
      </x:c>
    </x:row>
    <x:row r="212">
      <x:c r="A212" s="34" t="n">
        <x:v>45537</x:v>
      </x:c>
      <x:c r="B212" s="28" t="str">
        <x:v>Grupo Industrial S.A.</x:v>
      </x:c>
      <x:c r="C212" s="28" t="str">
        <x:v>Planta São Paulo</x:v>
      </x:c>
      <x:c r="D212" s="28" t="str">
        <x:v>Linha 1 - Corte</x:v>
      </x:c>
      <x:c r="E212" s="28" t="str">
        <x:v>SKU-001</x:v>
      </x:c>
      <x:c r="F212" s="28" t="str">
        <x:v>Alimentos</x:v>
      </x:c>
      <x:c r="G212" s="30" t="n">
        <x:v>61495.43</x:v>
      </x:c>
      <x:c r="H212" s="30" t="n">
        <x:v>29593.97</x:v>
      </x:c>
      <x:c r="I212" s="30" t="n">
        <x:v>1996.54</x:v>
      </x:c>
      <x:c r="J212" s="30" t="n">
        <x:v>8220.06</x:v>
      </x:c>
      <x:c r="K212" s="30" t="n">
        <x:v>14226.33</x:v>
      </x:c>
      <x:c r="L212" s="30" t="n">
        <x:v>420840</x:v>
      </x:c>
      <x:c r="M212" s="32" t="n">
        <x:v>6636.02</x:v>
      </x:c>
      <x:c r="N212" s="32" t="n">
        <x:v>2434.8</x:v>
      </x:c>
    </x:row>
    <x:row r="213">
      <x:c r="A213" s="34" t="n">
        <x:v>45537</x:v>
      </x:c>
      <x:c r="B213" s="28" t="str">
        <x:v>Grupo Industrial S.A.</x:v>
      </x:c>
      <x:c r="C213" s="28" t="str">
        <x:v>Planta São Paulo</x:v>
      </x:c>
      <x:c r="D213" s="28" t="str">
        <x:v>Linha 2 - Montagem</x:v>
      </x:c>
      <x:c r="E213" s="28" t="str">
        <x:v>SKU-002</x:v>
      </x:c>
      <x:c r="F213" s="28" t="str">
        <x:v>Alimentos</x:v>
      </x:c>
      <x:c r="G213" s="30" t="n">
        <x:v>54684.85</x:v>
      </x:c>
      <x:c r="H213" s="30" t="n">
        <x:v>39975.23</x:v>
      </x:c>
      <x:c r="I213" s="30" t="n">
        <x:v>1840.75</x:v>
      </x:c>
      <x:c r="J213" s="30" t="n">
        <x:v>6045.66</x:v>
      </x:c>
      <x:c r="K213" s="30" t="n">
        <x:v>14226.33</x:v>
      </x:c>
      <x:c r="L213" s="30" t="n">
        <x:v>376038</x:v>
      </x:c>
      <x:c r="M213" s="32" t="n">
        <x:v>5901.09</x:v>
      </x:c>
      <x:c r="N213" s="32" t="n">
        <x:v>2244.81</x:v>
      </x:c>
    </x:row>
    <x:row r="214">
      <x:c r="A214" s="34" t="n">
        <x:v>45537</x:v>
      </x:c>
      <x:c r="B214" s="28" t="str">
        <x:v>Grupo Industrial S.A.</x:v>
      </x:c>
      <x:c r="C214" s="28" t="str">
        <x:v>Planta Campinas</x:v>
      </x:c>
      <x:c r="D214" s="28" t="str">
        <x:v>Linha 3 - Extrusão</x:v>
      </x:c>
      <x:c r="E214" s="28" t="str">
        <x:v>SKU-078</x:v>
      </x:c>
      <x:c r="F214" s="28" t="str">
        <x:v>Higiene e Limpeza</x:v>
      </x:c>
      <x:c r="G214" s="30" t="n">
        <x:v>54441.22</x:v>
      </x:c>
      <x:c r="H214" s="30" t="n">
        <x:v>32137.98</x:v>
      </x:c>
      <x:c r="I214" s="30" t="n">
        <x:v>1849.48</x:v>
      </x:c>
      <x:c r="J214" s="30" t="n">
        <x:v>13358.42</x:v>
      </x:c>
      <x:c r="K214" s="30" t="n">
        <x:v>11898.38</x:v>
      </x:c>
      <x:c r="L214" s="30" t="n">
        <x:v>343896</x:v>
      </x:c>
      <x:c r="M214" s="32" t="n">
        <x:v>5703.69</x:v>
      </x:c>
      <x:c r="N214" s="32" t="n">
        <x:v>2255.46</x:v>
      </x:c>
    </x:row>
    <x:row r="215">
      <x:c r="A215" s="34" t="n">
        <x:v>45537</x:v>
      </x:c>
      <x:c r="B215" s="28" t="str">
        <x:v>Grupo Industrial S.A.</x:v>
      </x:c>
      <x:c r="C215" s="28" t="str">
        <x:v>Planta Campinas</x:v>
      </x:c>
      <x:c r="D215" s="28" t="str">
        <x:v>Linha 4 - Embalagem</x:v>
      </x:c>
      <x:c r="E215" s="28" t="str">
        <x:v>SKU-105</x:v>
      </x:c>
      <x:c r="F215" s="28" t="str">
        <x:v>Embalagens</x:v>
      </x:c>
      <x:c r="G215" s="30" t="n">
        <x:v>33212.18</x:v>
      </x:c>
      <x:c r="H215" s="30" t="n">
        <x:v>40746.18</x:v>
      </x:c>
      <x:c r="I215" s="30" t="n">
        <x:v>1367.87</x:v>
      </x:c>
      <x:c r="J215" s="30" t="n">
        <x:v>12504.38</x:v>
      </x:c>
      <x:c r="K215" s="30" t="n">
        <x:v>11898.38</x:v>
      </x:c>
      <x:c r="L215" s="30" t="n">
        <x:v>220675</x:v>
      </x:c>
      <x:c r="M215" s="32" t="n">
        <x:v>3479.57</x:v>
      </x:c>
      <x:c r="N215" s="32" t="n">
        <x:v>1668.13</x:v>
      </x:c>
    </x:row>
    <x:row r="216">
      <x:c r="A216" s="34" t="n">
        <x:v>45537</x:v>
      </x:c>
      <x:c r="B216" s="28" t="str">
        <x:v>Grupo Industrial S.A.</x:v>
      </x:c>
      <x:c r="C216" s="28" t="str">
        <x:v>Planta Curitiba</x:v>
      </x:c>
      <x:c r="D216" s="28" t="str">
        <x:v>Linha 5 - Usinagem</x:v>
      </x:c>
      <x:c r="E216" s="28" t="str">
        <x:v>SKU-223</x:v>
      </x:c>
      <x:c r="F216" s="28" t="str">
        <x:v>Bebidas</x:v>
      </x:c>
      <x:c r="G216" s="30" t="n">
        <x:v>52451.98</x:v>
      </x:c>
      <x:c r="H216" s="30" t="n">
        <x:v>34622.22</x:v>
      </x:c>
      <x:c r="I216" s="30" t="n">
        <x:v>1825.1</x:v>
      </x:c>
      <x:c r="J216" s="30" t="n">
        <x:v>8009.52</x:v>
      </x:c>
      <x:c r="K216" s="30" t="n">
        <x:v>11898.38</x:v>
      </x:c>
      <x:c r="L216" s="30" t="n">
        <x:v>343476</x:v>
      </x:c>
      <x:c r="M216" s="32" t="n">
        <x:v>5660.14</x:v>
      </x:c>
      <x:c r="N216" s="32" t="n">
        <x:v>2225.73</x:v>
      </x:c>
    </x:row>
    <x:row r="217">
      <x:c r="A217" s="34" t="n">
        <x:v>45537</x:v>
      </x:c>
      <x:c r="B217" s="28" t="str">
        <x:v>Grupo Industrial S.A.</x:v>
      </x:c>
      <x:c r="C217" s="28" t="str">
        <x:v>Planta Curitiba</x:v>
      </x:c>
      <x:c r="D217" s="28" t="str">
        <x:v>Linha 6 - Finalização</x:v>
      </x:c>
      <x:c r="E217" s="28" t="str">
        <x:v>SKU-432</x:v>
      </x:c>
      <x:c r="F217" s="28" t="str">
        <x:v>Alimentos</x:v>
      </x:c>
      <x:c r="G217" s="30" t="n">
        <x:v>38182.24</x:v>
      </x:c>
      <x:c r="H217" s="30" t="n">
        <x:v>42987.78</x:v>
      </x:c>
      <x:c r="I217" s="30" t="n">
        <x:v>1407.81</x:v>
      </x:c>
      <x:c r="J217" s="30" t="n">
        <x:v>10224.89</x:v>
      </x:c>
      <x:c r="K217" s="30" t="n">
        <x:v>11898.38</x:v>
      </x:c>
      <x:c r="L217" s="30" t="n">
        <x:v>252560</x:v>
      </x:c>
      <x:c r="M217" s="32" t="n">
        <x:v>4120.28</x:v>
      </x:c>
      <x:c r="N217" s="32" t="n">
        <x:v>1716.85</x:v>
      </x:c>
    </x:row>
    <x:row r="218">
      <x:c r="A218" s="34" t="n">
        <x:v>45544</x:v>
      </x:c>
      <x:c r="B218" s="28" t="str">
        <x:v>Grupo Industrial S.A.</x:v>
      </x:c>
      <x:c r="C218" s="28" t="str">
        <x:v>Planta São Paulo</x:v>
      </x:c>
      <x:c r="D218" s="28" t="str">
        <x:v>Linha 1 - Corte</x:v>
      </x:c>
      <x:c r="E218" s="28" t="str">
        <x:v>SKU-001</x:v>
      </x:c>
      <x:c r="F218" s="28" t="str">
        <x:v>Alimentos</x:v>
      </x:c>
      <x:c r="G218" s="30" t="n">
        <x:v>62267.39</x:v>
      </x:c>
      <x:c r="H218" s="30" t="n">
        <x:v>30325.79</x:v>
      </x:c>
      <x:c r="I218" s="30" t="n">
        <x:v>1848.79</x:v>
      </x:c>
      <x:c r="J218" s="30" t="n">
        <x:v>8065.06</x:v>
      </x:c>
      <x:c r="K218" s="30" t="n">
        <x:v>14226.33</x:v>
      </x:c>
      <x:c r="L218" s="30" t="n">
        <x:v>422352</x:v>
      </x:c>
      <x:c r="M218" s="32" t="n">
        <x:v>6719.33</x:v>
      </x:c>
      <x:c r="N218" s="32" t="n">
        <x:v>2254.63</x:v>
      </x:c>
    </x:row>
    <x:row r="219">
      <x:c r="A219" s="34" t="n">
        <x:v>45544</x:v>
      </x:c>
      <x:c r="B219" s="28" t="str">
        <x:v>Grupo Industrial S.A.</x:v>
      </x:c>
      <x:c r="C219" s="28" t="str">
        <x:v>Planta São Paulo</x:v>
      </x:c>
      <x:c r="D219" s="28" t="str">
        <x:v>Linha 2 - Montagem</x:v>
      </x:c>
      <x:c r="E219" s="28" t="str">
        <x:v>SKU-002</x:v>
      </x:c>
      <x:c r="F219" s="28" t="str">
        <x:v>Alimentos</x:v>
      </x:c>
      <x:c r="G219" s="30" t="n">
        <x:v>56072.23</x:v>
      </x:c>
      <x:c r="H219" s="30" t="n">
        <x:v>39101.65</x:v>
      </x:c>
      <x:c r="I219" s="30" t="n">
        <x:v>1824.55</x:v>
      </x:c>
      <x:c r="J219" s="30" t="n">
        <x:v>6915.8</x:v>
      </x:c>
      <x:c r="K219" s="30" t="n">
        <x:v>14226.33</x:v>
      </x:c>
      <x:c r="L219" s="30" t="n">
        <x:v>384150</x:v>
      </x:c>
      <x:c r="M219" s="32" t="n">
        <x:v>6050.8</x:v>
      </x:c>
      <x:c r="N219" s="32" t="n">
        <x:v>2225.06</x:v>
      </x:c>
    </x:row>
    <x:row r="220">
      <x:c r="A220" s="34" t="n">
        <x:v>45544</x:v>
      </x:c>
      <x:c r="B220" s="28" t="str">
        <x:v>Grupo Industrial S.A.</x:v>
      </x:c>
      <x:c r="C220" s="28" t="str">
        <x:v>Planta Campinas</x:v>
      </x:c>
      <x:c r="D220" s="28" t="str">
        <x:v>Linha 3 - Extrusão</x:v>
      </x:c>
      <x:c r="E220" s="28" t="str">
        <x:v>SKU-078</x:v>
      </x:c>
      <x:c r="F220" s="28" t="str">
        <x:v>Higiene e Limpeza</x:v>
      </x:c>
      <x:c r="G220" s="30" t="n">
        <x:v>55135.15</x:v>
      </x:c>
      <x:c r="H220" s="30" t="n">
        <x:v>33081.48</x:v>
      </x:c>
      <x:c r="I220" s="30" t="n">
        <x:v>1787.34</x:v>
      </x:c>
      <x:c r="J220" s="30" t="n">
        <x:v>12418.91</x:v>
      </x:c>
      <x:c r="K220" s="30" t="n">
        <x:v>11898.38</x:v>
      </x:c>
      <x:c r="L220" s="30" t="n">
        <x:v>356132</x:v>
      </x:c>
      <x:c r="M220" s="32" t="n">
        <x:v>5776.39</x:v>
      </x:c>
      <x:c r="N220" s="32" t="n">
        <x:v>2179.68</x:v>
      </x:c>
    </x:row>
    <x:row r="221">
      <x:c r="A221" s="34" t="n">
        <x:v>45544</x:v>
      </x:c>
      <x:c r="B221" s="28" t="str">
        <x:v>Grupo Industrial S.A.</x:v>
      </x:c>
      <x:c r="C221" s="28" t="str">
        <x:v>Planta Campinas</x:v>
      </x:c>
      <x:c r="D221" s="28" t="str">
        <x:v>Linha 4 - Embalagem</x:v>
      </x:c>
      <x:c r="E221" s="28" t="str">
        <x:v>SKU-105</x:v>
      </x:c>
      <x:c r="F221" s="28" t="str">
        <x:v>Embalagens</x:v>
      </x:c>
      <x:c r="G221" s="30" t="n">
        <x:v>33727.79</x:v>
      </x:c>
      <x:c r="H221" s="30" t="n">
        <x:v>40603.33</x:v>
      </x:c>
      <x:c r="I221" s="30" t="n">
        <x:v>1363.93</x:v>
      </x:c>
      <x:c r="J221" s="30" t="n">
        <x:v>12736.25</x:v>
      </x:c>
      <x:c r="K221" s="30" t="n">
        <x:v>11898.38</x:v>
      </x:c>
      <x:c r="L221" s="30" t="n">
        <x:v>222495</x:v>
      </x:c>
      <x:c r="M221" s="32" t="n">
        <x:v>3533.59</x:v>
      </x:c>
      <x:c r="N221" s="32" t="n">
        <x:v>1663.33</x:v>
      </x:c>
    </x:row>
    <x:row r="222">
      <x:c r="A222" s="34" t="n">
        <x:v>45544</x:v>
      </x:c>
      <x:c r="B222" s="28" t="str">
        <x:v>Grupo Industrial S.A.</x:v>
      </x:c>
      <x:c r="C222" s="28" t="str">
        <x:v>Planta Curitiba</x:v>
      </x:c>
      <x:c r="D222" s="28" t="str">
        <x:v>Linha 5 - Usinagem</x:v>
      </x:c>
      <x:c r="E222" s="28" t="str">
        <x:v>SKU-223</x:v>
      </x:c>
      <x:c r="F222" s="28" t="str">
        <x:v>Bebidas</x:v>
      </x:c>
      <x:c r="G222" s="30" t="n">
        <x:v>51595.33</x:v>
      </x:c>
      <x:c r="H222" s="30" t="n">
        <x:v>33159.52</x:v>
      </x:c>
      <x:c r="I222" s="30" t="n">
        <x:v>1738.72</x:v>
      </x:c>
      <x:c r="J222" s="30" t="n">
        <x:v>9367.15</x:v>
      </x:c>
      <x:c r="K222" s="30" t="n">
        <x:v>11898.38</x:v>
      </x:c>
      <x:c r="L222" s="30" t="n">
        <x:v>341628</x:v>
      </x:c>
      <x:c r="M222" s="32" t="n">
        <x:v>5567.7</x:v>
      </x:c>
      <x:c r="N222" s="32" t="n">
        <x:v>2120.4</x:v>
      </x:c>
    </x:row>
    <x:row r="223">
      <x:c r="A223" s="34" t="n">
        <x:v>45544</x:v>
      </x:c>
      <x:c r="B223" s="28" t="str">
        <x:v>Grupo Industrial S.A.</x:v>
      </x:c>
      <x:c r="C223" s="28" t="str">
        <x:v>Planta Curitiba</x:v>
      </x:c>
      <x:c r="D223" s="28" t="str">
        <x:v>Linha 6 - Finalização</x:v>
      </x:c>
      <x:c r="E223" s="28" t="str">
        <x:v>SKU-432</x:v>
      </x:c>
      <x:c r="F223" s="28" t="str">
        <x:v>Alimentos</x:v>
      </x:c>
      <x:c r="G223" s="30" t="n">
        <x:v>39684.82</x:v>
      </x:c>
      <x:c r="H223" s="30" t="n">
        <x:v>43191.08</x:v>
      </x:c>
      <x:c r="I223" s="30" t="n">
        <x:v>1452.42</x:v>
      </x:c>
      <x:c r="J223" s="30" t="n">
        <x:v>9881.41</x:v>
      </x:c>
      <x:c r="K223" s="30" t="n">
        <x:v>11898.38</x:v>
      </x:c>
      <x:c r="L223" s="30" t="n">
        <x:v>267960</x:v>
      </x:c>
      <x:c r="M223" s="32" t="n">
        <x:v>4282.42</x:v>
      </x:c>
      <x:c r="N223" s="32" t="n">
        <x:v>1771.24</x:v>
      </x:c>
    </x:row>
    <x:row r="224">
      <x:c r="A224" s="34" t="n">
        <x:v>45551</x:v>
      </x:c>
      <x:c r="B224" s="28" t="str">
        <x:v>Grupo Industrial S.A.</x:v>
      </x:c>
      <x:c r="C224" s="28" t="str">
        <x:v>Planta São Paulo</x:v>
      </x:c>
      <x:c r="D224" s="28" t="str">
        <x:v>Linha 1 - Corte</x:v>
      </x:c>
      <x:c r="E224" s="28" t="str">
        <x:v>SKU-001</x:v>
      </x:c>
      <x:c r="F224" s="28" t="str">
        <x:v>Alimentos</x:v>
      </x:c>
      <x:c r="G224" s="30" t="n">
        <x:v>57647.07</x:v>
      </x:c>
      <x:c r="H224" s="30" t="n">
        <x:v>30472.44</x:v>
      </x:c>
      <x:c r="I224" s="30" t="n">
        <x:v>1802.37</x:v>
      </x:c>
      <x:c r="J224" s="30" t="n">
        <x:v>6744.52</x:v>
      </x:c>
      <x:c r="K224" s="30" t="n">
        <x:v>14226.33</x:v>
      </x:c>
      <x:c r="L224" s="30" t="n">
        <x:v>387504</x:v>
      </x:c>
      <x:c r="M224" s="32" t="n">
        <x:v>6220.74</x:v>
      </x:c>
      <x:c r="N224" s="32" t="n">
        <x:v>2198.02</x:v>
      </x:c>
    </x:row>
    <x:row r="225">
      <x:c r="A225" s="34" t="n">
        <x:v>45551</x:v>
      </x:c>
      <x:c r="B225" s="28" t="str">
        <x:v>Grupo Industrial S.A.</x:v>
      </x:c>
      <x:c r="C225" s="28" t="str">
        <x:v>Planta São Paulo</x:v>
      </x:c>
      <x:c r="D225" s="28" t="str">
        <x:v>Linha 2 - Montagem</x:v>
      </x:c>
      <x:c r="E225" s="28" t="str">
        <x:v>SKU-002</x:v>
      </x:c>
      <x:c r="F225" s="28" t="str">
        <x:v>Alimentos</x:v>
      </x:c>
      <x:c r="G225" s="30" t="n">
        <x:v>54594.02</x:v>
      </x:c>
      <x:c r="H225" s="30" t="n">
        <x:v>37683.62</x:v>
      </x:c>
      <x:c r="I225" s="30" t="n">
        <x:v>1664.64</x:v>
      </x:c>
      <x:c r="J225" s="30" t="n">
        <x:v>7829.79</x:v>
      </x:c>
      <x:c r="K225" s="30" t="n">
        <x:v>14226.33</x:v>
      </x:c>
      <x:c r="L225" s="30" t="n">
        <x:v>376506</x:v>
      </x:c>
      <x:c r="M225" s="32" t="n">
        <x:v>5891.29</x:v>
      </x:c>
      <x:c r="N225" s="32" t="n">
        <x:v>2030.05</x:v>
      </x:c>
    </x:row>
    <x:row r="226">
      <x:c r="A226" s="34" t="n">
        <x:v>45551</x:v>
      </x:c>
      <x:c r="B226" s="28" t="str">
        <x:v>Grupo Industrial S.A.</x:v>
      </x:c>
      <x:c r="C226" s="28" t="str">
        <x:v>Planta Campinas</x:v>
      </x:c>
      <x:c r="D226" s="28" t="str">
        <x:v>Linha 3 - Extrusão</x:v>
      </x:c>
      <x:c r="E226" s="28" t="str">
        <x:v>SKU-078</x:v>
      </x:c>
      <x:c r="F226" s="28" t="str">
        <x:v>Higiene e Limpeza</x:v>
      </x:c>
      <x:c r="G226" s="30" t="n">
        <x:v>52723.14</x:v>
      </x:c>
      <x:c r="H226" s="30" t="n">
        <x:v>31293.13</x:v>
      </x:c>
      <x:c r="I226" s="30" t="n">
        <x:v>1753.73</x:v>
      </x:c>
      <x:c r="J226" s="30" t="n">
        <x:v>14881.59</x:v>
      </x:c>
      <x:c r="K226" s="30" t="n">
        <x:v>11898.38</x:v>
      </x:c>
      <x:c r="L226" s="30" t="n">
        <x:v>333592</x:v>
      </x:c>
      <x:c r="M226" s="32" t="n">
        <x:v>5523.69</x:v>
      </x:c>
      <x:c r="N226" s="32" t="n">
        <x:v>2138.7</x:v>
      </x:c>
    </x:row>
    <x:row r="227">
      <x:c r="A227" s="34" t="n">
        <x:v>45551</x:v>
      </x:c>
      <x:c r="B227" s="28" t="str">
        <x:v>Grupo Industrial S.A.</x:v>
      </x:c>
      <x:c r="C227" s="28" t="str">
        <x:v>Planta Campinas</x:v>
      </x:c>
      <x:c r="D227" s="28" t="str">
        <x:v>Linha 4 - Embalagem</x:v>
      </x:c>
      <x:c r="E227" s="28" t="str">
        <x:v>SKU-105</x:v>
      </x:c>
      <x:c r="F227" s="28" t="str">
        <x:v>Embalagens</x:v>
      </x:c>
      <x:c r="G227" s="30" t="n">
        <x:v>32875.21</x:v>
      </x:c>
      <x:c r="H227" s="30" t="n">
        <x:v>40580.38</x:v>
      </x:c>
      <x:c r="I227" s="30" t="n">
        <x:v>1466.32</x:v>
      </x:c>
      <x:c r="J227" s="30" t="n">
        <x:v>12202.5</x:v>
      </x:c>
      <x:c r="K227" s="30" t="n">
        <x:v>11898.38</x:v>
      </x:c>
      <x:c r="L227" s="30" t="n">
        <x:v>223015</x:v>
      </x:c>
      <x:c r="M227" s="32" t="n">
        <x:v>3444.26</x:v>
      </x:c>
      <x:c r="N227" s="32" t="n">
        <x:v>1788.19</x:v>
      </x:c>
    </x:row>
    <x:row r="228">
      <x:c r="A228" s="34" t="n">
        <x:v>45551</x:v>
      </x:c>
      <x:c r="B228" s="28" t="str">
        <x:v>Grupo Industrial S.A.</x:v>
      </x:c>
      <x:c r="C228" s="28" t="str">
        <x:v>Planta Curitiba</x:v>
      </x:c>
      <x:c r="D228" s="28" t="str">
        <x:v>Linha 5 - Usinagem</x:v>
      </x:c>
      <x:c r="E228" s="28" t="str">
        <x:v>SKU-223</x:v>
      </x:c>
      <x:c r="F228" s="28" t="str">
        <x:v>Bebidas</x:v>
      </x:c>
      <x:c r="G228" s="30" t="n">
        <x:v>50345.36</x:v>
      </x:c>
      <x:c r="H228" s="30" t="n">
        <x:v>33901.99</x:v>
      </x:c>
      <x:c r="I228" s="30" t="n">
        <x:v>1679.32</x:v>
      </x:c>
      <x:c r="J228" s="30" t="n">
        <x:v>8430.33</x:v>
      </x:c>
      <x:c r="K228" s="30" t="n">
        <x:v>11898.38</x:v>
      </x:c>
      <x:c r="L228" s="30" t="n">
        <x:v>331548</x:v>
      </x:c>
      <x:c r="M228" s="32" t="n">
        <x:v>5432.81</x:v>
      </x:c>
      <x:c r="N228" s="32" t="n">
        <x:v>2047.95</x:v>
      </x:c>
    </x:row>
    <x:row r="229">
      <x:c r="A229" s="34" t="n">
        <x:v>45551</x:v>
      </x:c>
      <x:c r="B229" s="28" t="str">
        <x:v>Grupo Industrial S.A.</x:v>
      </x:c>
      <x:c r="C229" s="28" t="str">
        <x:v>Planta Curitiba</x:v>
      </x:c>
      <x:c r="D229" s="28" t="str">
        <x:v>Linha 6 - Finalização</x:v>
      </x:c>
      <x:c r="E229" s="28" t="str">
        <x:v>SKU-432</x:v>
      </x:c>
      <x:c r="F229" s="28" t="str">
        <x:v>Alimentos</x:v>
      </x:c>
      <x:c r="G229" s="30" t="n">
        <x:v>38128.03</x:v>
      </x:c>
      <x:c r="H229" s="30" t="n">
        <x:v>43956.45</x:v>
      </x:c>
      <x:c r="I229" s="30" t="n">
        <x:v>1399.77</x:v>
      </x:c>
      <x:c r="J229" s="30" t="n">
        <x:v>9907.49</x:v>
      </x:c>
      <x:c r="K229" s="30" t="n">
        <x:v>11898.38</x:v>
      </x:c>
      <x:c r="L229" s="30" t="n">
        <x:v>255920</x:v>
      </x:c>
      <x:c r="M229" s="32" t="n">
        <x:v>4114.43</x:v>
      </x:c>
      <x:c r="N229" s="32" t="n">
        <x:v>1707.04</x:v>
      </x:c>
    </x:row>
    <x:row r="230">
      <x:c r="A230" s="34" t="n">
        <x:v>45558</x:v>
      </x:c>
      <x:c r="B230" s="28" t="str">
        <x:v>Grupo Industrial S.A.</x:v>
      </x:c>
      <x:c r="C230" s="28" t="str">
        <x:v>Planta São Paulo</x:v>
      </x:c>
      <x:c r="D230" s="28" t="str">
        <x:v>Linha 1 - Corte</x:v>
      </x:c>
      <x:c r="E230" s="28" t="str">
        <x:v>SKU-001</x:v>
      </x:c>
      <x:c r="F230" s="28" t="str">
        <x:v>Alimentos</x:v>
      </x:c>
      <x:c r="G230" s="30" t="n">
        <x:v>55767.75</x:v>
      </x:c>
      <x:c r="H230" s="30" t="n">
        <x:v>31734.58</x:v>
      </x:c>
      <x:c r="I230" s="30" t="n">
        <x:v>1626.98</x:v>
      </x:c>
      <x:c r="J230" s="30" t="n">
        <x:v>5777.07</x:v>
      </x:c>
      <x:c r="K230" s="30" t="n">
        <x:v>14226.33</x:v>
      </x:c>
      <x:c r="L230" s="30" t="n">
        <x:v>372672</x:v>
      </x:c>
      <x:c r="M230" s="32" t="n">
        <x:v>6017.94</x:v>
      </x:c>
      <x:c r="N230" s="32" t="n">
        <x:v>1984.12</x:v>
      </x:c>
    </x:row>
    <x:row r="231">
      <x:c r="A231" s="34" t="n">
        <x:v>45558</x:v>
      </x:c>
      <x:c r="B231" s="28" t="str">
        <x:v>Grupo Industrial S.A.</x:v>
      </x:c>
      <x:c r="C231" s="28" t="str">
        <x:v>Planta São Paulo</x:v>
      </x:c>
      <x:c r="D231" s="28" t="str">
        <x:v>Linha 2 - Montagem</x:v>
      </x:c>
      <x:c r="E231" s="28" t="str">
        <x:v>SKU-002</x:v>
      </x:c>
      <x:c r="F231" s="28" t="str">
        <x:v>Alimentos</x:v>
      </x:c>
      <x:c r="G231" s="30" t="n">
        <x:v>55915.09</x:v>
      </x:c>
      <x:c r="H231" s="30" t="n">
        <x:v>39504.6</x:v>
      </x:c>
      <x:c r="I231" s="30" t="n">
        <x:v>1687.95</x:v>
      </x:c>
      <x:c r="J231" s="30" t="n">
        <x:v>6012.3</x:v>
      </x:c>
      <x:c r="K231" s="30" t="n">
        <x:v>14226.33</x:v>
      </x:c>
      <x:c r="L231" s="30" t="n">
        <x:v>382200</x:v>
      </x:c>
      <x:c r="M231" s="32" t="n">
        <x:v>6033.84</x:v>
      </x:c>
      <x:c r="N231" s="32" t="n">
        <x:v>2058.48</x:v>
      </x:c>
    </x:row>
    <x:row r="232">
      <x:c r="A232" s="34" t="n">
        <x:v>45558</x:v>
      </x:c>
      <x:c r="B232" s="28" t="str">
        <x:v>Grupo Industrial S.A.</x:v>
      </x:c>
      <x:c r="C232" s="28" t="str">
        <x:v>Planta Campinas</x:v>
      </x:c>
      <x:c r="D232" s="28" t="str">
        <x:v>Linha 3 - Extrusão</x:v>
      </x:c>
      <x:c r="E232" s="28" t="str">
        <x:v>SKU-078</x:v>
      </x:c>
      <x:c r="F232" s="28" t="str">
        <x:v>Higiene e Limpeza</x:v>
      </x:c>
      <x:c r="G232" s="30" t="n">
        <x:v>52690.54</x:v>
      </x:c>
      <x:c r="H232" s="30" t="n">
        <x:v>33852.16</x:v>
      </x:c>
      <x:c r="I232" s="30" t="n">
        <x:v>1704.76</x:v>
      </x:c>
      <x:c r="J232" s="30" t="n">
        <x:v>12445.46</x:v>
      </x:c>
      <x:c r="K232" s="30" t="n">
        <x:v>11898.38</x:v>
      </x:c>
      <x:c r="L232" s="30" t="n">
        <x:v>338928</x:v>
      </x:c>
      <x:c r="M232" s="32" t="n">
        <x:v>5520.27</x:v>
      </x:c>
      <x:c r="N232" s="32" t="n">
        <x:v>2078.97</x:v>
      </x:c>
    </x:row>
    <x:row r="233">
      <x:c r="A233" s="34" t="n">
        <x:v>45558</x:v>
      </x:c>
      <x:c r="B233" s="28" t="str">
        <x:v>Grupo Industrial S.A.</x:v>
      </x:c>
      <x:c r="C233" s="28" t="str">
        <x:v>Planta Campinas</x:v>
      </x:c>
      <x:c r="D233" s="28" t="str">
        <x:v>Linha 4 - Embalagem</x:v>
      </x:c>
      <x:c r="E233" s="28" t="str">
        <x:v>SKU-105</x:v>
      </x:c>
      <x:c r="F233" s="28" t="str">
        <x:v>Embalagens</x:v>
      </x:c>
      <x:c r="G233" s="30" t="n">
        <x:v>30164.8</x:v>
      </x:c>
      <x:c r="H233" s="30" t="n">
        <x:v>41239.2</x:v>
      </x:c>
      <x:c r="I233" s="30" t="n">
        <x:v>1305.1</x:v>
      </x:c>
      <x:c r="J233" s="30" t="n">
        <x:v>12149.58</x:v>
      </x:c>
      <x:c r="K233" s="30" t="n">
        <x:v>11898.38</x:v>
      </x:c>
      <x:c r="L233" s="30" t="n">
        <x:v>201370</x:v>
      </x:c>
      <x:c r="M233" s="32" t="n">
        <x:v>3160.3</x:v>
      </x:c>
      <x:c r="N233" s="32" t="n">
        <x:v>1591.59</x:v>
      </x:c>
    </x:row>
    <x:row r="234">
      <x:c r="A234" s="34" t="n">
        <x:v>45558</x:v>
      </x:c>
      <x:c r="B234" s="28" t="str">
        <x:v>Grupo Industrial S.A.</x:v>
      </x:c>
      <x:c r="C234" s="28" t="str">
        <x:v>Planta Curitiba</x:v>
      </x:c>
      <x:c r="D234" s="28" t="str">
        <x:v>Linha 5 - Usinagem</x:v>
      </x:c>
      <x:c r="E234" s="28" t="str">
        <x:v>SKU-223</x:v>
      </x:c>
      <x:c r="F234" s="28" t="str">
        <x:v>Bebidas</x:v>
      </x:c>
      <x:c r="G234" s="30" t="n">
        <x:v>53556.25</x:v>
      </x:c>
      <x:c r="H234" s="30" t="n">
        <x:v>33740.86</x:v>
      </x:c>
      <x:c r="I234" s="30" t="n">
        <x:v>1793.08</x:v>
      </x:c>
      <x:c r="J234" s="30" t="n">
        <x:v>8978.36</x:v>
      </x:c>
      <x:c r="K234" s="30" t="n">
        <x:v>11898.38</x:v>
      </x:c>
      <x:c r="L234" s="30" t="n">
        <x:v>356496</x:v>
      </x:c>
      <x:c r="M234" s="32" t="n">
        <x:v>5779.3</x:v>
      </x:c>
      <x:c r="N234" s="32" t="n">
        <x:v>2186.69</x:v>
      </x:c>
    </x:row>
    <x:row r="235">
      <x:c r="A235" s="34" t="n">
        <x:v>45558</x:v>
      </x:c>
      <x:c r="B235" s="28" t="str">
        <x:v>Grupo Industrial S.A.</x:v>
      </x:c>
      <x:c r="C235" s="28" t="str">
        <x:v>Planta Curitiba</x:v>
      </x:c>
      <x:c r="D235" s="28" t="str">
        <x:v>Linha 6 - Finalização</x:v>
      </x:c>
      <x:c r="E235" s="28" t="str">
        <x:v>SKU-432</x:v>
      </x:c>
      <x:c r="F235" s="28" t="str">
        <x:v>Alimentos</x:v>
      </x:c>
      <x:c r="G235" s="30" t="n">
        <x:v>38208.26</x:v>
      </x:c>
      <x:c r="H235" s="30" t="n">
        <x:v>46135.5</x:v>
      </x:c>
      <x:c r="I235" s="30" t="n">
        <x:v>1374.02</x:v>
      </x:c>
      <x:c r="J235" s="30" t="n">
        <x:v>7853.24</x:v>
      </x:c>
      <x:c r="K235" s="30" t="n">
        <x:v>11898.38</x:v>
      </x:c>
      <x:c r="L235" s="30" t="n">
        <x:v>260890</x:v>
      </x:c>
      <x:c r="M235" s="32" t="n">
        <x:v>4123.09</x:v>
      </x:c>
      <x:c r="N235" s="32" t="n">
        <x:v>1675.64</x:v>
      </x:c>
    </x:row>
    <x:row r="236">
      <x:c r="A236" s="34" t="n">
        <x:v>45565</x:v>
      </x:c>
      <x:c r="B236" s="28" t="str">
        <x:v>Grupo Industrial S.A.</x:v>
      </x:c>
      <x:c r="C236" s="28" t="str">
        <x:v>Planta São Paulo</x:v>
      </x:c>
      <x:c r="D236" s="28" t="str">
        <x:v>Linha 1 - Corte</x:v>
      </x:c>
      <x:c r="E236" s="28" t="str">
        <x:v>SKU-001</x:v>
      </x:c>
      <x:c r="F236" s="28" t="str">
        <x:v>Alimentos</x:v>
      </x:c>
      <x:c r="G236" s="30" t="n">
        <x:v>59178.11</x:v>
      </x:c>
      <x:c r="H236" s="30" t="n">
        <x:v>30217.96</x:v>
      </x:c>
      <x:c r="I236" s="30" t="n">
        <x:v>1816.79</x:v>
      </x:c>
      <x:c r="J236" s="30" t="n">
        <x:v>8104.19</x:v>
      </x:c>
      <x:c r="K236" s="30" t="n">
        <x:v>14226.33</x:v>
      </x:c>
      <x:c r="L236" s="30" t="n">
        <x:v>387648</x:v>
      </x:c>
      <x:c r="M236" s="32" t="n">
        <x:v>6385.96</x:v>
      </x:c>
      <x:c r="N236" s="32" t="n">
        <x:v>2215.59</x:v>
      </x:c>
    </x:row>
    <x:row r="237">
      <x:c r="A237" s="34" t="n">
        <x:v>45565</x:v>
      </x:c>
      <x:c r="B237" s="28" t="str">
        <x:v>Grupo Industrial S.A.</x:v>
      </x:c>
      <x:c r="C237" s="28" t="str">
        <x:v>Planta São Paulo</x:v>
      </x:c>
      <x:c r="D237" s="28" t="str">
        <x:v>Linha 2 - Montagem</x:v>
      </x:c>
      <x:c r="E237" s="28" t="str">
        <x:v>SKU-002</x:v>
      </x:c>
      <x:c r="F237" s="28" t="str">
        <x:v>Alimentos</x:v>
      </x:c>
      <x:c r="G237" s="30" t="n">
        <x:v>55016.69</x:v>
      </x:c>
      <x:c r="H237" s="30" t="n">
        <x:v>38384.07</x:v>
      </x:c>
      <x:c r="I237" s="30" t="n">
        <x:v>1710.58</x:v>
      </x:c>
      <x:c r="J237" s="30" t="n">
        <x:v>6435.96</x:v>
      </x:c>
      <x:c r="K237" s="30" t="n">
        <x:v>14226.33</x:v>
      </x:c>
      <x:c r="L237" s="30" t="n">
        <x:v>378378</x:v>
      </x:c>
      <x:c r="M237" s="32" t="n">
        <x:v>5936.9</x:v>
      </x:c>
      <x:c r="N237" s="32" t="n">
        <x:v>2086.07</x:v>
      </x:c>
    </x:row>
    <x:row r="238">
      <x:c r="A238" s="34" t="n">
        <x:v>45565</x:v>
      </x:c>
      <x:c r="B238" s="28" t="str">
        <x:v>Grupo Industrial S.A.</x:v>
      </x:c>
      <x:c r="C238" s="28" t="str">
        <x:v>Planta Campinas</x:v>
      </x:c>
      <x:c r="D238" s="28" t="str">
        <x:v>Linha 3 - Extrusão</x:v>
      </x:c>
      <x:c r="E238" s="28" t="str">
        <x:v>SKU-078</x:v>
      </x:c>
      <x:c r="F238" s="28" t="str">
        <x:v>Higiene e Limpeza</x:v>
      </x:c>
      <x:c r="G238" s="30" t="n">
        <x:v>55995.29</x:v>
      </x:c>
      <x:c r="H238" s="30" t="n">
        <x:v>32006.31</x:v>
      </x:c>
      <x:c r="I238" s="30" t="n">
        <x:v>1925.11</x:v>
      </x:c>
      <x:c r="J238" s="30" t="n">
        <x:v>13933.26</x:v>
      </x:c>
      <x:c r="K238" s="30" t="n">
        <x:v>11898.38</x:v>
      </x:c>
      <x:c r="L238" s="30" t="n">
        <x:v>353280</x:v>
      </x:c>
      <x:c r="M238" s="32" t="n">
        <x:v>5866.5</x:v>
      </x:c>
      <x:c r="N238" s="32" t="n">
        <x:v>2347.7</x:v>
      </x:c>
    </x:row>
    <x:row r="239">
      <x:c r="A239" s="34" t="n">
        <x:v>45565</x:v>
      </x:c>
      <x:c r="B239" s="28" t="str">
        <x:v>Grupo Industrial S.A.</x:v>
      </x:c>
      <x:c r="C239" s="28" t="str">
        <x:v>Planta Campinas</x:v>
      </x:c>
      <x:c r="D239" s="28" t="str">
        <x:v>Linha 4 - Embalagem</x:v>
      </x:c>
      <x:c r="E239" s="28" t="str">
        <x:v>SKU-105</x:v>
      </x:c>
      <x:c r="F239" s="28" t="str">
        <x:v>Embalagens</x:v>
      </x:c>
      <x:c r="G239" s="30" t="n">
        <x:v>30928.65</x:v>
      </x:c>
      <x:c r="H239" s="30" t="n">
        <x:v>39331.14</x:v>
      </x:c>
      <x:c r="I239" s="30" t="n">
        <x:v>1360.92</x:v>
      </x:c>
      <x:c r="J239" s="30" t="n">
        <x:v>13760.24</x:v>
      </x:c>
      <x:c r="K239" s="30" t="n">
        <x:v>11898.38</x:v>
      </x:c>
      <x:c r="L239" s="30" t="n">
        <x:v>206050</x:v>
      </x:c>
      <x:c r="M239" s="32" t="n">
        <x:v>3240.33</x:v>
      </x:c>
      <x:c r="N239" s="32" t="n">
        <x:v>1659.66</x:v>
      </x:c>
    </x:row>
    <x:row r="240">
      <x:c r="A240" s="34" t="n">
        <x:v>45565</x:v>
      </x:c>
      <x:c r="B240" s="28" t="str">
        <x:v>Grupo Industrial S.A.</x:v>
      </x:c>
      <x:c r="C240" s="28" t="str">
        <x:v>Planta Curitiba</x:v>
      </x:c>
      <x:c r="D240" s="28" t="str">
        <x:v>Linha 5 - Usinagem</x:v>
      </x:c>
      <x:c r="E240" s="28" t="str">
        <x:v>SKU-223</x:v>
      </x:c>
      <x:c r="F240" s="28" t="str">
        <x:v>Bebidas</x:v>
      </x:c>
      <x:c r="G240" s="30" t="n">
        <x:v>53248.94</x:v>
      </x:c>
      <x:c r="H240" s="30" t="n">
        <x:v>32453.81</x:v>
      </x:c>
      <x:c r="I240" s="30" t="n">
        <x:v>1770.73</x:v>
      </x:c>
      <x:c r="J240" s="30" t="n">
        <x:v>9422.87</x:v>
      </x:c>
      <x:c r="K240" s="30" t="n">
        <x:v>11898.38</x:v>
      </x:c>
      <x:c r="L240" s="30" t="n">
        <x:v>356832</x:v>
      </x:c>
      <x:c r="M240" s="32" t="n">
        <x:v>5746.14</x:v>
      </x:c>
      <x:c r="N240" s="32" t="n">
        <x:v>2159.43</x:v>
      </x:c>
    </x:row>
    <x:row r="241">
      <x:c r="A241" s="34" t="n">
        <x:v>45565</x:v>
      </x:c>
      <x:c r="B241" s="28" t="str">
        <x:v>Grupo Industrial S.A.</x:v>
      </x:c>
      <x:c r="C241" s="28" t="str">
        <x:v>Planta Curitiba</x:v>
      </x:c>
      <x:c r="D241" s="28" t="str">
        <x:v>Linha 6 - Finalização</x:v>
      </x:c>
      <x:c r="E241" s="28" t="str">
        <x:v>SKU-432</x:v>
      </x:c>
      <x:c r="F241" s="28" t="str">
        <x:v>Alimentos</x:v>
      </x:c>
      <x:c r="G241" s="30" t="n">
        <x:v>37402.54</x:v>
      </x:c>
      <x:c r="H241" s="30" t="n">
        <x:v>45384.06</x:v>
      </x:c>
      <x:c r="I241" s="30" t="n">
        <x:v>1346.66</x:v>
      </x:c>
      <x:c r="J241" s="30" t="n">
        <x:v>7865.45</x:v>
      </x:c>
      <x:c r="K241" s="30" t="n">
        <x:v>11898.38</x:v>
      </x:c>
      <x:c r="L241" s="30" t="n">
        <x:v>251930</x:v>
      </x:c>
      <x:c r="M241" s="32" t="n">
        <x:v>4036.14</x:v>
      </x:c>
      <x:c r="N241" s="32" t="n">
        <x:v>1642.27</x:v>
      </x:c>
    </x:row>
    <x:row r="242">
      <x:c r="A242" s="34" t="n">
        <x:v>45572</x:v>
      </x:c>
      <x:c r="B242" s="28" t="str">
        <x:v>Grupo Industrial S.A.</x:v>
      </x:c>
      <x:c r="C242" s="28" t="str">
        <x:v>Planta São Paulo</x:v>
      </x:c>
      <x:c r="D242" s="28" t="str">
        <x:v>Linha 1 - Corte</x:v>
      </x:c>
      <x:c r="E242" s="28" t="str">
        <x:v>SKU-001</x:v>
      </x:c>
      <x:c r="F242" s="28" t="str">
        <x:v>Alimentos</x:v>
      </x:c>
      <x:c r="G242" s="30" t="n">
        <x:v>61151.68</x:v>
      </x:c>
      <x:c r="H242" s="30" t="n">
        <x:v>30628.18</x:v>
      </x:c>
      <x:c r="I242" s="30" t="n">
        <x:v>1930.04</x:v>
      </x:c>
      <x:c r="J242" s="30" t="n">
        <x:v>7786.26</x:v>
      </x:c>
      <x:c r="K242" s="30" t="n">
        <x:v>14226.33</x:v>
      </x:c>
      <x:c r="L242" s="30" t="n">
        <x:v>405288</x:v>
      </x:c>
      <x:c r="M242" s="32" t="n">
        <x:v>6592.98</x:v>
      </x:c>
      <x:c r="N242" s="32" t="n">
        <x:v>2353.71</x:v>
      </x:c>
    </x:row>
    <x:row r="243">
      <x:c r="A243" s="34" t="n">
        <x:v>45572</x:v>
      </x:c>
      <x:c r="B243" s="28" t="str">
        <x:v>Grupo Industrial S.A.</x:v>
      </x:c>
      <x:c r="C243" s="28" t="str">
        <x:v>Planta São Paulo</x:v>
      </x:c>
      <x:c r="D243" s="28" t="str">
        <x:v>Linha 2 - Montagem</x:v>
      </x:c>
      <x:c r="E243" s="28" t="str">
        <x:v>SKU-002</x:v>
      </x:c>
      <x:c r="F243" s="28" t="str">
        <x:v>Alimentos</x:v>
      </x:c>
      <x:c r="G243" s="30" t="n">
        <x:v>63210.52</x:v>
      </x:c>
      <x:c r="H243" s="30" t="n">
        <x:v>39612.95</x:v>
      </x:c>
      <x:c r="I243" s="30" t="n">
        <x:v>2049.49</x:v>
      </x:c>
      <x:c r="J243" s="30" t="n">
        <x:v>5906.3</x:v>
      </x:c>
      <x:c r="K243" s="30" t="n">
        <x:v>14226.33</x:v>
      </x:c>
      <x:c r="L243" s="30" t="n">
        <x:v>422136</x:v>
      </x:c>
      <x:c r="M243" s="32" t="n">
        <x:v>6814.95</x:v>
      </x:c>
      <x:c r="N243" s="32" t="n">
        <x:v>2499.38</x:v>
      </x:c>
    </x:row>
    <x:row r="244">
      <x:c r="A244" s="34" t="n">
        <x:v>45572</x:v>
      </x:c>
      <x:c r="B244" s="28" t="str">
        <x:v>Grupo Industrial S.A.</x:v>
      </x:c>
      <x:c r="C244" s="28" t="str">
        <x:v>Planta Campinas</x:v>
      </x:c>
      <x:c r="D244" s="28" t="str">
        <x:v>Linha 3 - Extrusão</x:v>
      </x:c>
      <x:c r="E244" s="28" t="str">
        <x:v>SKU-078</x:v>
      </x:c>
      <x:c r="F244" s="28" t="str">
        <x:v>Higiene e Limpeza</x:v>
      </x:c>
      <x:c r="G244" s="30" t="n">
        <x:v>55552.72</x:v>
      </x:c>
      <x:c r="H244" s="30" t="n">
        <x:v>33143.25</x:v>
      </x:c>
      <x:c r="I244" s="30" t="n">
        <x:v>1948.17</x:v>
      </x:c>
      <x:c r="J244" s="30" t="n">
        <x:v>12441.7</x:v>
      </x:c>
      <x:c r="K244" s="30" t="n">
        <x:v>11898.38</x:v>
      </x:c>
      <x:c r="L244" s="30" t="n">
        <x:v>360640</x:v>
      </x:c>
      <x:c r="M244" s="32" t="n">
        <x:v>5814.89</x:v>
      </x:c>
      <x:c r="N244" s="32" t="n">
        <x:v>2375.82</x:v>
      </x:c>
    </x:row>
    <x:row r="245">
      <x:c r="A245" s="34" t="n">
        <x:v>45572</x:v>
      </x:c>
      <x:c r="B245" s="28" t="str">
        <x:v>Grupo Industrial S.A.</x:v>
      </x:c>
      <x:c r="C245" s="28" t="str">
        <x:v>Planta Campinas</x:v>
      </x:c>
      <x:c r="D245" s="28" t="str">
        <x:v>Linha 4 - Embalagem</x:v>
      </x:c>
      <x:c r="E245" s="28" t="str">
        <x:v>SKU-105</x:v>
      </x:c>
      <x:c r="F245" s="28" t="str">
        <x:v>Embalagens</x:v>
      </x:c>
      <x:c r="G245" s="30" t="n">
        <x:v>35313.8</x:v>
      </x:c>
      <x:c r="H245" s="30" t="n">
        <x:v>40747.87</x:v>
      </x:c>
      <x:c r="I245" s="30" t="n">
        <x:v>1484.43</x:v>
      </x:c>
      <x:c r="J245" s="30" t="n">
        <x:v>12997.65</x:v>
      </x:c>
      <x:c r="K245" s="30" t="n">
        <x:v>11898.38</x:v>
      </x:c>
      <x:c r="L245" s="30" t="n">
        <x:v>236795</x:v>
      </x:c>
      <x:c r="M245" s="32" t="n">
        <x:v>3696.41</x:v>
      </x:c>
      <x:c r="N245" s="32" t="n">
        <x:v>1810.28</x:v>
      </x:c>
    </x:row>
    <x:row r="246">
      <x:c r="A246" s="34" t="n">
        <x:v>45572</x:v>
      </x:c>
      <x:c r="B246" s="28" t="str">
        <x:v>Grupo Industrial S.A.</x:v>
      </x:c>
      <x:c r="C246" s="28" t="str">
        <x:v>Planta Curitiba</x:v>
      </x:c>
      <x:c r="D246" s="28" t="str">
        <x:v>Linha 5 - Usinagem</x:v>
      </x:c>
      <x:c r="E246" s="28" t="str">
        <x:v>SKU-223</x:v>
      </x:c>
      <x:c r="F246" s="28" t="str">
        <x:v>Bebidas</x:v>
      </x:c>
      <x:c r="G246" s="30" t="n">
        <x:v>54242.63</x:v>
      </x:c>
      <x:c r="H246" s="30" t="n">
        <x:v>33183.98</x:v>
      </x:c>
      <x:c r="I246" s="30" t="n">
        <x:v>1850.04</x:v>
      </x:c>
      <x:c r="J246" s="30" t="n">
        <x:v>9515.67</x:v>
      </x:c>
      <x:c r="K246" s="30" t="n">
        <x:v>11898.38</x:v>
      </x:c>
      <x:c r="L246" s="30" t="n">
        <x:v>354900</x:v>
      </x:c>
      <x:c r="M246" s="32" t="n">
        <x:v>5848.09</x:v>
      </x:c>
      <x:c r="N246" s="32" t="n">
        <x:v>2256.15</x:v>
      </x:c>
    </x:row>
    <x:row r="247">
      <x:c r="A247" s="34" t="n">
        <x:v>45572</x:v>
      </x:c>
      <x:c r="B247" s="28" t="str">
        <x:v>Grupo Industrial S.A.</x:v>
      </x:c>
      <x:c r="C247" s="28" t="str">
        <x:v>Planta Curitiba</x:v>
      </x:c>
      <x:c r="D247" s="28" t="str">
        <x:v>Linha 6 - Finalização</x:v>
      </x:c>
      <x:c r="E247" s="28" t="str">
        <x:v>SKU-432</x:v>
      </x:c>
      <x:c r="F247" s="28" t="str">
        <x:v>Alimentos</x:v>
      </x:c>
      <x:c r="G247" s="30" t="n">
        <x:v>39989.56</x:v>
      </x:c>
      <x:c r="H247" s="30" t="n">
        <x:v>44412.54</x:v>
      </x:c>
      <x:c r="I247" s="30" t="n">
        <x:v>1527.67</x:v>
      </x:c>
      <x:c r="J247" s="30" t="n">
        <x:v>8451.22</x:v>
      </x:c>
      <x:c r="K247" s="30" t="n">
        <x:v>11898.38</x:v>
      </x:c>
      <x:c r="L247" s="30" t="n">
        <x:v>270340</x:v>
      </x:c>
      <x:c r="M247" s="32" t="n">
        <x:v>4311.42</x:v>
      </x:c>
      <x:c r="N247" s="32" t="n">
        <x:v>1863.01</x:v>
      </x:c>
    </x:row>
    <x:row r="248">
      <x:c r="A248" s="34" t="n">
        <x:v>45579</x:v>
      </x:c>
      <x:c r="B248" s="28" t="str">
        <x:v>Grupo Industrial S.A.</x:v>
      </x:c>
      <x:c r="C248" s="28" t="str">
        <x:v>Planta São Paulo</x:v>
      </x:c>
      <x:c r="D248" s="28" t="str">
        <x:v>Linha 1 - Corte</x:v>
      </x:c>
      <x:c r="E248" s="28" t="str">
        <x:v>SKU-001</x:v>
      </x:c>
      <x:c r="F248" s="28" t="str">
        <x:v>Alimentos</x:v>
      </x:c>
      <x:c r="G248" s="30" t="n">
        <x:v>62867.92</x:v>
      </x:c>
      <x:c r="H248" s="30" t="n">
        <x:v>30605.45</x:v>
      </x:c>
      <x:c r="I248" s="30" t="n">
        <x:v>1902.55</x:v>
      </x:c>
      <x:c r="J248" s="30" t="n">
        <x:v>7375.36</x:v>
      </x:c>
      <x:c r="K248" s="30" t="n">
        <x:v>14226.33</x:v>
      </x:c>
      <x:c r="L248" s="30" t="n">
        <x:v>419904</x:v>
      </x:c>
      <x:c r="M248" s="32" t="n">
        <x:v>6778.01</x:v>
      </x:c>
      <x:c r="N248" s="32" t="n">
        <x:v>2320.18</x:v>
      </x:c>
    </x:row>
    <x:row r="249">
      <x:c r="A249" s="34" t="n">
        <x:v>45579</x:v>
      </x:c>
      <x:c r="B249" s="28" t="str">
        <x:v>Grupo Industrial S.A.</x:v>
      </x:c>
      <x:c r="C249" s="28" t="str">
        <x:v>Planta São Paulo</x:v>
      </x:c>
      <x:c r="D249" s="28" t="str">
        <x:v>Linha 2 - Montagem</x:v>
      </x:c>
      <x:c r="E249" s="28" t="str">
        <x:v>SKU-002</x:v>
      </x:c>
      <x:c r="F249" s="28" t="str">
        <x:v>Alimentos</x:v>
      </x:c>
      <x:c r="G249" s="30" t="n">
        <x:v>58548.37</x:v>
      </x:c>
      <x:c r="H249" s="30" t="n">
        <x:v>37404.39</x:v>
      </x:c>
      <x:c r="I249" s="30" t="n">
        <x:v>1871.78</x:v>
      </x:c>
      <x:c r="J249" s="30" t="n">
        <x:v>8201.83</x:v>
      </x:c>
      <x:c r="K249" s="30" t="n">
        <x:v>14226.33</x:v>
      </x:c>
      <x:c r="L249" s="30" t="n">
        <x:v>400218</x:v>
      </x:c>
      <x:c r="M249" s="32" t="n">
        <x:v>6312.31</x:v>
      </x:c>
      <x:c r="N249" s="32" t="n">
        <x:v>2282.66</x:v>
      </x:c>
    </x:row>
    <x:row r="250">
      <x:c r="A250" s="34" t="n">
        <x:v>45579</x:v>
      </x:c>
      <x:c r="B250" s="28" t="str">
        <x:v>Grupo Industrial S.A.</x:v>
      </x:c>
      <x:c r="C250" s="28" t="str">
        <x:v>Planta Campinas</x:v>
      </x:c>
      <x:c r="D250" s="28" t="str">
        <x:v>Linha 3 - Extrusão</x:v>
      </x:c>
      <x:c r="E250" s="28" t="str">
        <x:v>SKU-078</x:v>
      </x:c>
      <x:c r="F250" s="28" t="str">
        <x:v>Higiene e Limpeza</x:v>
      </x:c>
      <x:c r="G250" s="30" t="n">
        <x:v>56363.38</x:v>
      </x:c>
      <x:c r="H250" s="30" t="n">
        <x:v>31896.86</x:v>
      </x:c>
      <x:c r="I250" s="30" t="n">
        <x:v>1934.49</x:v>
      </x:c>
      <x:c r="J250" s="30" t="n">
        <x:v>14664.19</x:v>
      </x:c>
      <x:c r="K250" s="30" t="n">
        <x:v>11898.38</x:v>
      </x:c>
      <x:c r="L250" s="30" t="n">
        <x:v>364872</x:v>
      </x:c>
      <x:c r="M250" s="32" t="n">
        <x:v>5899.74</x:v>
      </x:c>
      <x:c r="N250" s="32" t="n">
        <x:v>2359.13</x:v>
      </x:c>
    </x:row>
    <x:row r="251">
      <x:c r="A251" s="34" t="n">
        <x:v>45579</x:v>
      </x:c>
      <x:c r="B251" s="28" t="str">
        <x:v>Grupo Industrial S.A.</x:v>
      </x:c>
      <x:c r="C251" s="28" t="str">
        <x:v>Planta Campinas</x:v>
      </x:c>
      <x:c r="D251" s="28" t="str">
        <x:v>Linha 4 - Embalagem</x:v>
      </x:c>
      <x:c r="E251" s="28" t="str">
        <x:v>SKU-105</x:v>
      </x:c>
      <x:c r="F251" s="28" t="str">
        <x:v>Embalagens</x:v>
      </x:c>
      <x:c r="G251" s="30" t="n">
        <x:v>36272.44</x:v>
      </x:c>
      <x:c r="H251" s="30" t="n">
        <x:v>41346.69</x:v>
      </x:c>
      <x:c r="I251" s="30" t="n">
        <x:v>1486.6</x:v>
      </x:c>
      <x:c r="J251" s="30" t="n">
        <x:v>12407.84</x:v>
      </x:c>
      <x:c r="K251" s="30" t="n">
        <x:v>11898.38</x:v>
      </x:c>
      <x:c r="L251" s="30" t="n">
        <x:v>243295</x:v>
      </x:c>
      <x:c r="M251" s="32" t="n">
        <x:v>3796.76</x:v>
      </x:c>
      <x:c r="N251" s="32" t="n">
        <x:v>1812.92</x:v>
      </x:c>
    </x:row>
    <x:row r="252">
      <x:c r="A252" s="34" t="n">
        <x:v>45579</x:v>
      </x:c>
      <x:c r="B252" s="28" t="str">
        <x:v>Grupo Industrial S.A.</x:v>
      </x:c>
      <x:c r="C252" s="28" t="str">
        <x:v>Planta Curitiba</x:v>
      </x:c>
      <x:c r="D252" s="28" t="str">
        <x:v>Linha 5 - Usinagem</x:v>
      </x:c>
      <x:c r="E252" s="28" t="str">
        <x:v>SKU-223</x:v>
      </x:c>
      <x:c r="F252" s="28" t="str">
        <x:v>Bebidas</x:v>
      </x:c>
      <x:c r="G252" s="30" t="n">
        <x:v>51204.46</x:v>
      </x:c>
      <x:c r="H252" s="30" t="n">
        <x:v>34351.91</x:v>
      </x:c>
      <x:c r="I252" s="30" t="n">
        <x:v>1707.02</x:v>
      </x:c>
      <x:c r="J252" s="30" t="n">
        <x:v>8140.99</x:v>
      </x:c>
      <x:c r="K252" s="30" t="n">
        <x:v>11898.38</x:v>
      </x:c>
      <x:c r="L252" s="30" t="n">
        <x:v>339528</x:v>
      </x:c>
      <x:c r="M252" s="32" t="n">
        <x:v>5520.53</x:v>
      </x:c>
      <x:c r="N252" s="32" t="n">
        <x:v>2081.74</x:v>
      </x:c>
    </x:row>
    <x:row r="253">
      <x:c r="A253" s="34" t="n">
        <x:v>45579</x:v>
      </x:c>
      <x:c r="B253" s="28" t="str">
        <x:v>Grupo Industrial S.A.</x:v>
      </x:c>
      <x:c r="C253" s="28" t="str">
        <x:v>Planta Curitiba</x:v>
      </x:c>
      <x:c r="D253" s="28" t="str">
        <x:v>Linha 6 - Finalização</x:v>
      </x:c>
      <x:c r="E253" s="28" t="str">
        <x:v>SKU-432</x:v>
      </x:c>
      <x:c r="F253" s="28" t="str">
        <x:v>Alimentos</x:v>
      </x:c>
      <x:c r="G253" s="30" t="n">
        <x:v>39397.55</x:v>
      </x:c>
      <x:c r="H253" s="30" t="n">
        <x:v>44193.57</x:v>
      </x:c>
      <x:c r="I253" s="30" t="n">
        <x:v>1496.89</x:v>
      </x:c>
      <x:c r="J253" s="30" t="n">
        <x:v>9730.86</x:v>
      </x:c>
      <x:c r="K253" s="30" t="n">
        <x:v>11898.38</x:v>
      </x:c>
      <x:c r="L253" s="30" t="n">
        <x:v>261100</x:v>
      </x:c>
      <x:c r="M253" s="32" t="n">
        <x:v>4247.59</x:v>
      </x:c>
      <x:c r="N253" s="32" t="n">
        <x:v>1825.48</x:v>
      </x:c>
    </x:row>
    <x:row r="254">
      <x:c r="A254" s="34" t="n">
        <x:v>45586</x:v>
      </x:c>
      <x:c r="B254" s="28" t="str">
        <x:v>Grupo Industrial S.A.</x:v>
      </x:c>
      <x:c r="C254" s="28" t="str">
        <x:v>Planta São Paulo</x:v>
      </x:c>
      <x:c r="D254" s="28" t="str">
        <x:v>Linha 1 - Corte</x:v>
      </x:c>
      <x:c r="E254" s="28" t="str">
        <x:v>SKU-001</x:v>
      </x:c>
      <x:c r="F254" s="28" t="str">
        <x:v>Alimentos</x:v>
      </x:c>
      <x:c r="G254" s="30" t="n">
        <x:v>60193.11</x:v>
      </x:c>
      <x:c r="H254" s="30" t="n">
        <x:v>31089.83</x:v>
      </x:c>
      <x:c r="I254" s="30" t="n">
        <x:v>1792.67</x:v>
      </x:c>
      <x:c r="J254" s="30" t="n">
        <x:v>6155.81</x:v>
      </x:c>
      <x:c r="K254" s="30" t="n">
        <x:v>14226.33</x:v>
      </x:c>
      <x:c r="L254" s="30" t="n">
        <x:v>399384</x:v>
      </x:c>
      <x:c r="M254" s="32" t="n">
        <x:v>6489.63</x:v>
      </x:c>
      <x:c r="N254" s="32" t="n">
        <x:v>2186.18</x:v>
      </x:c>
    </x:row>
    <x:row r="255">
      <x:c r="A255" s="34" t="n">
        <x:v>45586</x:v>
      </x:c>
      <x:c r="B255" s="28" t="str">
        <x:v>Grupo Industrial S.A.</x:v>
      </x:c>
      <x:c r="C255" s="28" t="str">
        <x:v>Planta São Paulo</x:v>
      </x:c>
      <x:c r="D255" s="28" t="str">
        <x:v>Linha 2 - Montagem</x:v>
      </x:c>
      <x:c r="E255" s="28" t="str">
        <x:v>SKU-002</x:v>
      </x:c>
      <x:c r="F255" s="28" t="str">
        <x:v>Alimentos</x:v>
      </x:c>
      <x:c r="G255" s="30" t="n">
        <x:v>61316.01</x:v>
      </x:c>
      <x:c r="H255" s="30" t="n">
        <x:v>38440.08</x:v>
      </x:c>
      <x:c r="I255" s="30" t="n">
        <x:v>1899.39</x:v>
      </x:c>
      <x:c r="J255" s="30" t="n">
        <x:v>7004.33</x:v>
      </x:c>
      <x:c r="K255" s="30" t="n">
        <x:v>14226.33</x:v>
      </x:c>
      <x:c r="L255" s="30" t="n">
        <x:v>415896</x:v>
      </x:c>
      <x:c r="M255" s="32" t="n">
        <x:v>6610.7</x:v>
      </x:c>
      <x:c r="N255" s="32" t="n">
        <x:v>2316.32</x:v>
      </x:c>
    </x:row>
    <x:row r="256">
      <x:c r="A256" s="34" t="n">
        <x:v>45586</x:v>
      </x:c>
      <x:c r="B256" s="28" t="str">
        <x:v>Grupo Industrial S.A.</x:v>
      </x:c>
      <x:c r="C256" s="28" t="str">
        <x:v>Planta Campinas</x:v>
      </x:c>
      <x:c r="D256" s="28" t="str">
        <x:v>Linha 3 - Extrusão</x:v>
      </x:c>
      <x:c r="E256" s="28" t="str">
        <x:v>SKU-078</x:v>
      </x:c>
      <x:c r="F256" s="28" t="str">
        <x:v>Higiene e Limpeza</x:v>
      </x:c>
      <x:c r="G256" s="30" t="n">
        <x:v>59250.81</x:v>
      </x:c>
      <x:c r="H256" s="30" t="n">
        <x:v>31739.52</x:v>
      </x:c>
      <x:c r="I256" s="30" t="n">
        <x:v>1906.28</x:v>
      </x:c>
      <x:c r="J256" s="30" t="n">
        <x:v>14636.93</x:v>
      </x:c>
      <x:c r="K256" s="30" t="n">
        <x:v>11898.38</x:v>
      </x:c>
      <x:c r="L256" s="30" t="n">
        <x:v>378856</x:v>
      </x:c>
      <x:c r="M256" s="32" t="n">
        <x:v>6201.98</x:v>
      </x:c>
      <x:c r="N256" s="32" t="n">
        <x:v>2324.73</x:v>
      </x:c>
    </x:row>
    <x:row r="257">
      <x:c r="A257" s="34" t="n">
        <x:v>45586</x:v>
      </x:c>
      <x:c r="B257" s="28" t="str">
        <x:v>Grupo Industrial S.A.</x:v>
      </x:c>
      <x:c r="C257" s="28" t="str">
        <x:v>Planta Campinas</x:v>
      </x:c>
      <x:c r="D257" s="28" t="str">
        <x:v>Linha 4 - Embalagem</x:v>
      </x:c>
      <x:c r="E257" s="28" t="str">
        <x:v>SKU-105</x:v>
      </x:c>
      <x:c r="F257" s="28" t="str">
        <x:v>Embalagens</x:v>
      </x:c>
      <x:c r="G257" s="30" t="n">
        <x:v>34284.36</x:v>
      </x:c>
      <x:c r="H257" s="30" t="n">
        <x:v>41426.13</x:v>
      </x:c>
      <x:c r="I257" s="30" t="n">
        <x:v>1447.24</x:v>
      </x:c>
      <x:c r="J257" s="30" t="n">
        <x:v>11882.05</x:v>
      </x:c>
      <x:c r="K257" s="30" t="n">
        <x:v>11898.38</x:v>
      </x:c>
      <x:c r="L257" s="30" t="n">
        <x:v>231660</x:v>
      </x:c>
      <x:c r="M257" s="32" t="n">
        <x:v>3588.66</x:v>
      </x:c>
      <x:c r="N257" s="32" t="n">
        <x:v>1764.93</x:v>
      </x:c>
    </x:row>
    <x:row r="258">
      <x:c r="A258" s="34" t="n">
        <x:v>45586</x:v>
      </x:c>
      <x:c r="B258" s="28" t="str">
        <x:v>Grupo Industrial S.A.</x:v>
      </x:c>
      <x:c r="C258" s="28" t="str">
        <x:v>Planta Curitiba</x:v>
      </x:c>
      <x:c r="D258" s="28" t="str">
        <x:v>Linha 5 - Usinagem</x:v>
      </x:c>
      <x:c r="E258" s="28" t="str">
        <x:v>SKU-223</x:v>
      </x:c>
      <x:c r="F258" s="28" t="str">
        <x:v>Bebidas</x:v>
      </x:c>
      <x:c r="G258" s="30" t="n">
        <x:v>56671.38</x:v>
      </x:c>
      <x:c r="H258" s="30" t="n">
        <x:v>33821.2</x:v>
      </x:c>
      <x:c r="I258" s="30" t="n">
        <x:v>1869.53</x:v>
      </x:c>
      <x:c r="J258" s="30" t="n">
        <x:v>9254.69</x:v>
      </x:c>
      <x:c r="K258" s="30" t="n">
        <x:v>11898.38</x:v>
      </x:c>
      <x:c r="L258" s="30" t="n">
        <x:v>368592</x:v>
      </x:c>
      <x:c r="M258" s="32" t="n">
        <x:v>6109.94</x:v>
      </x:c>
      <x:c r="N258" s="32" t="n">
        <x:v>2279.92</x:v>
      </x:c>
    </x:row>
    <x:row r="259">
      <x:c r="A259" s="34" t="n">
        <x:v>45586</x:v>
      </x:c>
      <x:c r="B259" s="28" t="str">
        <x:v>Grupo Industrial S.A.</x:v>
      </x:c>
      <x:c r="C259" s="28" t="str">
        <x:v>Planta Curitiba</x:v>
      </x:c>
      <x:c r="D259" s="28" t="str">
        <x:v>Linha 6 - Finalização</x:v>
      </x:c>
      <x:c r="E259" s="28" t="str">
        <x:v>SKU-432</x:v>
      </x:c>
      <x:c r="F259" s="28" t="str">
        <x:v>Alimentos</x:v>
      </x:c>
      <x:c r="G259" s="30" t="n">
        <x:v>43160.14</x:v>
      </x:c>
      <x:c r="H259" s="30" t="n">
        <x:v>44492.44</x:v>
      </x:c>
      <x:c r="I259" s="30" t="n">
        <x:v>1586.25</x:v>
      </x:c>
      <x:c r="J259" s="30" t="n">
        <x:v>8792.79</x:v>
      </x:c>
      <x:c r="K259" s="30" t="n">
        <x:v>11898.38</x:v>
      </x:c>
      <x:c r="L259" s="30" t="n">
        <x:v>295330</x:v>
      </x:c>
      <x:c r="M259" s="32" t="n">
        <x:v>4653.25</x:v>
      </x:c>
      <x:c r="N259" s="32" t="n">
        <x:v>1934.45</x:v>
      </x:c>
    </x:row>
    <x:row r="260">
      <x:c r="A260" s="34" t="n">
        <x:v>45593</x:v>
      </x:c>
      <x:c r="B260" s="28" t="str">
        <x:v>Grupo Industrial S.A.</x:v>
      </x:c>
      <x:c r="C260" s="28" t="str">
        <x:v>Planta São Paulo</x:v>
      </x:c>
      <x:c r="D260" s="28" t="str">
        <x:v>Linha 1 - Corte</x:v>
      </x:c>
      <x:c r="E260" s="28" t="str">
        <x:v>SKU-001</x:v>
      </x:c>
      <x:c r="F260" s="28" t="str">
        <x:v>Alimentos</x:v>
      </x:c>
      <x:c r="G260" s="30" t="n">
        <x:v>60904.62</x:v>
      </x:c>
      <x:c r="H260" s="30" t="n">
        <x:v>31026.5</x:v>
      </x:c>
      <x:c r="I260" s="30" t="n">
        <x:v>1845.66</x:v>
      </x:c>
      <x:c r="J260" s="30" t="n">
        <x:v>7545.8</x:v>
      </x:c>
      <x:c r="K260" s="30" t="n">
        <x:v>14226.33</x:v>
      </x:c>
      <x:c r="L260" s="30" t="n">
        <x:v>414720</x:v>
      </x:c>
      <x:c r="M260" s="32" t="n">
        <x:v>6566.34</x:v>
      </x:c>
      <x:c r="N260" s="32" t="n">
        <x:v>2250.8</x:v>
      </x:c>
    </x:row>
    <x:row r="261">
      <x:c r="A261" s="34" t="n">
        <x:v>45593</x:v>
      </x:c>
      <x:c r="B261" s="28" t="str">
        <x:v>Grupo Industrial S.A.</x:v>
      </x:c>
      <x:c r="C261" s="28" t="str">
        <x:v>Planta São Paulo</x:v>
      </x:c>
      <x:c r="D261" s="28" t="str">
        <x:v>Linha 2 - Montagem</x:v>
      </x:c>
      <x:c r="E261" s="28" t="str">
        <x:v>SKU-002</x:v>
      </x:c>
      <x:c r="F261" s="28" t="str">
        <x:v>Alimentos</x:v>
      </x:c>
      <x:c r="G261" s="30" t="n">
        <x:v>63481.91</x:v>
      </x:c>
      <x:c r="H261" s="30" t="n">
        <x:v>37542.17</x:v>
      </x:c>
      <x:c r="I261" s="30" t="n">
        <x:v>1906.1</x:v>
      </x:c>
      <x:c r="J261" s="30" t="n">
        <x:v>7749.02</x:v>
      </x:c>
      <x:c r="K261" s="30" t="n">
        <x:v>14226.33</x:v>
      </x:c>
      <x:c r="L261" s="30" t="n">
        <x:v>423618</x:v>
      </x:c>
      <x:c r="M261" s="32" t="n">
        <x:v>6844.21</x:v>
      </x:c>
      <x:c r="N261" s="32" t="n">
        <x:v>2324.51</x:v>
      </x:c>
    </x:row>
    <x:row r="262">
      <x:c r="A262" s="34" t="n">
        <x:v>45593</x:v>
      </x:c>
      <x:c r="B262" s="28" t="str">
        <x:v>Grupo Industrial S.A.</x:v>
      </x:c>
      <x:c r="C262" s="28" t="str">
        <x:v>Planta Campinas</x:v>
      </x:c>
      <x:c r="D262" s="28" t="str">
        <x:v>Linha 3 - Extrusão</x:v>
      </x:c>
      <x:c r="E262" s="28" t="str">
        <x:v>SKU-078</x:v>
      </x:c>
      <x:c r="F262" s="28" t="str">
        <x:v>Higiene e Limpeza</x:v>
      </x:c>
      <x:c r="G262" s="30" t="n">
        <x:v>56891.74</x:v>
      </x:c>
      <x:c r="H262" s="30" t="n">
        <x:v>32361.91</x:v>
      </x:c>
      <x:c r="I262" s="30" t="n">
        <x:v>1955.09</x:v>
      </x:c>
      <x:c r="J262" s="30" t="n">
        <x:v>13883.01</x:v>
      </x:c>
      <x:c r="K262" s="30" t="n">
        <x:v>11898.38</x:v>
      </x:c>
      <x:c r="L262" s="30" t="n">
        <x:v>369288</x:v>
      </x:c>
      <x:c r="M262" s="32" t="n">
        <x:v>5955.05</x:v>
      </x:c>
      <x:c r="N262" s="32" t="n">
        <x:v>2384.25</x:v>
      </x:c>
    </x:row>
    <x:row r="263">
      <x:c r="A263" s="34" t="n">
        <x:v>45593</x:v>
      </x:c>
      <x:c r="B263" s="28" t="str">
        <x:v>Grupo Industrial S.A.</x:v>
      </x:c>
      <x:c r="C263" s="28" t="str">
        <x:v>Planta Campinas</x:v>
      </x:c>
      <x:c r="D263" s="28" t="str">
        <x:v>Linha 4 - Embalagem</x:v>
      </x:c>
      <x:c r="E263" s="28" t="str">
        <x:v>SKU-105</x:v>
      </x:c>
      <x:c r="F263" s="28" t="str">
        <x:v>Embalagens</x:v>
      </x:c>
      <x:c r="G263" s="30" t="n">
        <x:v>33818.4</x:v>
      </x:c>
      <x:c r="H263" s="30" t="n">
        <x:v>40062.31</x:v>
      </x:c>
      <x:c r="I263" s="30" t="n">
        <x:v>1450.51</x:v>
      </x:c>
      <x:c r="J263" s="30" t="n">
        <x:v>12601.08</x:v>
      </x:c>
      <x:c r="K263" s="30" t="n">
        <x:v>11898.38</x:v>
      </x:c>
      <x:c r="L263" s="30" t="n">
        <x:v>228475</x:v>
      </x:c>
      <x:c r="M263" s="32" t="n">
        <x:v>3539.88</x:v>
      </x:c>
      <x:c r="N263" s="32" t="n">
        <x:v>1768.92</x:v>
      </x:c>
    </x:row>
    <x:row r="264">
      <x:c r="A264" s="34" t="n">
        <x:v>45593</x:v>
      </x:c>
      <x:c r="B264" s="28" t="str">
        <x:v>Grupo Industrial S.A.</x:v>
      </x:c>
      <x:c r="C264" s="28" t="str">
        <x:v>Planta Curitiba</x:v>
      </x:c>
      <x:c r="D264" s="28" t="str">
        <x:v>Linha 5 - Usinagem</x:v>
      </x:c>
      <x:c r="E264" s="28" t="str">
        <x:v>SKU-223</x:v>
      </x:c>
      <x:c r="F264" s="28" t="str">
        <x:v>Bebidas</x:v>
      </x:c>
      <x:c r="G264" s="30" t="n">
        <x:v>59943.87</x:v>
      </x:c>
      <x:c r="H264" s="30" t="n">
        <x:v>32840.68</x:v>
      </x:c>
      <x:c r="I264" s="30" t="n">
        <x:v>1953.25</x:v>
      </x:c>
      <x:c r="J264" s="30" t="n">
        <x:v>9251.52</x:v>
      </x:c>
      <x:c r="K264" s="30" t="n">
        <x:v>11898.38</x:v>
      </x:c>
      <x:c r="L264" s="30" t="n">
        <x:v>393708</x:v>
      </x:c>
      <x:c r="M264" s="32" t="n">
        <x:v>6462.76</x:v>
      </x:c>
      <x:c r="N264" s="32" t="n">
        <x:v>2382.01</x:v>
      </x:c>
    </x:row>
    <x:row r="265">
      <x:c r="A265" s="34" t="n">
        <x:v>45593</x:v>
      </x:c>
      <x:c r="B265" s="28" t="str">
        <x:v>Grupo Industrial S.A.</x:v>
      </x:c>
      <x:c r="C265" s="28" t="str">
        <x:v>Planta Curitiba</x:v>
      </x:c>
      <x:c r="D265" s="28" t="str">
        <x:v>Linha 6 - Finalização</x:v>
      </x:c>
      <x:c r="E265" s="28" t="str">
        <x:v>SKU-432</x:v>
      </x:c>
      <x:c r="F265" s="28" t="str">
        <x:v>Alimentos</x:v>
      </x:c>
      <x:c r="G265" s="30" t="n">
        <x:v>41134.12</x:v>
      </x:c>
      <x:c r="H265" s="30" t="n">
        <x:v>45394.44</x:v>
      </x:c>
      <x:c r="I265" s="30" t="n">
        <x:v>1452.45</x:v>
      </x:c>
      <x:c r="J265" s="30" t="n">
        <x:v>8225.12</x:v>
      </x:c>
      <x:c r="K265" s="30" t="n">
        <x:v>11898.38</x:v>
      </x:c>
      <x:c r="L265" s="30" t="n">
        <x:v>271740</x:v>
      </x:c>
      <x:c r="M265" s="32" t="n">
        <x:v>4434.82</x:v>
      </x:c>
      <x:c r="N265" s="32" t="n">
        <x:v>1771.28</x:v>
      </x:c>
    </x:row>
    <x:row r="266">
      <x:c r="A266" s="34" t="n">
        <x:v>45600</x:v>
      </x:c>
      <x:c r="B266" s="28" t="str">
        <x:v>Grupo Industrial S.A.</x:v>
      </x:c>
      <x:c r="C266" s="28" t="str">
        <x:v>Planta São Paulo</x:v>
      </x:c>
      <x:c r="D266" s="28" t="str">
        <x:v>Linha 1 - Corte</x:v>
      </x:c>
      <x:c r="E266" s="28" t="str">
        <x:v>SKU-001</x:v>
      </x:c>
      <x:c r="F266" s="28" t="str">
        <x:v>Alimentos</x:v>
      </x:c>
      <x:c r="G266" s="30" t="n">
        <x:v>62831.9</x:v>
      </x:c>
      <x:c r="H266" s="30" t="n">
        <x:v>31476.73</x:v>
      </x:c>
      <x:c r="I266" s="30" t="n">
        <x:v>1824.4</x:v>
      </x:c>
      <x:c r="J266" s="30" t="n">
        <x:v>6176.89</x:v>
      </x:c>
      <x:c r="K266" s="30" t="n">
        <x:v>14226.33</x:v>
      </x:c>
      <x:c r="L266" s="30" t="n">
        <x:v>421272</x:v>
      </x:c>
      <x:c r="M266" s="32" t="n">
        <x:v>6768.03</x:v>
      </x:c>
      <x:c r="N266" s="32" t="n">
        <x:v>2224.87</x:v>
      </x:c>
    </x:row>
    <x:row r="267">
      <x:c r="A267" s="34" t="n">
        <x:v>45600</x:v>
      </x:c>
      <x:c r="B267" s="28" t="str">
        <x:v>Grupo Industrial S.A.</x:v>
      </x:c>
      <x:c r="C267" s="28" t="str">
        <x:v>Planta São Paulo</x:v>
      </x:c>
      <x:c r="D267" s="28" t="str">
        <x:v>Linha 2 - Montagem</x:v>
      </x:c>
      <x:c r="E267" s="28" t="str">
        <x:v>SKU-002</x:v>
      </x:c>
      <x:c r="F267" s="28" t="str">
        <x:v>Alimentos</x:v>
      </x:c>
      <x:c r="G267" s="30" t="n">
        <x:v>54022.85</x:v>
      </x:c>
      <x:c r="H267" s="30" t="n">
        <x:v>39510.41</x:v>
      </x:c>
      <x:c r="I267" s="30" t="n">
        <x:v>1738.95</x:v>
      </x:c>
      <x:c r="J267" s="30" t="n">
        <x:v>6512.27</x:v>
      </x:c>
      <x:c r="K267" s="30" t="n">
        <x:v>14226.33</x:v>
      </x:c>
      <x:c r="L267" s="30" t="n">
        <x:v>372216</x:v>
      </x:c>
      <x:c r="M267" s="32" t="n">
        <x:v>5819.15</x:v>
      </x:c>
      <x:c r="N267" s="32" t="n">
        <x:v>2120.67</x:v>
      </x:c>
    </x:row>
    <x:row r="268">
      <x:c r="A268" s="34" t="n">
        <x:v>45600</x:v>
      </x:c>
      <x:c r="B268" s="28" t="str">
        <x:v>Grupo Industrial S.A.</x:v>
      </x:c>
      <x:c r="C268" s="28" t="str">
        <x:v>Planta Campinas</x:v>
      </x:c>
      <x:c r="D268" s="28" t="str">
        <x:v>Linha 3 - Extrusão</x:v>
      </x:c>
      <x:c r="E268" s="28" t="str">
        <x:v>SKU-078</x:v>
      </x:c>
      <x:c r="F268" s="28" t="str">
        <x:v>Higiene e Limpeza</x:v>
      </x:c>
      <x:c r="G268" s="30" t="n">
        <x:v>58104.76</x:v>
      </x:c>
      <x:c r="H268" s="30" t="n">
        <x:v>32328.44</x:v>
      </x:c>
      <x:c r="I268" s="30" t="n">
        <x:v>1886.34</x:v>
      </x:c>
      <x:c r="J268" s="30" t="n">
        <x:v>14068.16</x:v>
      </x:c>
      <x:c r="K268" s="30" t="n">
        <x:v>11898.38</x:v>
      </x:c>
      <x:c r="L268" s="30" t="n">
        <x:v>374348</x:v>
      </x:c>
      <x:c r="M268" s="32" t="n">
        <x:v>6076.54</x:v>
      </x:c>
      <x:c r="N268" s="32" t="n">
        <x:v>2300.42</x:v>
      </x:c>
    </x:row>
    <x:row r="269">
      <x:c r="A269" s="34" t="n">
        <x:v>45600</x:v>
      </x:c>
      <x:c r="B269" s="28" t="str">
        <x:v>Grupo Industrial S.A.</x:v>
      </x:c>
      <x:c r="C269" s="28" t="str">
        <x:v>Planta Campinas</x:v>
      </x:c>
      <x:c r="D269" s="28" t="str">
        <x:v>Linha 4 - Embalagem</x:v>
      </x:c>
      <x:c r="E269" s="28" t="str">
        <x:v>SKU-105</x:v>
      </x:c>
      <x:c r="F269" s="28" t="str">
        <x:v>Embalagens</x:v>
      </x:c>
      <x:c r="G269" s="30" t="n">
        <x:v>34619.63</x:v>
      </x:c>
      <x:c r="H269" s="30" t="n">
        <x:v>40236.59</x:v>
      </x:c>
      <x:c r="I269" s="30" t="n">
        <x:v>1466.9</x:v>
      </x:c>
      <x:c r="J269" s="30" t="n">
        <x:v>12218.43</x:v>
      </x:c>
      <x:c r="K269" s="30" t="n">
        <x:v>11898.38</x:v>
      </x:c>
      <x:c r="L269" s="30" t="n">
        <x:v>230685</x:v>
      </x:c>
      <x:c r="M269" s="32" t="n">
        <x:v>3620.49</x:v>
      </x:c>
      <x:c r="N269" s="32" t="n">
        <x:v>1788.9</x:v>
      </x:c>
    </x:row>
    <x:row r="270">
      <x:c r="A270" s="34" t="n">
        <x:v>45600</x:v>
      </x:c>
      <x:c r="B270" s="28" t="str">
        <x:v>Grupo Industrial S.A.</x:v>
      </x:c>
      <x:c r="C270" s="28" t="str">
        <x:v>Planta Curitiba</x:v>
      </x:c>
      <x:c r="D270" s="28" t="str">
        <x:v>Linha 5 - Usinagem</x:v>
      </x:c>
      <x:c r="E270" s="28" t="str">
        <x:v>SKU-223</x:v>
      </x:c>
      <x:c r="F270" s="28" t="str">
        <x:v>Bebidas</x:v>
      </x:c>
      <x:c r="G270" s="30" t="n">
        <x:v>52213.03</x:v>
      </x:c>
      <x:c r="H270" s="30" t="n">
        <x:v>32280.72</x:v>
      </x:c>
      <x:c r="I270" s="30" t="n">
        <x:v>1851.1</x:v>
      </x:c>
      <x:c r="J270" s="30" t="n">
        <x:v>9568.42</x:v>
      </x:c>
      <x:c r="K270" s="30" t="n">
        <x:v>11898.38</x:v>
      </x:c>
      <x:c r="L270" s="30" t="n">
        <x:v>347340</x:v>
      </x:c>
      <x:c r="M270" s="32" t="n">
        <x:v>5624.2</x:v>
      </x:c>
      <x:c r="N270" s="32" t="n">
        <x:v>2257.44</x:v>
      </x:c>
    </x:row>
    <x:row r="271">
      <x:c r="A271" s="34" t="n">
        <x:v>45600</x:v>
      </x:c>
      <x:c r="B271" s="28" t="str">
        <x:v>Grupo Industrial S.A.</x:v>
      </x:c>
      <x:c r="C271" s="28" t="str">
        <x:v>Planta Curitiba</x:v>
      </x:c>
      <x:c r="D271" s="28" t="str">
        <x:v>Linha 6 - Finalização</x:v>
      </x:c>
      <x:c r="E271" s="28" t="str">
        <x:v>SKU-432</x:v>
      </x:c>
      <x:c r="F271" s="28" t="str">
        <x:v>Alimentos</x:v>
      </x:c>
      <x:c r="G271" s="30" t="n">
        <x:v>40774.01</x:v>
      </x:c>
      <x:c r="H271" s="30" t="n">
        <x:v>43462.52</x:v>
      </x:c>
      <x:c r="I271" s="30" t="n">
        <x:v>1449.47</x:v>
      </x:c>
      <x:c r="J271" s="30" t="n">
        <x:v>9285.57</x:v>
      </x:c>
      <x:c r="K271" s="30" t="n">
        <x:v>11898.38</x:v>
      </x:c>
      <x:c r="L271" s="30" t="n">
        <x:v>269570</x:v>
      </x:c>
      <x:c r="M271" s="32" t="n">
        <x:v>4392.03</x:v>
      </x:c>
      <x:c r="N271" s="32" t="n">
        <x:v>1767.64</x:v>
      </x:c>
    </x:row>
    <x:row r="272">
      <x:c r="A272" s="34" t="n">
        <x:v>45607</x:v>
      </x:c>
      <x:c r="B272" s="28" t="str">
        <x:v>Grupo Industrial S.A.</x:v>
      </x:c>
      <x:c r="C272" s="28" t="str">
        <x:v>Planta São Paulo</x:v>
      </x:c>
      <x:c r="D272" s="28" t="str">
        <x:v>Linha 1 - Corte</x:v>
      </x:c>
      <x:c r="E272" s="28" t="str">
        <x:v>SKU-001</x:v>
      </x:c>
      <x:c r="F272" s="28" t="str">
        <x:v>Alimentos</x:v>
      </x:c>
      <x:c r="G272" s="30" t="n">
        <x:v>61434.76</x:v>
      </x:c>
      <x:c r="H272" s="30" t="n">
        <x:v>30826.13</x:v>
      </x:c>
      <x:c r="I272" s="30" t="n">
        <x:v>1809.47</x:v>
      </x:c>
      <x:c r="J272" s="30" t="n">
        <x:v>7385.55</x:v>
      </x:c>
      <x:c r="K272" s="30" t="n">
        <x:v>14226.33</x:v>
      </x:c>
      <x:c r="L272" s="30" t="n">
        <x:v>413640</x:v>
      </x:c>
      <x:c r="M272" s="32" t="n">
        <x:v>6617.53</x:v>
      </x:c>
      <x:c r="N272" s="32" t="n">
        <x:v>2206.67</x:v>
      </x:c>
    </x:row>
    <x:row r="273">
      <x:c r="A273" s="34" t="n">
        <x:v>45607</x:v>
      </x:c>
      <x:c r="B273" s="28" t="str">
        <x:v>Grupo Industrial S.A.</x:v>
      </x:c>
      <x:c r="C273" s="28" t="str">
        <x:v>Planta São Paulo</x:v>
      </x:c>
      <x:c r="D273" s="28" t="str">
        <x:v>Linha 2 - Montagem</x:v>
      </x:c>
      <x:c r="E273" s="28" t="str">
        <x:v>SKU-002</x:v>
      </x:c>
      <x:c r="F273" s="28" t="str">
        <x:v>Alimentos</x:v>
      </x:c>
      <x:c r="G273" s="30" t="n">
        <x:v>58838.11</x:v>
      </x:c>
      <x:c r="H273" s="30" t="n">
        <x:v>37470.35</x:v>
      </x:c>
      <x:c r="I273" s="30" t="n">
        <x:v>1801.51</x:v>
      </x:c>
      <x:c r="J273" s="30" t="n">
        <x:v>7471.19</x:v>
      </x:c>
      <x:c r="K273" s="30" t="n">
        <x:v>14226.33</x:v>
      </x:c>
      <x:c r="L273" s="30" t="n">
        <x:v>393354</x:v>
      </x:c>
      <x:c r="M273" s="32" t="n">
        <x:v>6337.83</x:v>
      </x:c>
      <x:c r="N273" s="32" t="n">
        <x:v>2196.97</x:v>
      </x:c>
    </x:row>
    <x:row r="274">
      <x:c r="A274" s="34" t="n">
        <x:v>45607</x:v>
      </x:c>
      <x:c r="B274" s="28" t="str">
        <x:v>Grupo Industrial S.A.</x:v>
      </x:c>
      <x:c r="C274" s="28" t="str">
        <x:v>Planta Campinas</x:v>
      </x:c>
      <x:c r="D274" s="28" t="str">
        <x:v>Linha 3 - Extrusão</x:v>
      </x:c>
      <x:c r="E274" s="28" t="str">
        <x:v>SKU-078</x:v>
      </x:c>
      <x:c r="F274" s="28" t="str">
        <x:v>Higiene e Limpeza</x:v>
      </x:c>
      <x:c r="G274" s="30" t="n">
        <x:v>58758.36</x:v>
      </x:c>
      <x:c r="H274" s="30" t="n">
        <x:v>32423.99</x:v>
      </x:c>
      <x:c r="I274" s="30" t="n">
        <x:v>1898.2</x:v>
      </x:c>
      <x:c r="J274" s="30" t="n">
        <x:v>13186.68</x:v>
      </x:c>
      <x:c r="K274" s="30" t="n">
        <x:v>11898.38</x:v>
      </x:c>
      <x:c r="L274" s="30" t="n">
        <x:v>379224</x:v>
      </x:c>
      <x:c r="M274" s="32" t="n">
        <x:v>6144.89</x:v>
      </x:c>
      <x:c r="N274" s="32" t="n">
        <x:v>2314.88</x:v>
      </x:c>
    </x:row>
    <x:row r="275">
      <x:c r="A275" s="34" t="n">
        <x:v>45607</x:v>
      </x:c>
      <x:c r="B275" s="28" t="str">
        <x:v>Grupo Industrial S.A.</x:v>
      </x:c>
      <x:c r="C275" s="28" t="str">
        <x:v>Planta Campinas</x:v>
      </x:c>
      <x:c r="D275" s="28" t="str">
        <x:v>Linha 4 - Embalagem</x:v>
      </x:c>
      <x:c r="E275" s="28" t="str">
        <x:v>SKU-105</x:v>
      </x:c>
      <x:c r="F275" s="28" t="str">
        <x:v>Embalagens</x:v>
      </x:c>
      <x:c r="G275" s="30" t="n">
        <x:v>36470.12</x:v>
      </x:c>
      <x:c r="H275" s="30" t="n">
        <x:v>41734.61</x:v>
      </x:c>
      <x:c r="I275" s="30" t="n">
        <x:v>1467.07</x:v>
      </x:c>
      <x:c r="J275" s="30" t="n">
        <x:v>12064.19</x:v>
      </x:c>
      <x:c r="K275" s="30" t="n">
        <x:v>11898.38</x:v>
      </x:c>
      <x:c r="L275" s="30" t="n">
        <x:v>236665</x:v>
      </x:c>
      <x:c r="M275" s="32" t="n">
        <x:v>3814.01</x:v>
      </x:c>
      <x:c r="N275" s="32" t="n">
        <x:v>1789.11</x:v>
      </x:c>
    </x:row>
    <x:row r="276">
      <x:c r="A276" s="34" t="n">
        <x:v>45607</x:v>
      </x:c>
      <x:c r="B276" s="28" t="str">
        <x:v>Grupo Industrial S.A.</x:v>
      </x:c>
      <x:c r="C276" s="28" t="str">
        <x:v>Planta Curitiba</x:v>
      </x:c>
      <x:c r="D276" s="28" t="str">
        <x:v>Linha 5 - Usinagem</x:v>
      </x:c>
      <x:c r="E276" s="28" t="str">
        <x:v>SKU-223</x:v>
      </x:c>
      <x:c r="F276" s="28" t="str">
        <x:v>Bebidas</x:v>
      </x:c>
      <x:c r="G276" s="30" t="n">
        <x:v>54441.34</x:v>
      </x:c>
      <x:c r="H276" s="30" t="n">
        <x:v>33912.52</x:v>
      </x:c>
      <x:c r="I276" s="30" t="n">
        <x:v>1909.17</x:v>
      </x:c>
      <x:c r="J276" s="30" t="n">
        <x:v>7708.62</x:v>
      </x:c>
      <x:c r="K276" s="30" t="n">
        <x:v>11898.38</x:v>
      </x:c>
      <x:c r="L276" s="30" t="n">
        <x:v>357084</x:v>
      </x:c>
      <x:c r="M276" s="32" t="n">
        <x:v>5864.23</x:v>
      </x:c>
      <x:c r="N276" s="32" t="n">
        <x:v>2328.26</x:v>
      </x:c>
    </x:row>
    <x:row r="277">
      <x:c r="A277" s="34" t="n">
        <x:v>45607</x:v>
      </x:c>
      <x:c r="B277" s="28" t="str">
        <x:v>Grupo Industrial S.A.</x:v>
      </x:c>
      <x:c r="C277" s="28" t="str">
        <x:v>Planta Curitiba</x:v>
      </x:c>
      <x:c r="D277" s="28" t="str">
        <x:v>Linha 6 - Finalização</x:v>
      </x:c>
      <x:c r="E277" s="28" t="str">
        <x:v>SKU-432</x:v>
      </x:c>
      <x:c r="F277" s="28" t="str">
        <x:v>Alimentos</x:v>
      </x:c>
      <x:c r="G277" s="30" t="n">
        <x:v>40100.22</x:v>
      </x:c>
      <x:c r="H277" s="30" t="n">
        <x:v>44188.52</x:v>
      </x:c>
      <x:c r="I277" s="30" t="n">
        <x:v>1484.13</x:v>
      </x:c>
      <x:c r="J277" s="30" t="n">
        <x:v>9483.53</x:v>
      </x:c>
      <x:c r="K277" s="30" t="n">
        <x:v>11898.38</x:v>
      </x:c>
      <x:c r="L277" s="30" t="n">
        <x:v>267470</x:v>
      </x:c>
      <x:c r="M277" s="32" t="n">
        <x:v>4319.45</x:v>
      </x:c>
      <x:c r="N277" s="32" t="n">
        <x:v>1809.91</x:v>
      </x:c>
    </x:row>
    <x:row r="278">
      <x:c r="A278" s="34" t="n">
        <x:v>45614</x:v>
      </x:c>
      <x:c r="B278" s="28" t="str">
        <x:v>Grupo Industrial S.A.</x:v>
      </x:c>
      <x:c r="C278" s="28" t="str">
        <x:v>Planta São Paulo</x:v>
      </x:c>
      <x:c r="D278" s="28" t="str">
        <x:v>Linha 1 - Corte</x:v>
      </x:c>
      <x:c r="E278" s="28" t="str">
        <x:v>SKU-001</x:v>
      </x:c>
      <x:c r="F278" s="28" t="str">
        <x:v>Alimentos</x:v>
      </x:c>
      <x:c r="G278" s="30" t="n">
        <x:v>63916.3</x:v>
      </x:c>
      <x:c r="H278" s="30" t="n">
        <x:v>30892.8</x:v>
      </x:c>
      <x:c r="I278" s="30" t="n">
        <x:v>2021.01</x:v>
      </x:c>
      <x:c r="J278" s="30" t="n">
        <x:v>7523.79</x:v>
      </x:c>
      <x:c r="K278" s="30" t="n">
        <x:v>14226.33</x:v>
      </x:c>
      <x:c r="L278" s="30" t="n">
        <x:v>432576</x:v>
      </x:c>
      <x:c r="M278" s="32" t="n">
        <x:v>6884.83</x:v>
      </x:c>
      <x:c r="N278" s="32" t="n">
        <x:v>2464.65</x:v>
      </x:c>
    </x:row>
    <x:row r="279">
      <x:c r="A279" s="34" t="n">
        <x:v>45614</x:v>
      </x:c>
      <x:c r="B279" s="28" t="str">
        <x:v>Grupo Industrial S.A.</x:v>
      </x:c>
      <x:c r="C279" s="28" t="str">
        <x:v>Planta São Paulo</x:v>
      </x:c>
      <x:c r="D279" s="28" t="str">
        <x:v>Linha 2 - Montagem</x:v>
      </x:c>
      <x:c r="E279" s="28" t="str">
        <x:v>SKU-002</x:v>
      </x:c>
      <x:c r="F279" s="28" t="str">
        <x:v>Alimentos</x:v>
      </x:c>
      <x:c r="G279" s="30" t="n">
        <x:v>63780.91</x:v>
      </x:c>
      <x:c r="H279" s="30" t="n">
        <x:v>39883.07</x:v>
      </x:c>
      <x:c r="I279" s="30" t="n">
        <x:v>1937.71</x:v>
      </x:c>
      <x:c r="J279" s="30" t="n">
        <x:v>6271.9</x:v>
      </x:c>
      <x:c r="K279" s="30" t="n">
        <x:v>14226.33</x:v>
      </x:c>
      <x:c r="L279" s="30" t="n">
        <x:v>426192</x:v>
      </x:c>
      <x:c r="M279" s="32" t="n">
        <x:v>6870.25</x:v>
      </x:c>
      <x:c r="N279" s="32" t="n">
        <x:v>2363.06</x:v>
      </x:c>
    </x:row>
    <x:row r="280">
      <x:c r="A280" s="34" t="n">
        <x:v>45614</x:v>
      </x:c>
      <x:c r="B280" s="28" t="str">
        <x:v>Grupo Industrial S.A.</x:v>
      </x:c>
      <x:c r="C280" s="28" t="str">
        <x:v>Planta Campinas</x:v>
      </x:c>
      <x:c r="D280" s="28" t="str">
        <x:v>Linha 3 - Extrusão</x:v>
      </x:c>
      <x:c r="E280" s="28" t="str">
        <x:v>SKU-078</x:v>
      </x:c>
      <x:c r="F280" s="28" t="str">
        <x:v>Higiene e Limpeza</x:v>
      </x:c>
      <x:c r="G280" s="30" t="n">
        <x:v>58153.12</x:v>
      </x:c>
      <x:c r="H280" s="30" t="n">
        <x:v>32978</x:v>
      </x:c>
      <x:c r="I280" s="30" t="n">
        <x:v>1952.93</x:v>
      </x:c>
      <x:c r="J280" s="30" t="n">
        <x:v>13267.94</x:v>
      </x:c>
      <x:c r="K280" s="30" t="n">
        <x:v>11898.38</x:v>
      </x:c>
      <x:c r="L280" s="30" t="n">
        <x:v>369656</x:v>
      </x:c>
      <x:c r="M280" s="32" t="n">
        <x:v>6081.6</x:v>
      </x:c>
      <x:c r="N280" s="32" t="n">
        <x:v>2381.62</x:v>
      </x:c>
    </x:row>
    <x:row r="281">
      <x:c r="A281" s="34" t="n">
        <x:v>45614</x:v>
      </x:c>
      <x:c r="B281" s="28" t="str">
        <x:v>Grupo Industrial S.A.</x:v>
      </x:c>
      <x:c r="C281" s="28" t="str">
        <x:v>Planta Campinas</x:v>
      </x:c>
      <x:c r="D281" s="28" t="str">
        <x:v>Linha 4 - Embalagem</x:v>
      </x:c>
      <x:c r="E281" s="28" t="str">
        <x:v>SKU-105</x:v>
      </x:c>
      <x:c r="F281" s="28" t="str">
        <x:v>Embalagens</x:v>
      </x:c>
      <x:c r="G281" s="30" t="n">
        <x:v>35489.83</x:v>
      </x:c>
      <x:c r="H281" s="30" t="n">
        <x:v>40115.85</x:v>
      </x:c>
      <x:c r="I281" s="30" t="n">
        <x:v>1458.43</x:v>
      </x:c>
      <x:c r="J281" s="30" t="n">
        <x:v>14316.98</x:v>
      </x:c>
      <x:c r="K281" s="30" t="n">
        <x:v>11898.38</x:v>
      </x:c>
      <x:c r="L281" s="30" t="n">
        <x:v>238810</x:v>
      </x:c>
      <x:c r="M281" s="32" t="n">
        <x:v>3711.49</x:v>
      </x:c>
      <x:c r="N281" s="32" t="n">
        <x:v>1778.57</x:v>
      </x:c>
    </x:row>
    <x:row r="282">
      <x:c r="A282" s="34" t="n">
        <x:v>45614</x:v>
      </x:c>
      <x:c r="B282" s="28" t="str">
        <x:v>Grupo Industrial S.A.</x:v>
      </x:c>
      <x:c r="C282" s="28" t="str">
        <x:v>Planta Curitiba</x:v>
      </x:c>
      <x:c r="D282" s="28" t="str">
        <x:v>Linha 5 - Usinagem</x:v>
      </x:c>
      <x:c r="E282" s="28" t="str">
        <x:v>SKU-223</x:v>
      </x:c>
      <x:c r="F282" s="28" t="str">
        <x:v>Bebidas</x:v>
      </x:c>
      <x:c r="G282" s="30" t="n">
        <x:v>51431.46</x:v>
      </x:c>
      <x:c r="H282" s="30" t="n">
        <x:v>32917.86</x:v>
      </x:c>
      <x:c r="I282" s="30" t="n">
        <x:v>1732.14</x:v>
      </x:c>
      <x:c r="J282" s="30" t="n">
        <x:v>9264.17</x:v>
      </x:c>
      <x:c r="K282" s="30" t="n">
        <x:v>11898.38</x:v>
      </x:c>
      <x:c r="L282" s="30" t="n">
        <x:v>333732</x:v>
      </x:c>
      <x:c r="M282" s="32" t="n">
        <x:v>5540.01</x:v>
      </x:c>
      <x:c r="N282" s="32" t="n">
        <x:v>2112.37</x:v>
      </x:c>
    </x:row>
    <x:row r="283">
      <x:c r="A283" s="34" t="n">
        <x:v>45614</x:v>
      </x:c>
      <x:c r="B283" s="28" t="str">
        <x:v>Grupo Industrial S.A.</x:v>
      </x:c>
      <x:c r="C283" s="28" t="str">
        <x:v>Planta Curitiba</x:v>
      </x:c>
      <x:c r="D283" s="28" t="str">
        <x:v>Linha 6 - Finalização</x:v>
      </x:c>
      <x:c r="E283" s="28" t="str">
        <x:v>SKU-432</x:v>
      </x:c>
      <x:c r="F283" s="28" t="str">
        <x:v>Alimentos</x:v>
      </x:c>
      <x:c r="G283" s="30" t="n">
        <x:v>37138.26</x:v>
      </x:c>
      <x:c r="H283" s="30" t="n">
        <x:v>44843.06</x:v>
      </x:c>
      <x:c r="I283" s="30" t="n">
        <x:v>1362.06</x:v>
      </x:c>
      <x:c r="J283" s="30" t="n">
        <x:v>8418.61</x:v>
      </x:c>
      <x:c r="K283" s="30" t="n">
        <x:v>11898.38</x:v>
      </x:c>
      <x:c r="L283" s="30" t="n">
        <x:v>248920</x:v>
      </x:c>
      <x:c r="M283" s="32" t="n">
        <x:v>4000.4</x:v>
      </x:c>
      <x:c r="N283" s="32" t="n">
        <x:v>1661.05</x:v>
      </x:c>
    </x:row>
    <x:row r="284">
      <x:c r="A284" s="34" t="n">
        <x:v>45621</x:v>
      </x:c>
      <x:c r="B284" s="28" t="str">
        <x:v>Grupo Industrial S.A.</x:v>
      </x:c>
      <x:c r="C284" s="28" t="str">
        <x:v>Planta São Paulo</x:v>
      </x:c>
      <x:c r="D284" s="28" t="str">
        <x:v>Linha 1 - Corte</x:v>
      </x:c>
      <x:c r="E284" s="28" t="str">
        <x:v>SKU-001</x:v>
      </x:c>
      <x:c r="F284" s="28" t="str">
        <x:v>Alimentos</x:v>
      </x:c>
      <x:c r="G284" s="30" t="n">
        <x:v>63389.11</x:v>
      </x:c>
      <x:c r="H284" s="30" t="n">
        <x:v>30868.17</x:v>
      </x:c>
      <x:c r="I284" s="30" t="n">
        <x:v>2013.2</x:v>
      </x:c>
      <x:c r="J284" s="30" t="n">
        <x:v>5954.56</x:v>
      </x:c>
      <x:c r="K284" s="30" t="n">
        <x:v>14226.33</x:v>
      </x:c>
      <x:c r="L284" s="30" t="n">
        <x:v>421560</x:v>
      </x:c>
      <x:c r="M284" s="32" t="n">
        <x:v>6828.05</x:v>
      </x:c>
      <x:c r="N284" s="32" t="n">
        <x:v>2455.12</x:v>
      </x:c>
    </x:row>
    <x:row r="285">
      <x:c r="A285" s="34" t="n">
        <x:v>45621</x:v>
      </x:c>
      <x:c r="B285" s="28" t="str">
        <x:v>Grupo Industrial S.A.</x:v>
      </x:c>
      <x:c r="C285" s="28" t="str">
        <x:v>Planta São Paulo</x:v>
      </x:c>
      <x:c r="D285" s="28" t="str">
        <x:v>Linha 2 - Montagem</x:v>
      </x:c>
      <x:c r="E285" s="28" t="str">
        <x:v>SKU-002</x:v>
      </x:c>
      <x:c r="F285" s="28" t="str">
        <x:v>Alimentos</x:v>
      </x:c>
      <x:c r="G285" s="30" t="n">
        <x:v>57321.37</x:v>
      </x:c>
      <x:c r="H285" s="30" t="n">
        <x:v>37351.4</x:v>
      </x:c>
      <x:c r="I285" s="30" t="n">
        <x:v>1836.15</x:v>
      </x:c>
      <x:c r="J285" s="30" t="n">
        <x:v>8542.82</x:v>
      </x:c>
      <x:c r="K285" s="30" t="n">
        <x:v>14226.33</x:v>
      </x:c>
      <x:c r="L285" s="30" t="n">
        <x:v>383994</x:v>
      </x:c>
      <x:c r="M285" s="32" t="n">
        <x:v>6174.45</x:v>
      </x:c>
      <x:c r="N285" s="32" t="n">
        <x:v>2239.21</x:v>
      </x:c>
    </x:row>
    <x:row r="286">
      <x:c r="A286" s="34" t="n">
        <x:v>45621</x:v>
      </x:c>
      <x:c r="B286" s="28" t="str">
        <x:v>Grupo Industrial S.A.</x:v>
      </x:c>
      <x:c r="C286" s="28" t="str">
        <x:v>Planta Campinas</x:v>
      </x:c>
      <x:c r="D286" s="28" t="str">
        <x:v>Linha 3 - Extrusão</x:v>
      </x:c>
      <x:c r="E286" s="28" t="str">
        <x:v>SKU-078</x:v>
      </x:c>
      <x:c r="F286" s="28" t="str">
        <x:v>Higiene e Limpeza</x:v>
      </x:c>
      <x:c r="G286" s="30" t="n">
        <x:v>58052.71</x:v>
      </x:c>
      <x:c r="H286" s="30" t="n">
        <x:v>32240.9</x:v>
      </x:c>
      <x:c r="I286" s="30" t="n">
        <x:v>1919.06</x:v>
      </x:c>
      <x:c r="J286" s="30" t="n">
        <x:v>14325.74</x:v>
      </x:c>
      <x:c r="K286" s="30" t="n">
        <x:v>11898.38</x:v>
      </x:c>
      <x:c r="L286" s="30" t="n">
        <x:v>365424</x:v>
      </x:c>
      <x:c r="M286" s="32" t="n">
        <x:v>6071.1</x:v>
      </x:c>
      <x:c r="N286" s="32" t="n">
        <x:v>2340.32</x:v>
      </x:c>
    </x:row>
    <x:row r="287">
      <x:c r="A287" s="34" t="n">
        <x:v>45621</x:v>
      </x:c>
      <x:c r="B287" s="28" t="str">
        <x:v>Grupo Industrial S.A.</x:v>
      </x:c>
      <x:c r="C287" s="28" t="str">
        <x:v>Planta Campinas</x:v>
      </x:c>
      <x:c r="D287" s="28" t="str">
        <x:v>Linha 4 - Embalagem</x:v>
      </x:c>
      <x:c r="E287" s="28" t="str">
        <x:v>SKU-105</x:v>
      </x:c>
      <x:c r="F287" s="28" t="str">
        <x:v>Embalagens</x:v>
      </x:c>
      <x:c r="G287" s="30" t="n">
        <x:v>36498.12</x:v>
      </x:c>
      <x:c r="H287" s="30" t="n">
        <x:v>40375.78</x:v>
      </x:c>
      <x:c r="I287" s="30" t="n">
        <x:v>1563.97</x:v>
      </x:c>
      <x:c r="J287" s="30" t="n">
        <x:v>13659.38</x:v>
      </x:c>
      <x:c r="K287" s="30" t="n">
        <x:v>11898.38</x:v>
      </x:c>
      <x:c r="L287" s="30" t="n">
        <x:v>246610</x:v>
      </x:c>
      <x:c r="M287" s="32" t="n">
        <x:v>3816.94</x:v>
      </x:c>
      <x:c r="N287" s="32" t="n">
        <x:v>1907.28</x:v>
      </x:c>
    </x:row>
    <x:row r="288">
      <x:c r="A288" s="34" t="n">
        <x:v>45621</x:v>
      </x:c>
      <x:c r="B288" s="28" t="str">
        <x:v>Grupo Industrial S.A.</x:v>
      </x:c>
      <x:c r="C288" s="28" t="str">
        <x:v>Planta Curitiba</x:v>
      </x:c>
      <x:c r="D288" s="28" t="str">
        <x:v>Linha 5 - Usinagem</x:v>
      </x:c>
      <x:c r="E288" s="28" t="str">
        <x:v>SKU-223</x:v>
      </x:c>
      <x:c r="F288" s="28" t="str">
        <x:v>Bebidas</x:v>
      </x:c>
      <x:c r="G288" s="30" t="n">
        <x:v>49883.96</x:v>
      </x:c>
      <x:c r="H288" s="30" t="n">
        <x:v>32982.41</x:v>
      </x:c>
      <x:c r="I288" s="30" t="n">
        <x:v>1659.87</x:v>
      </x:c>
      <x:c r="J288" s="30" t="n">
        <x:v>9774.88</x:v>
      </x:c>
      <x:c r="K288" s="30" t="n">
        <x:v>11898.38</x:v>
      </x:c>
      <x:c r="L288" s="30" t="n">
        <x:v>335916</x:v>
      </x:c>
      <x:c r="M288" s="32" t="n">
        <x:v>5373.32</x:v>
      </x:c>
      <x:c r="N288" s="32" t="n">
        <x:v>2024.24</x:v>
      </x:c>
    </x:row>
    <x:row r="289">
      <x:c r="A289" s="34" t="n">
        <x:v>45621</x:v>
      </x:c>
      <x:c r="B289" s="28" t="str">
        <x:v>Grupo Industrial S.A.</x:v>
      </x:c>
      <x:c r="C289" s="28" t="str">
        <x:v>Planta Curitiba</x:v>
      </x:c>
      <x:c r="D289" s="28" t="str">
        <x:v>Linha 6 - Finalização</x:v>
      </x:c>
      <x:c r="E289" s="28" t="str">
        <x:v>SKU-432</x:v>
      </x:c>
      <x:c r="F289" s="28" t="str">
        <x:v>Alimentos</x:v>
      </x:c>
      <x:c r="G289" s="30" t="n">
        <x:v>37696.04</x:v>
      </x:c>
      <x:c r="H289" s="30" t="n">
        <x:v>45329.37</x:v>
      </x:c>
      <x:c r="I289" s="30" t="n">
        <x:v>1397.44</x:v>
      </x:c>
      <x:c r="J289" s="30" t="n">
        <x:v>8028.42</x:v>
      </x:c>
      <x:c r="K289" s="30" t="n">
        <x:v>11898.38</x:v>
      </x:c>
      <x:c r="L289" s="30" t="n">
        <x:v>248150</x:v>
      </x:c>
      <x:c r="M289" s="32" t="n">
        <x:v>4060.48</x:v>
      </x:c>
      <x:c r="N289" s="32" t="n">
        <x:v>1704.19</x:v>
      </x:c>
    </x:row>
    <x:row r="290">
      <x:c r="A290" s="34" t="n">
        <x:v>45628</x:v>
      </x:c>
      <x:c r="B290" s="28" t="str">
        <x:v>Grupo Industrial S.A.</x:v>
      </x:c>
      <x:c r="C290" s="28" t="str">
        <x:v>Planta São Paulo</x:v>
      </x:c>
      <x:c r="D290" s="28" t="str">
        <x:v>Linha 1 - Corte</x:v>
      </x:c>
      <x:c r="E290" s="28" t="str">
        <x:v>SKU-001</x:v>
      </x:c>
      <x:c r="F290" s="28" t="str">
        <x:v>Alimentos</x:v>
      </x:c>
      <x:c r="G290" s="30" t="n">
        <x:v>57412.72</x:v>
      </x:c>
      <x:c r="H290" s="30" t="n">
        <x:v>30746.97</x:v>
      </x:c>
      <x:c r="I290" s="30" t="n">
        <x:v>1724.77</x:v>
      </x:c>
      <x:c r="J290" s="30" t="n">
        <x:v>7448.62</x:v>
      </x:c>
      <x:c r="K290" s="30" t="n">
        <x:v>14226.33</x:v>
      </x:c>
      <x:c r="L290" s="30" t="n">
        <x:v>377352</x:v>
      </x:c>
      <x:c r="M290" s="32" t="n">
        <x:v>6178.73</x:v>
      </x:c>
      <x:c r="N290" s="32" t="n">
        <x:v>2103.38</x:v>
      </x:c>
    </x:row>
    <x:row r="291">
      <x:c r="A291" s="34" t="n">
        <x:v>45628</x:v>
      </x:c>
      <x:c r="B291" s="28" t="str">
        <x:v>Grupo Industrial S.A.</x:v>
      </x:c>
      <x:c r="C291" s="28" t="str">
        <x:v>Planta São Paulo</x:v>
      </x:c>
      <x:c r="D291" s="28" t="str">
        <x:v>Linha 2 - Montagem</x:v>
      </x:c>
      <x:c r="E291" s="28" t="str">
        <x:v>SKU-002</x:v>
      </x:c>
      <x:c r="F291" s="28" t="str">
        <x:v>Alimentos</x:v>
      </x:c>
      <x:c r="G291" s="30" t="n">
        <x:v>50868.96</x:v>
      </x:c>
      <x:c r="H291" s="30" t="n">
        <x:v>37980.78</x:v>
      </x:c>
      <x:c r="I291" s="30" t="n">
        <x:v>1623.31</x:v>
      </x:c>
      <x:c r="J291" s="30" t="n">
        <x:v>7688.2</x:v>
      </x:c>
      <x:c r="K291" s="30" t="n">
        <x:v>14226.33</x:v>
      </x:c>
      <x:c r="L291" s="30" t="n">
        <x:v>342498</x:v>
      </x:c>
      <x:c r="M291" s="32" t="n">
        <x:v>5474.49</x:v>
      </x:c>
      <x:c r="N291" s="32" t="n">
        <x:v>1979.65</x:v>
      </x:c>
    </x:row>
    <x:row r="292">
      <x:c r="A292" s="34" t="n">
        <x:v>45628</x:v>
      </x:c>
      <x:c r="B292" s="28" t="str">
        <x:v>Grupo Industrial S.A.</x:v>
      </x:c>
      <x:c r="C292" s="28" t="str">
        <x:v>Planta Campinas</x:v>
      </x:c>
      <x:c r="D292" s="28" t="str">
        <x:v>Linha 3 - Extrusão</x:v>
      </x:c>
      <x:c r="E292" s="28" t="str">
        <x:v>SKU-078</x:v>
      </x:c>
      <x:c r="F292" s="28" t="str">
        <x:v>Higiene e Limpeza</x:v>
      </x:c>
      <x:c r="G292" s="30" t="n">
        <x:v>51383.65</x:v>
      </x:c>
      <x:c r="H292" s="30" t="n">
        <x:v>31642.1</x:v>
      </x:c>
      <x:c r="I292" s="30" t="n">
        <x:v>1634.58</x:v>
      </x:c>
      <x:c r="J292" s="30" t="n">
        <x:v>14317.36</x:v>
      </x:c>
      <x:c r="K292" s="30" t="n">
        <x:v>11898.38</x:v>
      </x:c>
      <x:c r="L292" s="30" t="n">
        <x:v>322920</x:v>
      </x:c>
      <x:c r="M292" s="32" t="n">
        <x:v>5368.82</x:v>
      </x:c>
      <x:c r="N292" s="32" t="n">
        <x:v>1993.38</x:v>
      </x:c>
    </x:row>
    <x:row r="293">
      <x:c r="A293" s="34" t="n">
        <x:v>45628</x:v>
      </x:c>
      <x:c r="B293" s="28" t="str">
        <x:v>Grupo Industrial S.A.</x:v>
      </x:c>
      <x:c r="C293" s="28" t="str">
        <x:v>Planta Campinas</x:v>
      </x:c>
      <x:c r="D293" s="28" t="str">
        <x:v>Linha 4 - Embalagem</x:v>
      </x:c>
      <x:c r="E293" s="28" t="str">
        <x:v>SKU-105</x:v>
      </x:c>
      <x:c r="F293" s="28" t="str">
        <x:v>Embalagens</x:v>
      </x:c>
      <x:c r="G293" s="30" t="n">
        <x:v>33520.16</x:v>
      </x:c>
      <x:c r="H293" s="30" t="n">
        <x:v>40185.18</x:v>
      </x:c>
      <x:c r="I293" s="30" t="n">
        <x:v>1340.1</x:v>
      </x:c>
      <x:c r="J293" s="30" t="n">
        <x:v>12783.42</x:v>
      </x:c>
      <x:c r="K293" s="30" t="n">
        <x:v>11898.38</x:v>
      </x:c>
      <x:c r="L293" s="30" t="n">
        <x:v>216710</x:v>
      </x:c>
      <x:c r="M293" s="32" t="n">
        <x:v>3502.35</x:v>
      </x:c>
      <x:c r="N293" s="32" t="n">
        <x:v>1634.27</x:v>
      </x:c>
    </x:row>
    <x:row r="294">
      <x:c r="A294" s="34" t="n">
        <x:v>45628</x:v>
      </x:c>
      <x:c r="B294" s="28" t="str">
        <x:v>Grupo Industrial S.A.</x:v>
      </x:c>
      <x:c r="C294" s="28" t="str">
        <x:v>Planta Curitiba</x:v>
      </x:c>
      <x:c r="D294" s="28" t="str">
        <x:v>Linha 5 - Usinagem</x:v>
      </x:c>
      <x:c r="E294" s="28" t="str">
        <x:v>SKU-223</x:v>
      </x:c>
      <x:c r="F294" s="28" t="str">
        <x:v>Bebidas</x:v>
      </x:c>
      <x:c r="G294" s="30" t="n">
        <x:v>46737.44</x:v>
      </x:c>
      <x:c r="H294" s="30" t="n">
        <x:v>33243.97</x:v>
      </x:c>
      <x:c r="I294" s="30" t="n">
        <x:v>1673.07</x:v>
      </x:c>
      <x:c r="J294" s="30" t="n">
        <x:v>8913.45</x:v>
      </x:c>
      <x:c r="K294" s="30" t="n">
        <x:v>11898.38</x:v>
      </x:c>
      <x:c r="L294" s="30" t="n">
        <x:v>308280</x:v>
      </x:c>
      <x:c r="M294" s="32" t="n">
        <x:v>5029.86</x:v>
      </x:c>
      <x:c r="N294" s="32" t="n">
        <x:v>2040.33</x:v>
      </x:c>
    </x:row>
    <x:row r="295">
      <x:c r="A295" s="34" t="n">
        <x:v>45628</x:v>
      </x:c>
      <x:c r="B295" s="28" t="str">
        <x:v>Grupo Industrial S.A.</x:v>
      </x:c>
      <x:c r="C295" s="28" t="str">
        <x:v>Planta Curitiba</x:v>
      </x:c>
      <x:c r="D295" s="28" t="str">
        <x:v>Linha 6 - Finalização</x:v>
      </x:c>
      <x:c r="E295" s="28" t="str">
        <x:v>SKU-432</x:v>
      </x:c>
      <x:c r="F295" s="28" t="str">
        <x:v>Alimentos</x:v>
      </x:c>
      <x:c r="G295" s="30" t="n">
        <x:v>36438.44</x:v>
      </x:c>
      <x:c r="H295" s="30" t="n">
        <x:v>43940.17</x:v>
      </x:c>
      <x:c r="I295" s="30" t="n">
        <x:v>1391.76</x:v>
      </x:c>
      <x:c r="J295" s="30" t="n">
        <x:v>9704.06</x:v>
      </x:c>
      <x:c r="K295" s="30" t="n">
        <x:v>11898.38</x:v>
      </x:c>
      <x:c r="L295" s="30" t="n">
        <x:v>246470</x:v>
      </x:c>
      <x:c r="M295" s="32" t="n">
        <x:v>3921.49</x:v>
      </x:c>
      <x:c r="N295" s="32" t="n">
        <x:v>1697.27</x:v>
      </x:c>
    </x:row>
    <x:row r="296">
      <x:c r="A296" s="34" t="n">
        <x:v>45635</x:v>
      </x:c>
      <x:c r="B296" s="28" t="str">
        <x:v>Grupo Industrial S.A.</x:v>
      </x:c>
      <x:c r="C296" s="28" t="str">
        <x:v>Planta São Paulo</x:v>
      </x:c>
      <x:c r="D296" s="28" t="str">
        <x:v>Linha 1 - Corte</x:v>
      </x:c>
      <x:c r="E296" s="28" t="str">
        <x:v>SKU-001</x:v>
      </x:c>
      <x:c r="F296" s="28" t="str">
        <x:v>Alimentos</x:v>
      </x:c>
      <x:c r="G296" s="30" t="n">
        <x:v>57583.88</x:v>
      </x:c>
      <x:c r="H296" s="30" t="n">
        <x:v>31035.07</x:v>
      </x:c>
      <x:c r="I296" s="30" t="n">
        <x:v>1851.28</x:v>
      </x:c>
      <x:c r="J296" s="30" t="n">
        <x:v>7073.54</x:v>
      </x:c>
      <x:c r="K296" s="30" t="n">
        <x:v>14226.33</x:v>
      </x:c>
      <x:c r="L296" s="30" t="n">
        <x:v>385776</x:v>
      </x:c>
      <x:c r="M296" s="32" t="n">
        <x:v>6197.15</x:v>
      </x:c>
      <x:c r="N296" s="32" t="n">
        <x:v>2257.66</x:v>
      </x:c>
    </x:row>
    <x:row r="297">
      <x:c r="A297" s="34" t="n">
        <x:v>45635</x:v>
      </x:c>
      <x:c r="B297" s="28" t="str">
        <x:v>Grupo Industrial S.A.</x:v>
      </x:c>
      <x:c r="C297" s="28" t="str">
        <x:v>Planta São Paulo</x:v>
      </x:c>
      <x:c r="D297" s="28" t="str">
        <x:v>Linha 2 - Montagem</x:v>
      </x:c>
      <x:c r="E297" s="28" t="str">
        <x:v>SKU-002</x:v>
      </x:c>
      <x:c r="F297" s="28" t="str">
        <x:v>Alimentos</x:v>
      </x:c>
      <x:c r="G297" s="30" t="n">
        <x:v>52421.86</x:v>
      </x:c>
      <x:c r="H297" s="30" t="n">
        <x:v>38415.72</x:v>
      </x:c>
      <x:c r="I297" s="30" t="n">
        <x:v>1638.12</x:v>
      </x:c>
      <x:c r="J297" s="30" t="n">
        <x:v>6662.05</x:v>
      </x:c>
      <x:c r="K297" s="30" t="n">
        <x:v>14226.33</x:v>
      </x:c>
      <x:c r="L297" s="30" t="n">
        <x:v>359424</x:v>
      </x:c>
      <x:c r="M297" s="32" t="n">
        <x:v>5641.61</x:v>
      </x:c>
      <x:c r="N297" s="32" t="n">
        <x:v>1997.7</x:v>
      </x:c>
    </x:row>
    <x:row r="298">
      <x:c r="A298" s="34" t="n">
        <x:v>45635</x:v>
      </x:c>
      <x:c r="B298" s="28" t="str">
        <x:v>Grupo Industrial S.A.</x:v>
      </x:c>
      <x:c r="C298" s="28" t="str">
        <x:v>Planta Campinas</x:v>
      </x:c>
      <x:c r="D298" s="28" t="str">
        <x:v>Linha 3 - Extrusão</x:v>
      </x:c>
      <x:c r="E298" s="28" t="str">
        <x:v>SKU-078</x:v>
      </x:c>
      <x:c r="F298" s="28" t="str">
        <x:v>Higiene e Limpeza</x:v>
      </x:c>
      <x:c r="G298" s="30" t="n">
        <x:v>52291.43</x:v>
      </x:c>
      <x:c r="H298" s="30" t="n">
        <x:v>31749.87</x:v>
      </x:c>
      <x:c r="I298" s="30" t="n">
        <x:v>1823.23</x:v>
      </x:c>
      <x:c r="J298" s="30" t="n">
        <x:v>15211.92</x:v>
      </x:c>
      <x:c r="K298" s="30" t="n">
        <x:v>11898.38</x:v>
      </x:c>
      <x:c r="L298" s="30" t="n">
        <x:v>334328</x:v>
      </x:c>
      <x:c r="M298" s="32" t="n">
        <x:v>5463.67</x:v>
      </x:c>
      <x:c r="N298" s="32" t="n">
        <x:v>2223.46</x:v>
      </x:c>
    </x:row>
    <x:row r="299">
      <x:c r="A299" s="34" t="n">
        <x:v>45635</x:v>
      </x:c>
      <x:c r="B299" s="28" t="str">
        <x:v>Grupo Industrial S.A.</x:v>
      </x:c>
      <x:c r="C299" s="28" t="str">
        <x:v>Planta Campinas</x:v>
      </x:c>
      <x:c r="D299" s="28" t="str">
        <x:v>Linha 4 - Embalagem</x:v>
      </x:c>
      <x:c r="E299" s="28" t="str">
        <x:v>SKU-105</x:v>
      </x:c>
      <x:c r="F299" s="28" t="str">
        <x:v>Embalagens</x:v>
      </x:c>
      <x:c r="G299" s="30" t="n">
        <x:v>29436.64</x:v>
      </x:c>
      <x:c r="H299" s="30" t="n">
        <x:v>39589.03</x:v>
      </x:c>
      <x:c r="I299" s="30" t="n">
        <x:v>1254.08</x:v>
      </x:c>
      <x:c r="J299" s="30" t="n">
        <x:v>15031.41</x:v>
      </x:c>
      <x:c r="K299" s="30" t="n">
        <x:v>11898.38</x:v>
      </x:c>
      <x:c r="L299" s="30" t="n">
        <x:v>191425</x:v>
      </x:c>
      <x:c r="M299" s="32" t="n">
        <x:v>3075.68</x:v>
      </x:c>
      <x:c r="N299" s="32" t="n">
        <x:v>1529.36</x:v>
      </x:c>
    </x:row>
    <x:row r="300">
      <x:c r="A300" s="34" t="n">
        <x:v>45635</x:v>
      </x:c>
      <x:c r="B300" s="28" t="str">
        <x:v>Grupo Industrial S.A.</x:v>
      </x:c>
      <x:c r="C300" s="28" t="str">
        <x:v>Planta Curitiba</x:v>
      </x:c>
      <x:c r="D300" s="28" t="str">
        <x:v>Linha 5 - Usinagem</x:v>
      </x:c>
      <x:c r="E300" s="28" t="str">
        <x:v>SKU-223</x:v>
      </x:c>
      <x:c r="F300" s="28" t="str">
        <x:v>Bebidas</x:v>
      </x:c>
      <x:c r="G300" s="30" t="n">
        <x:v>49607.11</x:v>
      </x:c>
      <x:c r="H300" s="30" t="n">
        <x:v>33129.09</x:v>
      </x:c>
      <x:c r="I300" s="30" t="n">
        <x:v>1761.28</x:v>
      </x:c>
      <x:c r="J300" s="30" t="n">
        <x:v>9896.87</x:v>
      </x:c>
      <x:c r="K300" s="30" t="n">
        <x:v>11898.38</x:v>
      </x:c>
      <x:c r="L300" s="30" t="n">
        <x:v>330960</x:v>
      </x:c>
      <x:c r="M300" s="32" t="n">
        <x:v>5338.69</x:v>
      </x:c>
      <x:c r="N300" s="32" t="n">
        <x:v>2147.9</x:v>
      </x:c>
    </x:row>
    <x:row r="301">
      <x:c r="A301" s="34" t="n">
        <x:v>45635</x:v>
      </x:c>
      <x:c r="B301" s="28" t="str">
        <x:v>Grupo Industrial S.A.</x:v>
      </x:c>
      <x:c r="C301" s="28" t="str">
        <x:v>Planta Curitiba</x:v>
      </x:c>
      <x:c r="D301" s="28" t="str">
        <x:v>Linha 6 - Finalização</x:v>
      </x:c>
      <x:c r="E301" s="28" t="str">
        <x:v>SKU-432</x:v>
      </x:c>
      <x:c r="F301" s="28" t="str">
        <x:v>Alimentos</x:v>
      </x:c>
      <x:c r="G301" s="30" t="n">
        <x:v>33747.54</x:v>
      </x:c>
      <x:c r="H301" s="30" t="n">
        <x:v>43416.72</x:v>
      </x:c>
      <x:c r="I301" s="30" t="n">
        <x:v>1237.63</x:v>
      </x:c>
      <x:c r="J301" s="30" t="n">
        <x:v>9887.7</x:v>
      </x:c>
      <x:c r="K301" s="30" t="n">
        <x:v>11898.38</x:v>
      </x:c>
      <x:c r="L301" s="30" t="n">
        <x:v>231770</x:v>
      </x:c>
      <x:c r="M301" s="32" t="n">
        <x:v>3631.89</x:v>
      </x:c>
      <x:c r="N301" s="32" t="n">
        <x:v>1509.3</x:v>
      </x:c>
    </x:row>
    <x:row r="302">
      <x:c r="A302" s="34" t="n">
        <x:v>45642</x:v>
      </x:c>
      <x:c r="B302" s="28" t="str">
        <x:v>Grupo Industrial S.A.</x:v>
      </x:c>
      <x:c r="C302" s="28" t="str">
        <x:v>Planta São Paulo</x:v>
      </x:c>
      <x:c r="D302" s="28" t="str">
        <x:v>Linha 1 - Corte</x:v>
      </x:c>
      <x:c r="E302" s="28" t="str">
        <x:v>SKU-001</x:v>
      </x:c>
      <x:c r="F302" s="28" t="str">
        <x:v>Alimentos</x:v>
      </x:c>
      <x:c r="G302" s="30" t="n">
        <x:v>59178.21</x:v>
      </x:c>
      <x:c r="H302" s="30" t="n">
        <x:v>30591.67</x:v>
      </x:c>
      <x:c r="I302" s="30" t="n">
        <x:v>1853.87</x:v>
      </x:c>
      <x:c r="J302" s="30" t="n">
        <x:v>8066.08</x:v>
      </x:c>
      <x:c r="K302" s="30" t="n">
        <x:v>14226.33</x:v>
      </x:c>
      <x:c r="L302" s="30" t="n">
        <x:v>391968</x:v>
      </x:c>
      <x:c r="M302" s="32" t="n">
        <x:v>6368.73</x:v>
      </x:c>
      <x:c r="N302" s="32" t="n">
        <x:v>2260.81</x:v>
      </x:c>
    </x:row>
    <x:row r="303">
      <x:c r="A303" s="34" t="n">
        <x:v>45642</x:v>
      </x:c>
      <x:c r="B303" s="28" t="str">
        <x:v>Grupo Industrial S.A.</x:v>
      </x:c>
      <x:c r="C303" s="28" t="str">
        <x:v>Planta São Paulo</x:v>
      </x:c>
      <x:c r="D303" s="28" t="str">
        <x:v>Linha 2 - Montagem</x:v>
      </x:c>
      <x:c r="E303" s="28" t="str">
        <x:v>SKU-002</x:v>
      </x:c>
      <x:c r="F303" s="28" t="str">
        <x:v>Alimentos</x:v>
      </x:c>
      <x:c r="G303" s="30" t="n">
        <x:v>49406.88</x:v>
      </x:c>
      <x:c r="H303" s="30" t="n">
        <x:v>37977.84</x:v>
      </x:c>
      <x:c r="I303" s="30" t="n">
        <x:v>1509.08</x:v>
      </x:c>
      <x:c r="J303" s="30" t="n">
        <x:v>8305.4</x:v>
      </x:c>
      <x:c r="K303" s="30" t="n">
        <x:v>14226.33</x:v>
      </x:c>
      <x:c r="L303" s="30" t="n">
        <x:v>335634</x:v>
      </x:c>
      <x:c r="M303" s="32" t="n">
        <x:v>5317.14</x:v>
      </x:c>
      <x:c r="N303" s="32" t="n">
        <x:v>1840.34</x:v>
      </x:c>
    </x:row>
    <x:row r="304">
      <x:c r="A304" s="34" t="n">
        <x:v>45642</x:v>
      </x:c>
      <x:c r="B304" s="28" t="str">
        <x:v>Grupo Industrial S.A.</x:v>
      </x:c>
      <x:c r="C304" s="28" t="str">
        <x:v>Planta Campinas</x:v>
      </x:c>
      <x:c r="D304" s="28" t="str">
        <x:v>Linha 3 - Extrusão</x:v>
      </x:c>
      <x:c r="E304" s="28" t="str">
        <x:v>SKU-078</x:v>
      </x:c>
      <x:c r="F304" s="28" t="str">
        <x:v>Higiene e Limpeza</x:v>
      </x:c>
      <x:c r="G304" s="30" t="n">
        <x:v>51150.25</x:v>
      </x:c>
      <x:c r="H304" s="30" t="n">
        <x:v>33591.27</x:v>
      </x:c>
      <x:c r="I304" s="30" t="n">
        <x:v>1732.1</x:v>
      </x:c>
      <x:c r="J304" s="30" t="n">
        <x:v>12711.71</x:v>
      </x:c>
      <x:c r="K304" s="30" t="n">
        <x:v>11898.38</x:v>
      </x:c>
      <x:c r="L304" s="30" t="n">
        <x:v>326232</x:v>
      </x:c>
      <x:c r="M304" s="32" t="n">
        <x:v>5344.43</x:v>
      </x:c>
      <x:c r="N304" s="32" t="n">
        <x:v>2112.32</x:v>
      </x:c>
    </x:row>
    <x:row r="305">
      <x:c r="A305" s="34" t="n">
        <x:v>45642</x:v>
      </x:c>
      <x:c r="B305" s="28" t="str">
        <x:v>Grupo Industrial S.A.</x:v>
      </x:c>
      <x:c r="C305" s="28" t="str">
        <x:v>Planta Campinas</x:v>
      </x:c>
      <x:c r="D305" s="28" t="str">
        <x:v>Linha 4 - Embalagem</x:v>
      </x:c>
      <x:c r="E305" s="28" t="str">
        <x:v>SKU-105</x:v>
      </x:c>
      <x:c r="F305" s="28" t="str">
        <x:v>Embalagens</x:v>
      </x:c>
      <x:c r="G305" s="30" t="n">
        <x:v>30139</x:v>
      </x:c>
      <x:c r="H305" s="30" t="n">
        <x:v>38240.65</x:v>
      </x:c>
      <x:c r="I305" s="30" t="n">
        <x:v>1291.92</x:v>
      </x:c>
      <x:c r="J305" s="30" t="n">
        <x:v>14755.94</x:v>
      </x:c>
      <x:c r="K305" s="30" t="n">
        <x:v>11898.38</x:v>
      </x:c>
      <x:c r="L305" s="30" t="n">
        <x:v>200785</x:v>
      </x:c>
      <x:c r="M305" s="32" t="n">
        <x:v>3149.07</x:v>
      </x:c>
      <x:c r="N305" s="32" t="n">
        <x:v>1575.51</x:v>
      </x:c>
    </x:row>
    <x:row r="306">
      <x:c r="A306" s="34" t="n">
        <x:v>45642</x:v>
      </x:c>
      <x:c r="B306" s="28" t="str">
        <x:v>Grupo Industrial S.A.</x:v>
      </x:c>
      <x:c r="C306" s="28" t="str">
        <x:v>Planta Curitiba</x:v>
      </x:c>
      <x:c r="D306" s="28" t="str">
        <x:v>Linha 5 - Usinagem</x:v>
      </x:c>
      <x:c r="E306" s="28" t="str">
        <x:v>SKU-223</x:v>
      </x:c>
      <x:c r="F306" s="28" t="str">
        <x:v>Bebidas</x:v>
      </x:c>
      <x:c r="G306" s="30" t="n">
        <x:v>49662.55</x:v>
      </x:c>
      <x:c r="H306" s="30" t="n">
        <x:v>33207.13</x:v>
      </x:c>
      <x:c r="I306" s="30" t="n">
        <x:v>1715.93</x:v>
      </x:c>
      <x:c r="J306" s="30" t="n">
        <x:v>9678.05</x:v>
      </x:c>
      <x:c r="K306" s="30" t="n">
        <x:v>11898.38</x:v>
      </x:c>
      <x:c r="L306" s="30" t="n">
        <x:v>325500</x:v>
      </x:c>
      <x:c r="M306" s="32" t="n">
        <x:v>5344.66</x:v>
      </x:c>
      <x:c r="N306" s="32" t="n">
        <x:v>2092.6</x:v>
      </x:c>
    </x:row>
    <x:row r="307">
      <x:c r="A307" s="34" t="n">
        <x:v>45642</x:v>
      </x:c>
      <x:c r="B307" s="28" t="str">
        <x:v>Grupo Industrial S.A.</x:v>
      </x:c>
      <x:c r="C307" s="28" t="str">
        <x:v>Planta Curitiba</x:v>
      </x:c>
      <x:c r="D307" s="28" t="str">
        <x:v>Linha 6 - Finalização</x:v>
      </x:c>
      <x:c r="E307" s="28" t="str">
        <x:v>SKU-432</x:v>
      </x:c>
      <x:c r="F307" s="28" t="str">
        <x:v>Alimentos</x:v>
      </x:c>
      <x:c r="G307" s="30" t="n">
        <x:v>34949.97</x:v>
      </x:c>
      <x:c r="H307" s="30" t="n">
        <x:v>45509.89</x:v>
      </x:c>
      <x:c r="I307" s="30" t="n">
        <x:v>1266.02</x:v>
      </x:c>
      <x:c r="J307" s="30" t="n">
        <x:v>8055.67</x:v>
      </x:c>
      <x:c r="K307" s="30" t="n">
        <x:v>11898.38</x:v>
      </x:c>
      <x:c r="L307" s="30" t="n">
        <x:v>236110</x:v>
      </x:c>
      <x:c r="M307" s="32" t="n">
        <x:v>3761.3</x:v>
      </x:c>
      <x:c r="N307" s="32" t="n">
        <x:v>1543.93</x:v>
      </x:c>
    </x:row>
    <x:row r="308">
      <x:c r="A308" s="34" t="n">
        <x:v>45649</x:v>
      </x:c>
      <x:c r="B308" s="28" t="str">
        <x:v>Grupo Industrial S.A.</x:v>
      </x:c>
      <x:c r="C308" s="28" t="str">
        <x:v>Planta São Paulo</x:v>
      </x:c>
      <x:c r="D308" s="28" t="str">
        <x:v>Linha 1 - Corte</x:v>
      </x:c>
      <x:c r="E308" s="28" t="str">
        <x:v>SKU-001</x:v>
      </x:c>
      <x:c r="F308" s="28" t="str">
        <x:v>Alimentos</x:v>
      </x:c>
      <x:c r="G308" s="30" t="n">
        <x:v>55744.83</x:v>
      </x:c>
      <x:c r="H308" s="30" t="n">
        <x:v>31191.33</x:v>
      </x:c>
      <x:c r="I308" s="30" t="n">
        <x:v>1711.28</x:v>
      </x:c>
      <x:c r="J308" s="30" t="n">
        <x:v>7163.32</x:v>
      </x:c>
      <x:c r="K308" s="30" t="n">
        <x:v>14226.33</x:v>
      </x:c>
      <x:c r="L308" s="30" t="n">
        <x:v>377424</x:v>
      </x:c>
      <x:c r="M308" s="32" t="n">
        <x:v>5999.23</x:v>
      </x:c>
      <x:c r="N308" s="32" t="n">
        <x:v>2086.93</x:v>
      </x:c>
    </x:row>
    <x:row r="309">
      <x:c r="A309" s="34" t="n">
        <x:v>45649</x:v>
      </x:c>
      <x:c r="B309" s="28" t="str">
        <x:v>Grupo Industrial S.A.</x:v>
      </x:c>
      <x:c r="C309" s="28" t="str">
        <x:v>Planta São Paulo</x:v>
      </x:c>
      <x:c r="D309" s="28" t="str">
        <x:v>Linha 2 - Montagem</x:v>
      </x:c>
      <x:c r="E309" s="28" t="str">
        <x:v>SKU-002</x:v>
      </x:c>
      <x:c r="F309" s="28" t="str">
        <x:v>Alimentos</x:v>
      </x:c>
      <x:c r="G309" s="30" t="n">
        <x:v>53837.22</x:v>
      </x:c>
      <x:c r="H309" s="30" t="n">
        <x:v>39153.53</x:v>
      </x:c>
      <x:c r="I309" s="30" t="n">
        <x:v>1667.71</x:v>
      </x:c>
      <x:c r="J309" s="30" t="n">
        <x:v>5940.56</x:v>
      </x:c>
      <x:c r="K309" s="30" t="n">
        <x:v>14226.33</x:v>
      </x:c>
      <x:c r="L309" s="30" t="n">
        <x:v>357708</x:v>
      </x:c>
      <x:c r="M309" s="32" t="n">
        <x:v>5793.93</x:v>
      </x:c>
      <x:c r="N309" s="32" t="n">
        <x:v>2033.8</x:v>
      </x:c>
    </x:row>
    <x:row r="310">
      <x:c r="A310" s="34" t="n">
        <x:v>45649</x:v>
      </x:c>
      <x:c r="B310" s="28" t="str">
        <x:v>Grupo Industrial S.A.</x:v>
      </x:c>
      <x:c r="C310" s="28" t="str">
        <x:v>Planta Campinas</x:v>
      </x:c>
      <x:c r="D310" s="28" t="str">
        <x:v>Linha 3 - Extrusão</x:v>
      </x:c>
      <x:c r="E310" s="28" t="str">
        <x:v>SKU-078</x:v>
      </x:c>
      <x:c r="F310" s="28" t="str">
        <x:v>Higiene e Limpeza</x:v>
      </x:c>
      <x:c r="G310" s="30" t="n">
        <x:v>48882.89</x:v>
      </x:c>
      <x:c r="H310" s="30" t="n">
        <x:v>32699.1</x:v>
      </x:c>
      <x:c r="I310" s="30" t="n">
        <x:v>1635</x:v>
      </x:c>
      <x:c r="J310" s="30" t="n">
        <x:v>14072.49</x:v>
      </x:c>
      <x:c r="K310" s="30" t="n">
        <x:v>11898.38</x:v>
      </x:c>
      <x:c r="L310" s="30" t="n">
        <x:v>312708</x:v>
      </x:c>
      <x:c r="M310" s="32" t="n">
        <x:v>5107.52</x:v>
      </x:c>
      <x:c r="N310" s="32" t="n">
        <x:v>1993.9</x:v>
      </x:c>
    </x:row>
    <x:row r="311">
      <x:c r="A311" s="34" t="n">
        <x:v>45649</x:v>
      </x:c>
      <x:c r="B311" s="28" t="str">
        <x:v>Grupo Industrial S.A.</x:v>
      </x:c>
      <x:c r="C311" s="28" t="str">
        <x:v>Planta Campinas</x:v>
      </x:c>
      <x:c r="D311" s="28" t="str">
        <x:v>Linha 4 - Embalagem</x:v>
      </x:c>
      <x:c r="E311" s="28" t="str">
        <x:v>SKU-105</x:v>
      </x:c>
      <x:c r="F311" s="28" t="str">
        <x:v>Embalagens</x:v>
      </x:c>
      <x:c r="G311" s="30" t="n">
        <x:v>31600.3</x:v>
      </x:c>
      <x:c r="H311" s="30" t="n">
        <x:v>39229.8</x:v>
      </x:c>
      <x:c r="I311" s="30" t="n">
        <x:v>1309.44</x:v>
      </x:c>
      <x:c r="J311" s="30" t="n">
        <x:v>14614.58</x:v>
      </x:c>
      <x:c r="K311" s="30" t="n">
        <x:v>11898.38</x:v>
      </x:c>
      <x:c r="L311" s="30" t="n">
        <x:v>208520</x:v>
      </x:c>
      <x:c r="M311" s="32" t="n">
        <x:v>3301.75</x:v>
      </x:c>
      <x:c r="N311" s="32" t="n">
        <x:v>1596.88</x:v>
      </x:c>
    </x:row>
    <x:row r="312">
      <x:c r="A312" s="34" t="n">
        <x:v>45649</x:v>
      </x:c>
      <x:c r="B312" s="28" t="str">
        <x:v>Grupo Industrial S.A.</x:v>
      </x:c>
      <x:c r="C312" s="28" t="str">
        <x:v>Planta Curitiba</x:v>
      </x:c>
      <x:c r="D312" s="28" t="str">
        <x:v>Linha 5 - Usinagem</x:v>
      </x:c>
      <x:c r="E312" s="28" t="str">
        <x:v>SKU-223</x:v>
      </x:c>
      <x:c r="F312" s="28" t="str">
        <x:v>Bebidas</x:v>
      </x:c>
      <x:c r="G312" s="30" t="n">
        <x:v>48752.03</x:v>
      </x:c>
      <x:c r="H312" s="30" t="n">
        <x:v>33801.87</x:v>
      </x:c>
      <x:c r="I312" s="30" t="n">
        <x:v>1656.9</x:v>
      </x:c>
      <x:c r="J312" s="30" t="n">
        <x:v>8979.81</x:v>
      </x:c>
      <x:c r="K312" s="30" t="n">
        <x:v>11898.38</x:v>
      </x:c>
      <x:c r="L312" s="30" t="n">
        <x:v>320376</x:v>
      </x:c>
      <x:c r="M312" s="32" t="n">
        <x:v>5246.67</x:v>
      </x:c>
      <x:c r="N312" s="32" t="n">
        <x:v>2020.61</x:v>
      </x:c>
    </x:row>
    <x:row r="313">
      <x:c r="A313" s="34" t="n">
        <x:v>45649</x:v>
      </x:c>
      <x:c r="B313" s="28" t="str">
        <x:v>Grupo Industrial S.A.</x:v>
      </x:c>
      <x:c r="C313" s="28" t="str">
        <x:v>Planta Curitiba</x:v>
      </x:c>
      <x:c r="D313" s="28" t="str">
        <x:v>Linha 6 - Finalização</x:v>
      </x:c>
      <x:c r="E313" s="28" t="str">
        <x:v>SKU-432</x:v>
      </x:c>
      <x:c r="F313" s="28" t="str">
        <x:v>Alimentos</x:v>
      </x:c>
      <x:c r="G313" s="30" t="n">
        <x:v>34981.66</x:v>
      </x:c>
      <x:c r="H313" s="30" t="n">
        <x:v>44692.21</x:v>
      </x:c>
      <x:c r="I313" s="30" t="n">
        <x:v>1230.56</x:v>
      </x:c>
      <x:c r="J313" s="30" t="n">
        <x:v>8495.49</x:v>
      </x:c>
      <x:c r="K313" s="30" t="n">
        <x:v>11898.38</x:v>
      </x:c>
      <x:c r="L313" s="30" t="n">
        <x:v>235270</x:v>
      </x:c>
      <x:c r="M313" s="32" t="n">
        <x:v>3764.71</x:v>
      </x:c>
      <x:c r="N313" s="32" t="n">
        <x:v>1500.68</x:v>
      </x:c>
    </x:row>
    <x:row r="314">
      <x:c r="A314" s="34" t="n">
        <x:v>45656</x:v>
      </x:c>
      <x:c r="B314" s="28" t="str">
        <x:v>Grupo Industrial S.A.</x:v>
      </x:c>
      <x:c r="C314" s="28" t="str">
        <x:v>Planta São Paulo</x:v>
      </x:c>
      <x:c r="D314" s="28" t="str">
        <x:v>Linha 1 - Corte</x:v>
      </x:c>
      <x:c r="E314" s="28" t="str">
        <x:v>SKU-001</x:v>
      </x:c>
      <x:c r="F314" s="28" t="str">
        <x:v>Alimentos</x:v>
      </x:c>
      <x:c r="G314" s="30" t="n">
        <x:v>51579.02</x:v>
      </x:c>
      <x:c r="H314" s="30" t="n">
        <x:v>29697.93</x:v>
      </x:c>
      <x:c r="I314" s="30" t="n">
        <x:v>1515.89</x:v>
      </x:c>
      <x:c r="J314" s="30" t="n">
        <x:v>8011.44</x:v>
      </x:c>
      <x:c r="K314" s="30" t="n">
        <x:v>14226.33</x:v>
      </x:c>
      <x:c r="L314" s="30" t="n">
        <x:v>351000</x:v>
      </x:c>
      <x:c r="M314" s="32" t="n">
        <x:v>5550.91</x:v>
      </x:c>
      <x:c r="N314" s="32" t="n">
        <x:v>1848.65</x:v>
      </x:c>
    </x:row>
    <x:row r="315">
      <x:c r="A315" s="34" t="n">
        <x:v>45656</x:v>
      </x:c>
      <x:c r="B315" s="28" t="str">
        <x:v>Grupo Industrial S.A.</x:v>
      </x:c>
      <x:c r="C315" s="28" t="str">
        <x:v>Planta São Paulo</x:v>
      </x:c>
      <x:c r="D315" s="28" t="str">
        <x:v>Linha 2 - Montagem</x:v>
      </x:c>
      <x:c r="E315" s="28" t="str">
        <x:v>SKU-002</x:v>
      </x:c>
      <x:c r="F315" s="28" t="str">
        <x:v>Alimentos</x:v>
      </x:c>
      <x:c r="G315" s="30" t="n">
        <x:v>52492.73</x:v>
      </x:c>
      <x:c r="H315" s="30" t="n">
        <x:v>38928.93</x:v>
      </x:c>
      <x:c r="I315" s="30" t="n">
        <x:v>1672.45</x:v>
      </x:c>
      <x:c r="J315" s="30" t="n">
        <x:v>6806.18</x:v>
      </x:c>
      <x:c r="K315" s="30" t="n">
        <x:v>14226.33</x:v>
      </x:c>
      <x:c r="L315" s="30" t="n">
        <x:v>354354</x:v>
      </x:c>
      <x:c r="M315" s="32" t="n">
        <x:v>5649.24</x:v>
      </x:c>
      <x:c r="N315" s="32" t="n">
        <x:v>2039.57</x:v>
      </x:c>
    </x:row>
    <x:row r="316">
      <x:c r="A316" s="34" t="n">
        <x:v>45656</x:v>
      </x:c>
      <x:c r="B316" s="28" t="str">
        <x:v>Grupo Industrial S.A.</x:v>
      </x:c>
      <x:c r="C316" s="28" t="str">
        <x:v>Planta Campinas</x:v>
      </x:c>
      <x:c r="D316" s="28" t="str">
        <x:v>Linha 3 - Extrusão</x:v>
      </x:c>
      <x:c r="E316" s="28" t="str">
        <x:v>SKU-078</x:v>
      </x:c>
      <x:c r="F316" s="28" t="str">
        <x:v>Higiene e Limpeza</x:v>
      </x:c>
      <x:c r="G316" s="30" t="n">
        <x:v>49067.6</x:v>
      </x:c>
      <x:c r="H316" s="30" t="n">
        <x:v>32166.34</x:v>
      </x:c>
      <x:c r="I316" s="30" t="n">
        <x:v>1763.99</x:v>
      </x:c>
      <x:c r="J316" s="30" t="n">
        <x:v>14076.09</x:v>
      </x:c>
      <x:c r="K316" s="30" t="n">
        <x:v>11898.38</x:v>
      </x:c>
      <x:c r="L316" s="30" t="n">
        <x:v>319056</x:v>
      </x:c>
      <x:c r="M316" s="32" t="n">
        <x:v>5126.82</x:v>
      </x:c>
      <x:c r="N316" s="32" t="n">
        <x:v>2151.21</x:v>
      </x:c>
    </x:row>
    <x:row r="317">
      <x:c r="A317" s="34" t="n">
        <x:v>45656</x:v>
      </x:c>
      <x:c r="B317" s="28" t="str">
        <x:v>Grupo Industrial S.A.</x:v>
      </x:c>
      <x:c r="C317" s="28" t="str">
        <x:v>Planta Campinas</x:v>
      </x:c>
      <x:c r="D317" s="28" t="str">
        <x:v>Linha 4 - Embalagem</x:v>
      </x:c>
      <x:c r="E317" s="28" t="str">
        <x:v>SKU-105</x:v>
      </x:c>
      <x:c r="F317" s="28" t="str">
        <x:v>Embalagens</x:v>
      </x:c>
      <x:c r="G317" s="30" t="n">
        <x:v>31864.02</x:v>
      </x:c>
      <x:c r="H317" s="30" t="n">
        <x:v>39761.7</x:v>
      </x:c>
      <x:c r="I317" s="30" t="n">
        <x:v>1257.72</x:v>
      </x:c>
      <x:c r="J317" s="30" t="n">
        <x:v>14639.34</x:v>
      </x:c>
      <x:c r="K317" s="30" t="n">
        <x:v>11898.38</x:v>
      </x:c>
      <x:c r="L317" s="30" t="n">
        <x:v>206375</x:v>
      </x:c>
      <x:c r="M317" s="32" t="n">
        <x:v>3329.31</x:v>
      </x:c>
      <x:c r="N317" s="32" t="n">
        <x:v>1533.81</x:v>
      </x:c>
    </x:row>
    <x:row r="318">
      <x:c r="A318" s="34" t="n">
        <x:v>45656</x:v>
      </x:c>
      <x:c r="B318" s="28" t="str">
        <x:v>Grupo Industrial S.A.</x:v>
      </x:c>
      <x:c r="C318" s="28" t="str">
        <x:v>Planta Curitiba</x:v>
      </x:c>
      <x:c r="D318" s="28" t="str">
        <x:v>Linha 5 - Usinagem</x:v>
      </x:c>
      <x:c r="E318" s="28" t="str">
        <x:v>SKU-223</x:v>
      </x:c>
      <x:c r="F318" s="28" t="str">
        <x:v>Bebidas</x:v>
      </x:c>
      <x:c r="G318" s="30" t="n">
        <x:v>51460.45</x:v>
      </x:c>
      <x:c r="H318" s="30" t="n">
        <x:v>34160.86</x:v>
      </x:c>
      <x:c r="I318" s="30" t="n">
        <x:v>1847.01</x:v>
      </x:c>
      <x:c r="J318" s="30" t="n">
        <x:v>7845.93</x:v>
      </x:c>
      <x:c r="K318" s="30" t="n">
        <x:v>11898.38</x:v>
      </x:c>
      <x:c r="L318" s="30" t="n">
        <x:v>340536</x:v>
      </x:c>
      <x:c r="M318" s="32" t="n">
        <x:v>5538.15</x:v>
      </x:c>
      <x:c r="N318" s="32" t="n">
        <x:v>2252.45</x:v>
      </x:c>
    </x:row>
    <x:row r="319">
      <x:c r="A319" s="34" t="n">
        <x:v>45656</x:v>
      </x:c>
      <x:c r="B319" s="28" t="str">
        <x:v>Grupo Industrial S.A.</x:v>
      </x:c>
      <x:c r="C319" s="28" t="str">
        <x:v>Planta Curitiba</x:v>
      </x:c>
      <x:c r="D319" s="28" t="str">
        <x:v>Linha 6 - Finalização</x:v>
      </x:c>
      <x:c r="E319" s="28" t="str">
        <x:v>SKU-432</x:v>
      </x:c>
      <x:c r="F319" s="28" t="str">
        <x:v>Alimentos</x:v>
      </x:c>
      <x:c r="G319" s="30" t="n">
        <x:v>38228.33</x:v>
      </x:c>
      <x:c r="H319" s="30" t="n">
        <x:v>45174.01</x:v>
      </x:c>
      <x:c r="I319" s="30" t="n">
        <x:v>1359.16</x:v>
      </x:c>
      <x:c r="J319" s="30" t="n">
        <x:v>8321.29</x:v>
      </x:c>
      <x:c r="K319" s="30" t="n">
        <x:v>11898.38</x:v>
      </x:c>
      <x:c r="L319" s="30" t="n">
        <x:v>254800</x:v>
      </x:c>
      <x:c r="M319" s="32" t="n">
        <x:v>4114.11</x:v>
      </x:c>
      <x:c r="N319" s="32" t="n">
        <x:v>1657.51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0" hidden="0" customWidth="1"/>
    <x:col min="10" max="10" width="16" hidden="0" customWidth="1"/>
    <x:col min="11" max="11" width="14" hidden="0" customWidth="1"/>
  </x:cols>
  <x:sheetData>
    <x:row r="1">
      <x:c r="A1" s="22" t="str">
        <x:v>Data</x:v>
      </x:c>
      <x:c r="B1" s="22" t="str">
        <x:v>Grupo</x:v>
      </x:c>
      <x:c r="C1" s="22" t="str">
        <x:v>Fabrica</x:v>
      </x:c>
      <x:c r="D1" s="22" t="str">
        <x:v>Familia</x:v>
      </x:c>
      <x:c r="E1" s="22" t="str">
        <x:v>SKU</x:v>
      </x:c>
      <x:c r="F1" s="22" t="str">
        <x:v>Forecast</x:v>
      </x:c>
      <x:c r="G1" s="22" t="str">
        <x:v>MRP_Plano</x:v>
      </x:c>
      <x:c r="H1" s="22" t="str">
        <x:v>Produzido</x:v>
      </x:c>
      <x:c r="I1" s="22" t="str">
        <x:v>Demanda_Confirmada</x:v>
      </x:c>
      <x:c r="J1" s="22" t="str">
        <x:v>Granularidade</x:v>
      </x:c>
      <x:c r="K1" s="22" t="str">
        <x:v>Semana_ISO</x:v>
      </x:c>
    </x:row>
    <x:row r="2">
      <x:c r="A2" s="34" t="n">
        <x:v>45292</x:v>
      </x:c>
      <x:c r="B2" s="28" t="str">
        <x:v>Grupo Industrial S.A.</x:v>
      </x:c>
      <x:c r="C2" s="28" t="str">
        <x:v>Planta São Paulo</x:v>
      </x:c>
      <x:c r="D2" s="28" t="str">
        <x:v>Alimentos</x:v>
      </x:c>
      <x:c r="E2" s="28" t="str">
        <x:v>SKU-001</x:v>
      </x:c>
      <x:c r="F2" s="32" t="n">
        <x:v>5733</x:v>
      </x:c>
      <x:c r="G2" s="32" t="n">
        <x:v>5550</x:v>
      </x:c>
      <x:c r="H2" s="32" t="n">
        <x:v>5119</x:v>
      </x:c>
      <x:c r="I2" s="32" t="n">
        <x:v>5332</x:v>
      </x:c>
      <x:c r="J2" s="28" t="str">
        <x:v>Semanal</x:v>
      </x:c>
      <x:c r="K2" s="28" t="str">
        <x:v>2024-S01</x:v>
      </x:c>
    </x:row>
    <x:row r="3">
      <x:c r="A3" s="34" t="n">
        <x:v>45292</x:v>
      </x:c>
      <x:c r="B3" s="28" t="str">
        <x:v>Grupo Industrial S.A.</x:v>
      </x:c>
      <x:c r="C3" s="28" t="str">
        <x:v>Planta São Paulo</x:v>
      </x:c>
      <x:c r="D3" s="28" t="str">
        <x:v>Alimentos</x:v>
      </x:c>
      <x:c r="E3" s="28" t="str">
        <x:v>SKU-002</x:v>
      </x:c>
      <x:c r="F3" s="32" t="n">
        <x:v>5338</x:v>
      </x:c>
      <x:c r="G3" s="32" t="n">
        <x:v>5241</x:v>
      </x:c>
      <x:c r="H3" s="32" t="n">
        <x:v>4817</x:v>
      </x:c>
      <x:c r="I3" s="32" t="n">
        <x:v>4964</x:v>
      </x:c>
      <x:c r="J3" s="28" t="str">
        <x:v>Semanal</x:v>
      </x:c>
      <x:c r="K3" s="28" t="str">
        <x:v>2024-S01</x:v>
      </x:c>
    </x:row>
    <x:row r="4">
      <x:c r="A4" s="34" t="n">
        <x:v>45292</x:v>
      </x:c>
      <x:c r="B4" s="28" t="str">
        <x:v>Grupo Industrial S.A.</x:v>
      </x:c>
      <x:c r="C4" s="28" t="str">
        <x:v>Planta Campinas</x:v>
      </x:c>
      <x:c r="D4" s="28" t="str">
        <x:v>Higiene e Limpeza</x:v>
      </x:c>
      <x:c r="E4" s="28" t="str">
        <x:v>SKU-078</x:v>
      </x:c>
      <x:c r="F4" s="32" t="n">
        <x:v>3998</x:v>
      </x:c>
      <x:c r="G4" s="32" t="n">
        <x:v>3820</x:v>
      </x:c>
      <x:c r="H4" s="32" t="n">
        <x:v>3459</x:v>
      </x:c>
      <x:c r="I4" s="32" t="n">
        <x:v>3718</x:v>
      </x:c>
      <x:c r="J4" s="28" t="str">
        <x:v>Semanal</x:v>
      </x:c>
      <x:c r="K4" s="28" t="str">
        <x:v>2024-S01</x:v>
      </x:c>
    </x:row>
    <x:row r="5">
      <x:c r="A5" s="34" t="n">
        <x:v>45292</x:v>
      </x:c>
      <x:c r="B5" s="28" t="str">
        <x:v>Grupo Industrial S.A.</x:v>
      </x:c>
      <x:c r="C5" s="28" t="str">
        <x:v>Planta Campinas</x:v>
      </x:c>
      <x:c r="D5" s="28" t="str">
        <x:v>Embalagens</x:v>
      </x:c>
      <x:c r="E5" s="28" t="str">
        <x:v>SKU-105</x:v>
      </x:c>
      <x:c r="F5" s="32" t="n">
        <x:v>3741</x:v>
      </x:c>
      <x:c r="G5" s="32" t="n">
        <x:v>3638</x:v>
      </x:c>
      <x:c r="H5" s="32" t="n">
        <x:v>3353</x:v>
      </x:c>
      <x:c r="I5" s="32" t="n">
        <x:v>3479</x:v>
      </x:c>
      <x:c r="J5" s="28" t="str">
        <x:v>Semanal</x:v>
      </x:c>
      <x:c r="K5" s="28" t="str">
        <x:v>2024-S01</x:v>
      </x:c>
    </x:row>
    <x:row r="6">
      <x:c r="A6" s="34" t="n">
        <x:v>45292</x:v>
      </x:c>
      <x:c r="B6" s="28" t="str">
        <x:v>Grupo Industrial S.A.</x:v>
      </x:c>
      <x:c r="C6" s="28" t="str">
        <x:v>Planta Curitiba</x:v>
      </x:c>
      <x:c r="D6" s="28" t="str">
        <x:v>Bebidas</x:v>
      </x:c>
      <x:c r="E6" s="28" t="str">
        <x:v>SKU-223</x:v>
      </x:c>
      <x:c r="F6" s="32" t="n">
        <x:v>4160</x:v>
      </x:c>
      <x:c r="G6" s="32" t="n">
        <x:v>4279</x:v>
      </x:c>
      <x:c r="H6" s="32" t="n">
        <x:v>3925</x:v>
      </x:c>
      <x:c r="I6" s="32" t="n">
        <x:v>3869</x:v>
      </x:c>
      <x:c r="J6" s="28" t="str">
        <x:v>Semanal</x:v>
      </x:c>
      <x:c r="K6" s="28" t="str">
        <x:v>2024-S01</x:v>
      </x:c>
    </x:row>
    <x:row r="7">
      <x:c r="A7" s="34" t="n">
        <x:v>45292</x:v>
      </x:c>
      <x:c r="B7" s="28" t="str">
        <x:v>Grupo Industrial S.A.</x:v>
      </x:c>
      <x:c r="C7" s="28" t="str">
        <x:v>Planta Curitiba</x:v>
      </x:c>
      <x:c r="D7" s="28" t="str">
        <x:v>Alimentos</x:v>
      </x:c>
      <x:c r="E7" s="28" t="str">
        <x:v>SKU-432</x:v>
      </x:c>
      <x:c r="F7" s="32" t="n">
        <x:v>3745</x:v>
      </x:c>
      <x:c r="G7" s="32" t="n">
        <x:v>3841</x:v>
      </x:c>
      <x:c r="H7" s="32" t="n">
        <x:v>3621</x:v>
      </x:c>
      <x:c r="I7" s="32" t="n">
        <x:v>3483</x:v>
      </x:c>
      <x:c r="J7" s="28" t="str">
        <x:v>Semanal</x:v>
      </x:c>
      <x:c r="K7" s="28" t="str">
        <x:v>2024-S01</x:v>
      </x:c>
    </x:row>
    <x:row r="8">
      <x:c r="A8" s="34" t="n">
        <x:v>45299</x:v>
      </x:c>
      <x:c r="B8" s="28" t="str">
        <x:v>Grupo Industrial S.A.</x:v>
      </x:c>
      <x:c r="C8" s="28" t="str">
        <x:v>Planta São Paulo</x:v>
      </x:c>
      <x:c r="D8" s="28" t="str">
        <x:v>Alimentos</x:v>
      </x:c>
      <x:c r="E8" s="28" t="str">
        <x:v>SKU-001</x:v>
      </x:c>
      <x:c r="F8" s="32" t="n">
        <x:v>6131</x:v>
      </x:c>
      <x:c r="G8" s="32" t="n">
        <x:v>6013</x:v>
      </x:c>
      <x:c r="H8" s="32" t="n">
        <x:v>5744</x:v>
      </x:c>
      <x:c r="I8" s="32" t="n">
        <x:v>5702</x:v>
      </x:c>
      <x:c r="J8" s="28" t="str">
        <x:v>Semanal</x:v>
      </x:c>
      <x:c r="K8" s="28" t="str">
        <x:v>2024-S02</x:v>
      </x:c>
    </x:row>
    <x:row r="9">
      <x:c r="A9" s="34" t="n">
        <x:v>45299</x:v>
      </x:c>
      <x:c r="B9" s="28" t="str">
        <x:v>Grupo Industrial S.A.</x:v>
      </x:c>
      <x:c r="C9" s="28" t="str">
        <x:v>Planta São Paulo</x:v>
      </x:c>
      <x:c r="D9" s="28" t="str">
        <x:v>Alimentos</x:v>
      </x:c>
      <x:c r="E9" s="28" t="str">
        <x:v>SKU-002</x:v>
      </x:c>
      <x:c r="F9" s="32" t="n">
        <x:v>5340</x:v>
      </x:c>
      <x:c r="G9" s="32" t="n">
        <x:v>5303</x:v>
      </x:c>
      <x:c r="H9" s="32" t="n">
        <x:v>5107</x:v>
      </x:c>
      <x:c r="I9" s="32" t="n">
        <x:v>4966</x:v>
      </x:c>
      <x:c r="J9" s="28" t="str">
        <x:v>Semanal</x:v>
      </x:c>
      <x:c r="K9" s="28" t="str">
        <x:v>2024-S02</x:v>
      </x:c>
    </x:row>
    <x:row r="10">
      <x:c r="A10" s="34" t="n">
        <x:v>45299</x:v>
      </x:c>
      <x:c r="B10" s="28" t="str">
        <x:v>Grupo Industrial S.A.</x:v>
      </x:c>
      <x:c r="C10" s="28" t="str">
        <x:v>Planta Campinas</x:v>
      </x:c>
      <x:c r="D10" s="28" t="str">
        <x:v>Higiene e Limpeza</x:v>
      </x:c>
      <x:c r="E10" s="28" t="str">
        <x:v>SKU-078</x:v>
      </x:c>
      <x:c r="F10" s="32" t="n">
        <x:v>4163</x:v>
      </x:c>
      <x:c r="G10" s="32" t="n">
        <x:v>4093</x:v>
      </x:c>
      <x:c r="H10" s="32" t="n">
        <x:v>3719</x:v>
      </x:c>
      <x:c r="I10" s="32" t="n">
        <x:v>3872</x:v>
      </x:c>
      <x:c r="J10" s="28" t="str">
        <x:v>Semanal</x:v>
      </x:c>
      <x:c r="K10" s="28" t="str">
        <x:v>2024-S02</x:v>
      </x:c>
    </x:row>
    <x:row r="11">
      <x:c r="A11" s="34" t="n">
        <x:v>45299</x:v>
      </x:c>
      <x:c r="B11" s="28" t="str">
        <x:v>Grupo Industrial S.A.</x:v>
      </x:c>
      <x:c r="C11" s="28" t="str">
        <x:v>Planta Campinas</x:v>
      </x:c>
      <x:c r="D11" s="28" t="str">
        <x:v>Embalagens</x:v>
      </x:c>
      <x:c r="E11" s="28" t="str">
        <x:v>SKU-105</x:v>
      </x:c>
      <x:c r="F11" s="32" t="n">
        <x:v>3707</x:v>
      </x:c>
      <x:c r="G11" s="32" t="n">
        <x:v>3540</x:v>
      </x:c>
      <x:c r="H11" s="32" t="n">
        <x:v>3367</x:v>
      </x:c>
      <x:c r="I11" s="32" t="n">
        <x:v>3448</x:v>
      </x:c>
      <x:c r="J11" s="28" t="str">
        <x:v>Semanal</x:v>
      </x:c>
      <x:c r="K11" s="28" t="str">
        <x:v>2024-S02</x:v>
      </x:c>
    </x:row>
    <x:row r="12">
      <x:c r="A12" s="34" t="n">
        <x:v>45299</x:v>
      </x:c>
      <x:c r="B12" s="28" t="str">
        <x:v>Grupo Industrial S.A.</x:v>
      </x:c>
      <x:c r="C12" s="28" t="str">
        <x:v>Planta Curitiba</x:v>
      </x:c>
      <x:c r="D12" s="28" t="str">
        <x:v>Bebidas</x:v>
      </x:c>
      <x:c r="E12" s="28" t="str">
        <x:v>SKU-223</x:v>
      </x:c>
      <x:c r="F12" s="32" t="n">
        <x:v>4255</x:v>
      </x:c>
      <x:c r="G12" s="32" t="n">
        <x:v>4224</x:v>
      </x:c>
      <x:c r="H12" s="32" t="n">
        <x:v>4065</x:v>
      </x:c>
      <x:c r="I12" s="32" t="n">
        <x:v>3957</x:v>
      </x:c>
      <x:c r="J12" s="28" t="str">
        <x:v>Semanal</x:v>
      </x:c>
      <x:c r="K12" s="28" t="str">
        <x:v>2024-S02</x:v>
      </x:c>
    </x:row>
    <x:row r="13">
      <x:c r="A13" s="34" t="n">
        <x:v>45299</x:v>
      </x:c>
      <x:c r="B13" s="28" t="str">
        <x:v>Grupo Industrial S.A.</x:v>
      </x:c>
      <x:c r="C13" s="28" t="str">
        <x:v>Planta Curitiba</x:v>
      </x:c>
      <x:c r="D13" s="28" t="str">
        <x:v>Alimentos</x:v>
      </x:c>
      <x:c r="E13" s="28" t="str">
        <x:v>SKU-432</x:v>
      </x:c>
      <x:c r="F13" s="32" t="n">
        <x:v>3794</x:v>
      </x:c>
      <x:c r="G13" s="32" t="n">
        <x:v>3867</x:v>
      </x:c>
      <x:c r="H13" s="32" t="n">
        <x:v>3593</x:v>
      </x:c>
      <x:c r="I13" s="32" t="n">
        <x:v>3528</x:v>
      </x:c>
      <x:c r="J13" s="28" t="str">
        <x:v>Semanal</x:v>
      </x:c>
      <x:c r="K13" s="28" t="str">
        <x:v>2024-S02</x:v>
      </x:c>
    </x:row>
    <x:row r="14">
      <x:c r="A14" s="34" t="n">
        <x:v>45306</x:v>
      </x:c>
      <x:c r="B14" s="28" t="str">
        <x:v>Grupo Industrial S.A.</x:v>
      </x:c>
      <x:c r="C14" s="28" t="str">
        <x:v>Planta São Paulo</x:v>
      </x:c>
      <x:c r="D14" s="28" t="str">
        <x:v>Alimentos</x:v>
      </x:c>
      <x:c r="E14" s="28" t="str">
        <x:v>SKU-001</x:v>
      </x:c>
      <x:c r="F14" s="32" t="n">
        <x:v>5860</x:v>
      </x:c>
      <x:c r="G14" s="32" t="n">
        <x:v>5645</x:v>
      </x:c>
      <x:c r="H14" s="32" t="n">
        <x:v>5370</x:v>
      </x:c>
      <x:c r="I14" s="32" t="n">
        <x:v>5450</x:v>
      </x:c>
      <x:c r="J14" s="28" t="str">
        <x:v>Semanal</x:v>
      </x:c>
      <x:c r="K14" s="28" t="str">
        <x:v>2024-S03</x:v>
      </x:c>
    </x:row>
    <x:row r="15">
      <x:c r="A15" s="34" t="n">
        <x:v>45306</x:v>
      </x:c>
      <x:c r="B15" s="28" t="str">
        <x:v>Grupo Industrial S.A.</x:v>
      </x:c>
      <x:c r="C15" s="28" t="str">
        <x:v>Planta São Paulo</x:v>
      </x:c>
      <x:c r="D15" s="28" t="str">
        <x:v>Alimentos</x:v>
      </x:c>
      <x:c r="E15" s="28" t="str">
        <x:v>SKU-002</x:v>
      </x:c>
      <x:c r="F15" s="32" t="n">
        <x:v>5301</x:v>
      </x:c>
      <x:c r="G15" s="32" t="n">
        <x:v>5123</x:v>
      </x:c>
      <x:c r="H15" s="32" t="n">
        <x:v>4775</x:v>
      </x:c>
      <x:c r="I15" s="32" t="n">
        <x:v>4930</x:v>
      </x:c>
      <x:c r="J15" s="28" t="str">
        <x:v>Semanal</x:v>
      </x:c>
      <x:c r="K15" s="28" t="str">
        <x:v>2024-S03</x:v>
      </x:c>
    </x:row>
    <x:row r="16">
      <x:c r="A16" s="34" t="n">
        <x:v>45306</x:v>
      </x:c>
      <x:c r="B16" s="28" t="str">
        <x:v>Grupo Industrial S.A.</x:v>
      </x:c>
      <x:c r="C16" s="28" t="str">
        <x:v>Planta Campinas</x:v>
      </x:c>
      <x:c r="D16" s="28" t="str">
        <x:v>Higiene e Limpeza</x:v>
      </x:c>
      <x:c r="E16" s="28" t="str">
        <x:v>SKU-078</x:v>
      </x:c>
      <x:c r="F16" s="32" t="n">
        <x:v>4179</x:v>
      </x:c>
      <x:c r="G16" s="32" t="n">
        <x:v>4107</x:v>
      </x:c>
      <x:c r="H16" s="32" t="n">
        <x:v>3933</x:v>
      </x:c>
      <x:c r="I16" s="32" t="n">
        <x:v>3886</x:v>
      </x:c>
      <x:c r="J16" s="28" t="str">
        <x:v>Semanal</x:v>
      </x:c>
      <x:c r="K16" s="28" t="str">
        <x:v>2024-S03</x:v>
      </x:c>
    </x:row>
    <x:row r="17">
      <x:c r="A17" s="34" t="n">
        <x:v>45306</x:v>
      </x:c>
      <x:c r="B17" s="28" t="str">
        <x:v>Grupo Industrial S.A.</x:v>
      </x:c>
      <x:c r="C17" s="28" t="str">
        <x:v>Planta Campinas</x:v>
      </x:c>
      <x:c r="D17" s="28" t="str">
        <x:v>Embalagens</x:v>
      </x:c>
      <x:c r="E17" s="28" t="str">
        <x:v>SKU-105</x:v>
      </x:c>
      <x:c r="F17" s="32" t="n">
        <x:v>3565</x:v>
      </x:c>
      <x:c r="G17" s="32" t="n">
        <x:v>3416</x:v>
      </x:c>
      <x:c r="H17" s="32" t="n">
        <x:v>3244</x:v>
      </x:c>
      <x:c r="I17" s="32" t="n">
        <x:v>3315</x:v>
      </x:c>
      <x:c r="J17" s="28" t="str">
        <x:v>Semanal</x:v>
      </x:c>
      <x:c r="K17" s="28" t="str">
        <x:v>2024-S03</x:v>
      </x:c>
    </x:row>
    <x:row r="18">
      <x:c r="A18" s="34" t="n">
        <x:v>45306</x:v>
      </x:c>
      <x:c r="B18" s="28" t="str">
        <x:v>Grupo Industrial S.A.</x:v>
      </x:c>
      <x:c r="C18" s="28" t="str">
        <x:v>Planta Curitiba</x:v>
      </x:c>
      <x:c r="D18" s="28" t="str">
        <x:v>Bebidas</x:v>
      </x:c>
      <x:c r="E18" s="28" t="str">
        <x:v>SKU-223</x:v>
      </x:c>
      <x:c r="F18" s="32" t="n">
        <x:v>4241</x:v>
      </x:c>
      <x:c r="G18" s="32" t="n">
        <x:v>4253</x:v>
      </x:c>
      <x:c r="H18" s="32" t="n">
        <x:v>3852</x:v>
      </x:c>
      <x:c r="I18" s="32" t="n">
        <x:v>3944</x:v>
      </x:c>
      <x:c r="J18" s="28" t="str">
        <x:v>Semanal</x:v>
      </x:c>
      <x:c r="K18" s="28" t="str">
        <x:v>2024-S03</x:v>
      </x:c>
    </x:row>
    <x:row r="19">
      <x:c r="A19" s="34" t="n">
        <x:v>45306</x:v>
      </x:c>
      <x:c r="B19" s="28" t="str">
        <x:v>Grupo Industrial S.A.</x:v>
      </x:c>
      <x:c r="C19" s="28" t="str">
        <x:v>Planta Curitiba</x:v>
      </x:c>
      <x:c r="D19" s="28" t="str">
        <x:v>Alimentos</x:v>
      </x:c>
      <x:c r="E19" s="28" t="str">
        <x:v>SKU-432</x:v>
      </x:c>
      <x:c r="F19" s="32" t="n">
        <x:v>3851</x:v>
      </x:c>
      <x:c r="G19" s="32" t="n">
        <x:v>3942</x:v>
      </x:c>
      <x:c r="H19" s="32" t="n">
        <x:v>3720</x:v>
      </x:c>
      <x:c r="I19" s="32" t="n">
        <x:v>3581</x:v>
      </x:c>
      <x:c r="J19" s="28" t="str">
        <x:v>Semanal</x:v>
      </x:c>
      <x:c r="K19" s="28" t="str">
        <x:v>2024-S03</x:v>
      </x:c>
    </x:row>
    <x:row r="20">
      <x:c r="A20" s="34" t="n">
        <x:v>45313</x:v>
      </x:c>
      <x:c r="B20" s="28" t="str">
        <x:v>Grupo Industrial S.A.</x:v>
      </x:c>
      <x:c r="C20" s="28" t="str">
        <x:v>Planta São Paulo</x:v>
      </x:c>
      <x:c r="D20" s="28" t="str">
        <x:v>Alimentos</x:v>
      </x:c>
      <x:c r="E20" s="28" t="str">
        <x:v>SKU-001</x:v>
      </x:c>
      <x:c r="F20" s="32" t="n">
        <x:v>5795</x:v>
      </x:c>
      <x:c r="G20" s="32" t="n">
        <x:v>5689</x:v>
      </x:c>
      <x:c r="H20" s="32" t="n">
        <x:v>5399</x:v>
      </x:c>
      <x:c r="I20" s="32" t="n">
        <x:v>5389</x:v>
      </x:c>
      <x:c r="J20" s="28" t="str">
        <x:v>Semanal</x:v>
      </x:c>
      <x:c r="K20" s="28" t="str">
        <x:v>2024-S04</x:v>
      </x:c>
    </x:row>
    <x:row r="21">
      <x:c r="A21" s="34" t="n">
        <x:v>45313</x:v>
      </x:c>
      <x:c r="B21" s="28" t="str">
        <x:v>Grupo Industrial S.A.</x:v>
      </x:c>
      <x:c r="C21" s="28" t="str">
        <x:v>Planta São Paulo</x:v>
      </x:c>
      <x:c r="D21" s="28" t="str">
        <x:v>Alimentos</x:v>
      </x:c>
      <x:c r="E21" s="28" t="str">
        <x:v>SKU-002</x:v>
      </x:c>
      <x:c r="F21" s="32" t="n">
        <x:v>5239</x:v>
      </x:c>
      <x:c r="G21" s="32" t="n">
        <x:v>5118</x:v>
      </x:c>
      <x:c r="H21" s="32" t="n">
        <x:v>4661</x:v>
      </x:c>
      <x:c r="I21" s="32" t="n">
        <x:v>4872</x:v>
      </x:c>
      <x:c r="J21" s="28" t="str">
        <x:v>Semanal</x:v>
      </x:c>
      <x:c r="K21" s="28" t="str">
        <x:v>2024-S04</x:v>
      </x:c>
    </x:row>
    <x:row r="22">
      <x:c r="A22" s="34" t="n">
        <x:v>45313</x:v>
      </x:c>
      <x:c r="B22" s="28" t="str">
        <x:v>Grupo Industrial S.A.</x:v>
      </x:c>
      <x:c r="C22" s="28" t="str">
        <x:v>Planta Campinas</x:v>
      </x:c>
      <x:c r="D22" s="28" t="str">
        <x:v>Higiene e Limpeza</x:v>
      </x:c>
      <x:c r="E22" s="28" t="str">
        <x:v>SKU-078</x:v>
      </x:c>
      <x:c r="F22" s="32" t="n">
        <x:v>4245</x:v>
      </x:c>
      <x:c r="G22" s="32" t="n">
        <x:v>4047</x:v>
      </x:c>
      <x:c r="H22" s="32" t="n">
        <x:v>3866</x:v>
      </x:c>
      <x:c r="I22" s="32" t="n">
        <x:v>3948</x:v>
      </x:c>
      <x:c r="J22" s="28" t="str">
        <x:v>Semanal</x:v>
      </x:c>
      <x:c r="K22" s="28" t="str">
        <x:v>2024-S04</x:v>
      </x:c>
    </x:row>
    <x:row r="23">
      <x:c r="A23" s="34" t="n">
        <x:v>45313</x:v>
      </x:c>
      <x:c r="B23" s="28" t="str">
        <x:v>Grupo Industrial S.A.</x:v>
      </x:c>
      <x:c r="C23" s="28" t="str">
        <x:v>Planta Campinas</x:v>
      </x:c>
      <x:c r="D23" s="28" t="str">
        <x:v>Embalagens</x:v>
      </x:c>
      <x:c r="E23" s="28" t="str">
        <x:v>SKU-105</x:v>
      </x:c>
      <x:c r="F23" s="32" t="n">
        <x:v>3691</x:v>
      </x:c>
      <x:c r="G23" s="32" t="n">
        <x:v>3501</x:v>
      </x:c>
      <x:c r="H23" s="32" t="n">
        <x:v>3344</x:v>
      </x:c>
      <x:c r="I23" s="32" t="n">
        <x:v>3433</x:v>
      </x:c>
      <x:c r="J23" s="28" t="str">
        <x:v>Semanal</x:v>
      </x:c>
      <x:c r="K23" s="28" t="str">
        <x:v>2024-S04</x:v>
      </x:c>
    </x:row>
    <x:row r="24">
      <x:c r="A24" s="34" t="n">
        <x:v>45313</x:v>
      </x:c>
      <x:c r="B24" s="28" t="str">
        <x:v>Grupo Industrial S.A.</x:v>
      </x:c>
      <x:c r="C24" s="28" t="str">
        <x:v>Planta Curitiba</x:v>
      </x:c>
      <x:c r="D24" s="28" t="str">
        <x:v>Bebidas</x:v>
      </x:c>
      <x:c r="E24" s="28" t="str">
        <x:v>SKU-223</x:v>
      </x:c>
      <x:c r="F24" s="32" t="n">
        <x:v>4224</x:v>
      </x:c>
      <x:c r="G24" s="32" t="n">
        <x:v>4308</x:v>
      </x:c>
      <x:c r="H24" s="32" t="n">
        <x:v>4088</x:v>
      </x:c>
      <x:c r="I24" s="32" t="n">
        <x:v>3928</x:v>
      </x:c>
      <x:c r="J24" s="28" t="str">
        <x:v>Semanal</x:v>
      </x:c>
      <x:c r="K24" s="28" t="str">
        <x:v>2024-S04</x:v>
      </x:c>
    </x:row>
    <x:row r="25">
      <x:c r="A25" s="34" t="n">
        <x:v>45313</x:v>
      </x:c>
      <x:c r="B25" s="28" t="str">
        <x:v>Grupo Industrial S.A.</x:v>
      </x:c>
      <x:c r="C25" s="28" t="str">
        <x:v>Planta Curitiba</x:v>
      </x:c>
      <x:c r="D25" s="28" t="str">
        <x:v>Alimentos</x:v>
      </x:c>
      <x:c r="E25" s="28" t="str">
        <x:v>SKU-432</x:v>
      </x:c>
      <x:c r="F25" s="32" t="n">
        <x:v>3801</x:v>
      </x:c>
      <x:c r="G25" s="32" t="n">
        <x:v>3819</x:v>
      </x:c>
      <x:c r="H25" s="32" t="n">
        <x:v>3583</x:v>
      </x:c>
      <x:c r="I25" s="32" t="n">
        <x:v>3535</x:v>
      </x:c>
      <x:c r="J25" s="28" t="str">
        <x:v>Semanal</x:v>
      </x:c>
      <x:c r="K25" s="28" t="str">
        <x:v>2024-S04</x:v>
      </x:c>
    </x:row>
    <x:row r="26">
      <x:c r="A26" s="34" t="n">
        <x:v>45320</x:v>
      </x:c>
      <x:c r="B26" s="28" t="str">
        <x:v>Grupo Industrial S.A.</x:v>
      </x:c>
      <x:c r="C26" s="28" t="str">
        <x:v>Planta São Paulo</x:v>
      </x:c>
      <x:c r="D26" s="28" t="str">
        <x:v>Alimentos</x:v>
      </x:c>
      <x:c r="E26" s="28" t="str">
        <x:v>SKU-001</x:v>
      </x:c>
      <x:c r="F26" s="32" t="n">
        <x:v>5874</x:v>
      </x:c>
      <x:c r="G26" s="32" t="n">
        <x:v>5843</x:v>
      </x:c>
      <x:c r="H26" s="32" t="n">
        <x:v>5504</x:v>
      </x:c>
      <x:c r="I26" s="32" t="n">
        <x:v>5463</x:v>
      </x:c>
      <x:c r="J26" s="28" t="str">
        <x:v>Semanal</x:v>
      </x:c>
      <x:c r="K26" s="28" t="str">
        <x:v>2024-S05</x:v>
      </x:c>
    </x:row>
    <x:row r="27">
      <x:c r="A27" s="34" t="n">
        <x:v>45320</x:v>
      </x:c>
      <x:c r="B27" s="28" t="str">
        <x:v>Grupo Industrial S.A.</x:v>
      </x:c>
      <x:c r="C27" s="28" t="str">
        <x:v>Planta São Paulo</x:v>
      </x:c>
      <x:c r="D27" s="28" t="str">
        <x:v>Alimentos</x:v>
      </x:c>
      <x:c r="E27" s="28" t="str">
        <x:v>SKU-002</x:v>
      </x:c>
      <x:c r="F27" s="32" t="n">
        <x:v>5452</x:v>
      </x:c>
      <x:c r="G27" s="32" t="n">
        <x:v>5388</x:v>
      </x:c>
      <x:c r="H27" s="32" t="n">
        <x:v>5189</x:v>
      </x:c>
      <x:c r="I27" s="32" t="n">
        <x:v>5070</x:v>
      </x:c>
      <x:c r="J27" s="28" t="str">
        <x:v>Semanal</x:v>
      </x:c>
      <x:c r="K27" s="28" t="str">
        <x:v>2024-S05</x:v>
      </x:c>
    </x:row>
    <x:row r="28">
      <x:c r="A28" s="34" t="n">
        <x:v>45320</x:v>
      </x:c>
      <x:c r="B28" s="28" t="str">
        <x:v>Grupo Industrial S.A.</x:v>
      </x:c>
      <x:c r="C28" s="28" t="str">
        <x:v>Planta Campinas</x:v>
      </x:c>
      <x:c r="D28" s="28" t="str">
        <x:v>Higiene e Limpeza</x:v>
      </x:c>
      <x:c r="E28" s="28" t="str">
        <x:v>SKU-078</x:v>
      </x:c>
      <x:c r="F28" s="32" t="n">
        <x:v>4241</x:v>
      </x:c>
      <x:c r="G28" s="32" t="n">
        <x:v>4134</x:v>
      </x:c>
      <x:c r="H28" s="32" t="n">
        <x:v>3806</x:v>
      </x:c>
      <x:c r="I28" s="32" t="n">
        <x:v>3944</x:v>
      </x:c>
      <x:c r="J28" s="28" t="str">
        <x:v>Semanal</x:v>
      </x:c>
      <x:c r="K28" s="28" t="str">
        <x:v>2024-S05</x:v>
      </x:c>
    </x:row>
    <x:row r="29">
      <x:c r="A29" s="34" t="n">
        <x:v>45320</x:v>
      </x:c>
      <x:c r="B29" s="28" t="str">
        <x:v>Grupo Industrial S.A.</x:v>
      </x:c>
      <x:c r="C29" s="28" t="str">
        <x:v>Planta Campinas</x:v>
      </x:c>
      <x:c r="D29" s="28" t="str">
        <x:v>Embalagens</x:v>
      </x:c>
      <x:c r="E29" s="28" t="str">
        <x:v>SKU-105</x:v>
      </x:c>
      <x:c r="F29" s="32" t="n">
        <x:v>3692</x:v>
      </x:c>
      <x:c r="G29" s="32" t="n">
        <x:v>3575</x:v>
      </x:c>
      <x:c r="H29" s="32" t="n">
        <x:v>3272</x:v>
      </x:c>
      <x:c r="I29" s="32" t="n">
        <x:v>3434</x:v>
      </x:c>
      <x:c r="J29" s="28" t="str">
        <x:v>Semanal</x:v>
      </x:c>
      <x:c r="K29" s="28" t="str">
        <x:v>2024-S05</x:v>
      </x:c>
    </x:row>
    <x:row r="30">
      <x:c r="A30" s="34" t="n">
        <x:v>45320</x:v>
      </x:c>
      <x:c r="B30" s="28" t="str">
        <x:v>Grupo Industrial S.A.</x:v>
      </x:c>
      <x:c r="C30" s="28" t="str">
        <x:v>Planta Curitiba</x:v>
      </x:c>
      <x:c r="D30" s="28" t="str">
        <x:v>Bebidas</x:v>
      </x:c>
      <x:c r="E30" s="28" t="str">
        <x:v>SKU-223</x:v>
      </x:c>
      <x:c r="F30" s="32" t="n">
        <x:v>4427</x:v>
      </x:c>
      <x:c r="G30" s="32" t="n">
        <x:v>4558</x:v>
      </x:c>
      <x:c r="H30" s="32" t="n">
        <x:v>4318</x:v>
      </x:c>
      <x:c r="I30" s="32" t="n">
        <x:v>4117</x:v>
      </x:c>
      <x:c r="J30" s="28" t="str">
        <x:v>Semanal</x:v>
      </x:c>
      <x:c r="K30" s="28" t="str">
        <x:v>2024-S05</x:v>
      </x:c>
    </x:row>
    <x:row r="31">
      <x:c r="A31" s="34" t="n">
        <x:v>45320</x:v>
      </x:c>
      <x:c r="B31" s="28" t="str">
        <x:v>Grupo Industrial S.A.</x:v>
      </x:c>
      <x:c r="C31" s="28" t="str">
        <x:v>Planta Curitiba</x:v>
      </x:c>
      <x:c r="D31" s="28" t="str">
        <x:v>Alimentos</x:v>
      </x:c>
      <x:c r="E31" s="28" t="str">
        <x:v>SKU-432</x:v>
      </x:c>
      <x:c r="F31" s="32" t="n">
        <x:v>3696</x:v>
      </x:c>
      <x:c r="G31" s="32" t="n">
        <x:v>3729</x:v>
      </x:c>
      <x:c r="H31" s="32" t="n">
        <x:v>3430</x:v>
      </x:c>
      <x:c r="I31" s="32" t="n">
        <x:v>3437</x:v>
      </x:c>
      <x:c r="J31" s="28" t="str">
        <x:v>Semanal</x:v>
      </x:c>
      <x:c r="K31" s="28" t="str">
        <x:v>2024-S05</x:v>
      </x:c>
    </x:row>
    <x:row r="32">
      <x:c r="A32" s="34" t="n">
        <x:v>45327</x:v>
      </x:c>
      <x:c r="B32" s="28" t="str">
        <x:v>Grupo Industrial S.A.</x:v>
      </x:c>
      <x:c r="C32" s="28" t="str">
        <x:v>Planta São Paulo</x:v>
      </x:c>
      <x:c r="D32" s="28" t="str">
        <x:v>Alimentos</x:v>
      </x:c>
      <x:c r="E32" s="28" t="str">
        <x:v>SKU-001</x:v>
      </x:c>
      <x:c r="F32" s="32" t="n">
        <x:v>6408</x:v>
      </x:c>
      <x:c r="G32" s="32" t="n">
        <x:v>6441</x:v>
      </x:c>
      <x:c r="H32" s="32" t="n">
        <x:v>5907</x:v>
      </x:c>
      <x:c r="I32" s="32" t="n">
        <x:v>5959</x:v>
      </x:c>
      <x:c r="J32" s="28" t="str">
        <x:v>Semanal</x:v>
      </x:c>
      <x:c r="K32" s="28" t="str">
        <x:v>2024-S06</x:v>
      </x:c>
    </x:row>
    <x:row r="33">
      <x:c r="A33" s="34" t="n">
        <x:v>45327</x:v>
      </x:c>
      <x:c r="B33" s="28" t="str">
        <x:v>Grupo Industrial S.A.</x:v>
      </x:c>
      <x:c r="C33" s="28" t="str">
        <x:v>Planta São Paulo</x:v>
      </x:c>
      <x:c r="D33" s="28" t="str">
        <x:v>Alimentos</x:v>
      </x:c>
      <x:c r="E33" s="28" t="str">
        <x:v>SKU-002</x:v>
      </x:c>
      <x:c r="F33" s="32" t="n">
        <x:v>5574</x:v>
      </x:c>
      <x:c r="G33" s="32" t="n">
        <x:v>5397</x:v>
      </x:c>
      <x:c r="H33" s="32" t="n">
        <x:v>4915</x:v>
      </x:c>
      <x:c r="I33" s="32" t="n">
        <x:v>5184</x:v>
      </x:c>
      <x:c r="J33" s="28" t="str">
        <x:v>Semanal</x:v>
      </x:c>
      <x:c r="K33" s="28" t="str">
        <x:v>2024-S06</x:v>
      </x:c>
    </x:row>
    <x:row r="34">
      <x:c r="A34" s="34" t="n">
        <x:v>45327</x:v>
      </x:c>
      <x:c r="B34" s="28" t="str">
        <x:v>Grupo Industrial S.A.</x:v>
      </x:c>
      <x:c r="C34" s="28" t="str">
        <x:v>Planta Campinas</x:v>
      </x:c>
      <x:c r="D34" s="28" t="str">
        <x:v>Higiene e Limpeza</x:v>
      </x:c>
      <x:c r="E34" s="28" t="str">
        <x:v>SKU-078</x:v>
      </x:c>
      <x:c r="F34" s="32" t="n">
        <x:v>4344</x:v>
      </x:c>
      <x:c r="G34" s="32" t="n">
        <x:v>4116</x:v>
      </x:c>
      <x:c r="H34" s="32" t="n">
        <x:v>3857</x:v>
      </x:c>
      <x:c r="I34" s="32" t="n">
        <x:v>4040</x:v>
      </x:c>
      <x:c r="J34" s="28" t="str">
        <x:v>Semanal</x:v>
      </x:c>
      <x:c r="K34" s="28" t="str">
        <x:v>2024-S06</x:v>
      </x:c>
    </x:row>
    <x:row r="35">
      <x:c r="A35" s="34" t="n">
        <x:v>45327</x:v>
      </x:c>
      <x:c r="B35" s="28" t="str">
        <x:v>Grupo Industrial S.A.</x:v>
      </x:c>
      <x:c r="C35" s="28" t="str">
        <x:v>Planta Campinas</x:v>
      </x:c>
      <x:c r="D35" s="28" t="str">
        <x:v>Embalagens</x:v>
      </x:c>
      <x:c r="E35" s="28" t="str">
        <x:v>SKU-105</x:v>
      </x:c>
      <x:c r="F35" s="32" t="n">
        <x:v>4035</x:v>
      </x:c>
      <x:c r="G35" s="32" t="n">
        <x:v>3851</x:v>
      </x:c>
      <x:c r="H35" s="32" t="n">
        <x:v>3531</x:v>
      </x:c>
      <x:c r="I35" s="32" t="n">
        <x:v>3753</x:v>
      </x:c>
      <x:c r="J35" s="28" t="str">
        <x:v>Semanal</x:v>
      </x:c>
      <x:c r="K35" s="28" t="str">
        <x:v>2024-S06</x:v>
      </x:c>
    </x:row>
    <x:row r="36">
      <x:c r="A36" s="34" t="n">
        <x:v>45327</x:v>
      </x:c>
      <x:c r="B36" s="28" t="str">
        <x:v>Grupo Industrial S.A.</x:v>
      </x:c>
      <x:c r="C36" s="28" t="str">
        <x:v>Planta Curitiba</x:v>
      </x:c>
      <x:c r="D36" s="28" t="str">
        <x:v>Bebidas</x:v>
      </x:c>
      <x:c r="E36" s="28" t="str">
        <x:v>SKU-223</x:v>
      </x:c>
      <x:c r="F36" s="32" t="n">
        <x:v>4289</x:v>
      </x:c>
      <x:c r="G36" s="32" t="n">
        <x:v>4265</x:v>
      </x:c>
      <x:c r="H36" s="32" t="n">
        <x:v>3895</x:v>
      </x:c>
      <x:c r="I36" s="32" t="n">
        <x:v>3989</x:v>
      </x:c>
      <x:c r="J36" s="28" t="str">
        <x:v>Semanal</x:v>
      </x:c>
      <x:c r="K36" s="28" t="str">
        <x:v>2024-S06</x:v>
      </x:c>
    </x:row>
    <x:row r="37">
      <x:c r="A37" s="34" t="n">
        <x:v>45327</x:v>
      </x:c>
      <x:c r="B37" s="28" t="str">
        <x:v>Grupo Industrial S.A.</x:v>
      </x:c>
      <x:c r="C37" s="28" t="str">
        <x:v>Planta Curitiba</x:v>
      </x:c>
      <x:c r="D37" s="28" t="str">
        <x:v>Alimentos</x:v>
      </x:c>
      <x:c r="E37" s="28" t="str">
        <x:v>SKU-432</x:v>
      </x:c>
      <x:c r="F37" s="32" t="n">
        <x:v>3718</x:v>
      </x:c>
      <x:c r="G37" s="32" t="n">
        <x:v>3653</x:v>
      </x:c>
      <x:c r="H37" s="32" t="n">
        <x:v>3475</x:v>
      </x:c>
      <x:c r="I37" s="32" t="n">
        <x:v>3458</x:v>
      </x:c>
      <x:c r="J37" s="28" t="str">
        <x:v>Semanal</x:v>
      </x:c>
      <x:c r="K37" s="28" t="str">
        <x:v>2024-S06</x:v>
      </x:c>
    </x:row>
    <x:row r="38">
      <x:c r="A38" s="34" t="n">
        <x:v>45334</x:v>
      </x:c>
      <x:c r="B38" s="28" t="str">
        <x:v>Grupo Industrial S.A.</x:v>
      </x:c>
      <x:c r="C38" s="28" t="str">
        <x:v>Planta São Paulo</x:v>
      </x:c>
      <x:c r="D38" s="28" t="str">
        <x:v>Alimentos</x:v>
      </x:c>
      <x:c r="E38" s="28" t="str">
        <x:v>SKU-001</x:v>
      </x:c>
      <x:c r="F38" s="32" t="n">
        <x:v>6131</x:v>
      </x:c>
      <x:c r="G38" s="32" t="n">
        <x:v>6003</x:v>
      </x:c>
      <x:c r="H38" s="32" t="n">
        <x:v>5738</x:v>
      </x:c>
      <x:c r="I38" s="32" t="n">
        <x:v>5702</x:v>
      </x:c>
      <x:c r="J38" s="28" t="str">
        <x:v>Semanal</x:v>
      </x:c>
      <x:c r="K38" s="28" t="str">
        <x:v>2024-S07</x:v>
      </x:c>
    </x:row>
    <x:row r="39">
      <x:c r="A39" s="34" t="n">
        <x:v>45334</x:v>
      </x:c>
      <x:c r="B39" s="28" t="str">
        <x:v>Grupo Industrial S.A.</x:v>
      </x:c>
      <x:c r="C39" s="28" t="str">
        <x:v>Planta São Paulo</x:v>
      </x:c>
      <x:c r="D39" s="28" t="str">
        <x:v>Alimentos</x:v>
      </x:c>
      <x:c r="E39" s="28" t="str">
        <x:v>SKU-002</x:v>
      </x:c>
      <x:c r="F39" s="32" t="n">
        <x:v>5417</x:v>
      </x:c>
      <x:c r="G39" s="32" t="n">
        <x:v>5246</x:v>
      </x:c>
      <x:c r="H39" s="32" t="n">
        <x:v>4926</x:v>
      </x:c>
      <x:c r="I39" s="32" t="n">
        <x:v>5038</x:v>
      </x:c>
      <x:c r="J39" s="28" t="str">
        <x:v>Semanal</x:v>
      </x:c>
      <x:c r="K39" s="28" t="str">
        <x:v>2024-S07</x:v>
      </x:c>
    </x:row>
    <x:row r="40">
      <x:c r="A40" s="34" t="n">
        <x:v>45334</x:v>
      </x:c>
      <x:c r="B40" s="28" t="str">
        <x:v>Grupo Industrial S.A.</x:v>
      </x:c>
      <x:c r="C40" s="28" t="str">
        <x:v>Planta Campinas</x:v>
      </x:c>
      <x:c r="D40" s="28" t="str">
        <x:v>Higiene e Limpeza</x:v>
      </x:c>
      <x:c r="E40" s="28" t="str">
        <x:v>SKU-078</x:v>
      </x:c>
      <x:c r="F40" s="32" t="n">
        <x:v>4165</x:v>
      </x:c>
      <x:c r="G40" s="32" t="n">
        <x:v>3976</x:v>
      </x:c>
      <x:c r="H40" s="32" t="n">
        <x:v>3761</x:v>
      </x:c>
      <x:c r="I40" s="32" t="n">
        <x:v>3873</x:v>
      </x:c>
      <x:c r="J40" s="28" t="str">
        <x:v>Semanal</x:v>
      </x:c>
      <x:c r="K40" s="28" t="str">
        <x:v>2024-S07</x:v>
      </x:c>
    </x:row>
    <x:row r="41">
      <x:c r="A41" s="34" t="n">
        <x:v>45334</x:v>
      </x:c>
      <x:c r="B41" s="28" t="str">
        <x:v>Grupo Industrial S.A.</x:v>
      </x:c>
      <x:c r="C41" s="28" t="str">
        <x:v>Planta Campinas</x:v>
      </x:c>
      <x:c r="D41" s="28" t="str">
        <x:v>Embalagens</x:v>
      </x:c>
      <x:c r="E41" s="28" t="str">
        <x:v>SKU-105</x:v>
      </x:c>
      <x:c r="F41" s="32" t="n">
        <x:v>3746</x:v>
      </x:c>
      <x:c r="G41" s="32" t="n">
        <x:v>3626</x:v>
      </x:c>
      <x:c r="H41" s="32" t="n">
        <x:v>3435</x:v>
      </x:c>
      <x:c r="I41" s="32" t="n">
        <x:v>3484</x:v>
      </x:c>
      <x:c r="J41" s="28" t="str">
        <x:v>Semanal</x:v>
      </x:c>
      <x:c r="K41" s="28" t="str">
        <x:v>2024-S07</x:v>
      </x:c>
    </x:row>
    <x:row r="42">
      <x:c r="A42" s="34" t="n">
        <x:v>45334</x:v>
      </x:c>
      <x:c r="B42" s="28" t="str">
        <x:v>Grupo Industrial S.A.</x:v>
      </x:c>
      <x:c r="C42" s="28" t="str">
        <x:v>Planta Curitiba</x:v>
      </x:c>
      <x:c r="D42" s="28" t="str">
        <x:v>Bebidas</x:v>
      </x:c>
      <x:c r="E42" s="28" t="str">
        <x:v>SKU-223</x:v>
      </x:c>
      <x:c r="F42" s="32" t="n">
        <x:v>4607</x:v>
      </x:c>
      <x:c r="G42" s="32" t="n">
        <x:v>4599</x:v>
      </x:c>
      <x:c r="H42" s="32" t="n">
        <x:v>4238</x:v>
      </x:c>
      <x:c r="I42" s="32" t="n">
        <x:v>4285</x:v>
      </x:c>
      <x:c r="J42" s="28" t="str">
        <x:v>Semanal</x:v>
      </x:c>
      <x:c r="K42" s="28" t="str">
        <x:v>2024-S07</x:v>
      </x:c>
    </x:row>
    <x:row r="43">
      <x:c r="A43" s="34" t="n">
        <x:v>45334</x:v>
      </x:c>
      <x:c r="B43" s="28" t="str">
        <x:v>Grupo Industrial S.A.</x:v>
      </x:c>
      <x:c r="C43" s="28" t="str">
        <x:v>Planta Curitiba</x:v>
      </x:c>
      <x:c r="D43" s="28" t="str">
        <x:v>Alimentos</x:v>
      </x:c>
      <x:c r="E43" s="28" t="str">
        <x:v>SKU-432</x:v>
      </x:c>
      <x:c r="F43" s="32" t="n">
        <x:v>4015</x:v>
      </x:c>
      <x:c r="G43" s="32" t="n">
        <x:v>4069</x:v>
      </x:c>
      <x:c r="H43" s="32" t="n">
        <x:v>3704</x:v>
      </x:c>
      <x:c r="I43" s="32" t="n">
        <x:v>3734</x:v>
      </x:c>
      <x:c r="J43" s="28" t="str">
        <x:v>Semanal</x:v>
      </x:c>
      <x:c r="K43" s="28" t="str">
        <x:v>2024-S07</x:v>
      </x:c>
    </x:row>
    <x:row r="44">
      <x:c r="A44" s="34" t="n">
        <x:v>45341</x:v>
      </x:c>
      <x:c r="B44" s="28" t="str">
        <x:v>Grupo Industrial S.A.</x:v>
      </x:c>
      <x:c r="C44" s="28" t="str">
        <x:v>Planta São Paulo</x:v>
      </x:c>
      <x:c r="D44" s="28" t="str">
        <x:v>Alimentos</x:v>
      </x:c>
      <x:c r="E44" s="28" t="str">
        <x:v>SKU-001</x:v>
      </x:c>
      <x:c r="F44" s="32" t="n">
        <x:v>6086</x:v>
      </x:c>
      <x:c r="G44" s="32" t="n">
        <x:v>5899</x:v>
      </x:c>
      <x:c r="H44" s="32" t="n">
        <x:v>5356</x:v>
      </x:c>
      <x:c r="I44" s="32" t="n">
        <x:v>5660</x:v>
      </x:c>
      <x:c r="J44" s="28" t="str">
        <x:v>Semanal</x:v>
      </x:c>
      <x:c r="K44" s="28" t="str">
        <x:v>2024-S08</x:v>
      </x:c>
    </x:row>
    <x:row r="45">
      <x:c r="A45" s="34" t="n">
        <x:v>45341</x:v>
      </x:c>
      <x:c r="B45" s="28" t="str">
        <x:v>Grupo Industrial S.A.</x:v>
      </x:c>
      <x:c r="C45" s="28" t="str">
        <x:v>Planta São Paulo</x:v>
      </x:c>
      <x:c r="D45" s="28" t="str">
        <x:v>Alimentos</x:v>
      </x:c>
      <x:c r="E45" s="28" t="str">
        <x:v>SKU-002</x:v>
      </x:c>
      <x:c r="F45" s="32" t="n">
        <x:v>5202</x:v>
      </x:c>
      <x:c r="G45" s="32" t="n">
        <x:v>5091</x:v>
      </x:c>
      <x:c r="H45" s="32" t="n">
        <x:v>4642</x:v>
      </x:c>
      <x:c r="I45" s="32" t="n">
        <x:v>4838</x:v>
      </x:c>
      <x:c r="J45" s="28" t="str">
        <x:v>Semanal</x:v>
      </x:c>
      <x:c r="K45" s="28" t="str">
        <x:v>2024-S08</x:v>
      </x:c>
    </x:row>
    <x:row r="46">
      <x:c r="A46" s="34" t="n">
        <x:v>45341</x:v>
      </x:c>
      <x:c r="B46" s="28" t="str">
        <x:v>Grupo Industrial S.A.</x:v>
      </x:c>
      <x:c r="C46" s="28" t="str">
        <x:v>Planta Campinas</x:v>
      </x:c>
      <x:c r="D46" s="28" t="str">
        <x:v>Higiene e Limpeza</x:v>
      </x:c>
      <x:c r="E46" s="28" t="str">
        <x:v>SKU-078</x:v>
      </x:c>
      <x:c r="F46" s="32" t="n">
        <x:v>4489</x:v>
      </x:c>
      <x:c r="G46" s="32" t="n">
        <x:v>4307</x:v>
      </x:c>
      <x:c r="H46" s="32" t="n">
        <x:v>3908</x:v>
      </x:c>
      <x:c r="I46" s="32" t="n">
        <x:v>4175</x:v>
      </x:c>
      <x:c r="J46" s="28" t="str">
        <x:v>Semanal</x:v>
      </x:c>
      <x:c r="K46" s="28" t="str">
        <x:v>2024-S08</x:v>
      </x:c>
    </x:row>
    <x:row r="47">
      <x:c r="A47" s="34" t="n">
        <x:v>45341</x:v>
      </x:c>
      <x:c r="B47" s="28" t="str">
        <x:v>Grupo Industrial S.A.</x:v>
      </x:c>
      <x:c r="C47" s="28" t="str">
        <x:v>Planta Campinas</x:v>
      </x:c>
      <x:c r="D47" s="28" t="str">
        <x:v>Embalagens</x:v>
      </x:c>
      <x:c r="E47" s="28" t="str">
        <x:v>SKU-105</x:v>
      </x:c>
      <x:c r="F47" s="32" t="n">
        <x:v>3706</x:v>
      </x:c>
      <x:c r="G47" s="32" t="n">
        <x:v>3543</x:v>
      </x:c>
      <x:c r="H47" s="32" t="n">
        <x:v>3363</x:v>
      </x:c>
      <x:c r="I47" s="32" t="n">
        <x:v>3447</x:v>
      </x:c>
      <x:c r="J47" s="28" t="str">
        <x:v>Semanal</x:v>
      </x:c>
      <x:c r="K47" s="28" t="str">
        <x:v>2024-S08</x:v>
      </x:c>
    </x:row>
    <x:row r="48">
      <x:c r="A48" s="34" t="n">
        <x:v>45341</x:v>
      </x:c>
      <x:c r="B48" s="28" t="str">
        <x:v>Grupo Industrial S.A.</x:v>
      </x:c>
      <x:c r="C48" s="28" t="str">
        <x:v>Planta Curitiba</x:v>
      </x:c>
      <x:c r="D48" s="28" t="str">
        <x:v>Bebidas</x:v>
      </x:c>
      <x:c r="E48" s="28" t="str">
        <x:v>SKU-223</x:v>
      </x:c>
      <x:c r="F48" s="32" t="n">
        <x:v>4423</x:v>
      </x:c>
      <x:c r="G48" s="32" t="n">
        <x:v>4522</x:v>
      </x:c>
      <x:c r="H48" s="32" t="n">
        <x:v>4123</x:v>
      </x:c>
      <x:c r="I48" s="32" t="n">
        <x:v>4113</x:v>
      </x:c>
      <x:c r="J48" s="28" t="str">
        <x:v>Semanal</x:v>
      </x:c>
      <x:c r="K48" s="28" t="str">
        <x:v>2024-S08</x:v>
      </x:c>
    </x:row>
    <x:row r="49">
      <x:c r="A49" s="34" t="n">
        <x:v>45341</x:v>
      </x:c>
      <x:c r="B49" s="28" t="str">
        <x:v>Grupo Industrial S.A.</x:v>
      </x:c>
      <x:c r="C49" s="28" t="str">
        <x:v>Planta Curitiba</x:v>
      </x:c>
      <x:c r="D49" s="28" t="str">
        <x:v>Alimentos</x:v>
      </x:c>
      <x:c r="E49" s="28" t="str">
        <x:v>SKU-432</x:v>
      </x:c>
      <x:c r="F49" s="32" t="n">
        <x:v>4030</x:v>
      </x:c>
      <x:c r="G49" s="32" t="n">
        <x:v>4058</x:v>
      </x:c>
      <x:c r="H49" s="32" t="n">
        <x:v>3882</x:v>
      </x:c>
      <x:c r="I49" s="32" t="n">
        <x:v>3748</x:v>
      </x:c>
      <x:c r="J49" s="28" t="str">
        <x:v>Semanal</x:v>
      </x:c>
      <x:c r="K49" s="28" t="str">
        <x:v>2024-S08</x:v>
      </x:c>
    </x:row>
    <x:row r="50">
      <x:c r="A50" s="34" t="n">
        <x:v>45348</x:v>
      </x:c>
      <x:c r="B50" s="28" t="str">
        <x:v>Grupo Industrial S.A.</x:v>
      </x:c>
      <x:c r="C50" s="28" t="str">
        <x:v>Planta São Paulo</x:v>
      </x:c>
      <x:c r="D50" s="28" t="str">
        <x:v>Alimentos</x:v>
      </x:c>
      <x:c r="E50" s="28" t="str">
        <x:v>SKU-001</x:v>
      </x:c>
      <x:c r="F50" s="32" t="n">
        <x:v>6140</x:v>
      </x:c>
      <x:c r="G50" s="32" t="n">
        <x:v>6176</x:v>
      </x:c>
      <x:c r="H50" s="32" t="n">
        <x:v>5749</x:v>
      </x:c>
      <x:c r="I50" s="32" t="n">
        <x:v>5710</x:v>
      </x:c>
      <x:c r="J50" s="28" t="str">
        <x:v>Semanal</x:v>
      </x:c>
      <x:c r="K50" s="28" t="str">
        <x:v>2024-S09</x:v>
      </x:c>
    </x:row>
    <x:row r="51">
      <x:c r="A51" s="34" t="n">
        <x:v>45348</x:v>
      </x:c>
      <x:c r="B51" s="28" t="str">
        <x:v>Grupo Industrial S.A.</x:v>
      </x:c>
      <x:c r="C51" s="28" t="str">
        <x:v>Planta São Paulo</x:v>
      </x:c>
      <x:c r="D51" s="28" t="str">
        <x:v>Alimentos</x:v>
      </x:c>
      <x:c r="E51" s="28" t="str">
        <x:v>SKU-002</x:v>
      </x:c>
      <x:c r="F51" s="32" t="n">
        <x:v>5553</x:v>
      </x:c>
      <x:c r="G51" s="32" t="n">
        <x:v>5485</x:v>
      </x:c>
      <x:c r="H51" s="32" t="n">
        <x:v>5120</x:v>
      </x:c>
      <x:c r="I51" s="32" t="n">
        <x:v>5164</x:v>
      </x:c>
      <x:c r="J51" s="28" t="str">
        <x:v>Semanal</x:v>
      </x:c>
      <x:c r="K51" s="28" t="str">
        <x:v>2024-S09</x:v>
      </x:c>
    </x:row>
    <x:row r="52">
      <x:c r="A52" s="34" t="n">
        <x:v>45348</x:v>
      </x:c>
      <x:c r="B52" s="28" t="str">
        <x:v>Grupo Industrial S.A.</x:v>
      </x:c>
      <x:c r="C52" s="28" t="str">
        <x:v>Planta Campinas</x:v>
      </x:c>
      <x:c r="D52" s="28" t="str">
        <x:v>Higiene e Limpeza</x:v>
      </x:c>
      <x:c r="E52" s="28" t="str">
        <x:v>SKU-078</x:v>
      </x:c>
      <x:c r="F52" s="32" t="n">
        <x:v>4457</x:v>
      </x:c>
      <x:c r="G52" s="32" t="n">
        <x:v>4252</x:v>
      </x:c>
      <x:c r="H52" s="32" t="n">
        <x:v>3930</x:v>
      </x:c>
      <x:c r="I52" s="32" t="n">
        <x:v>4145</x:v>
      </x:c>
      <x:c r="J52" s="28" t="str">
        <x:v>Semanal</x:v>
      </x:c>
      <x:c r="K52" s="28" t="str">
        <x:v>2024-S09</x:v>
      </x:c>
    </x:row>
    <x:row r="53">
      <x:c r="A53" s="34" t="n">
        <x:v>45348</x:v>
      </x:c>
      <x:c r="B53" s="28" t="str">
        <x:v>Grupo Industrial S.A.</x:v>
      </x:c>
      <x:c r="C53" s="28" t="str">
        <x:v>Planta Campinas</x:v>
      </x:c>
      <x:c r="D53" s="28" t="str">
        <x:v>Embalagens</x:v>
      </x:c>
      <x:c r="E53" s="28" t="str">
        <x:v>SKU-105</x:v>
      </x:c>
      <x:c r="F53" s="32" t="n">
        <x:v>4026</x:v>
      </x:c>
      <x:c r="G53" s="32" t="n">
        <x:v>3904</x:v>
      </x:c>
      <x:c r="H53" s="32" t="n">
        <x:v>3766</x:v>
      </x:c>
      <x:c r="I53" s="32" t="n">
        <x:v>3744</x:v>
      </x:c>
      <x:c r="J53" s="28" t="str">
        <x:v>Semanal</x:v>
      </x:c>
      <x:c r="K53" s="28" t="str">
        <x:v>2024-S09</x:v>
      </x:c>
    </x:row>
    <x:row r="54">
      <x:c r="A54" s="34" t="n">
        <x:v>45348</x:v>
      </x:c>
      <x:c r="B54" s="28" t="str">
        <x:v>Grupo Industrial S.A.</x:v>
      </x:c>
      <x:c r="C54" s="28" t="str">
        <x:v>Planta Curitiba</x:v>
      </x:c>
      <x:c r="D54" s="28" t="str">
        <x:v>Bebidas</x:v>
      </x:c>
      <x:c r="E54" s="28" t="str">
        <x:v>SKU-223</x:v>
      </x:c>
      <x:c r="F54" s="32" t="n">
        <x:v>4367</x:v>
      </x:c>
      <x:c r="G54" s="32" t="n">
        <x:v>4310</x:v>
      </x:c>
      <x:c r="H54" s="32" t="n">
        <x:v>4067</x:v>
      </x:c>
      <x:c r="I54" s="32" t="n">
        <x:v>4061</x:v>
      </x:c>
      <x:c r="J54" s="28" t="str">
        <x:v>Semanal</x:v>
      </x:c>
      <x:c r="K54" s="28" t="str">
        <x:v>2024-S09</x:v>
      </x:c>
    </x:row>
    <x:row r="55">
      <x:c r="A55" s="34" t="n">
        <x:v>45348</x:v>
      </x:c>
      <x:c r="B55" s="28" t="str">
        <x:v>Grupo Industrial S.A.</x:v>
      </x:c>
      <x:c r="C55" s="28" t="str">
        <x:v>Planta Curitiba</x:v>
      </x:c>
      <x:c r="D55" s="28" t="str">
        <x:v>Alimentos</x:v>
      </x:c>
      <x:c r="E55" s="28" t="str">
        <x:v>SKU-432</x:v>
      </x:c>
      <x:c r="F55" s="32" t="n">
        <x:v>3675</x:v>
      </x:c>
      <x:c r="G55" s="32" t="n">
        <x:v>3712</x:v>
      </x:c>
      <x:c r="H55" s="32" t="n">
        <x:v>3553</x:v>
      </x:c>
      <x:c r="I55" s="32" t="n">
        <x:v>3418</x:v>
      </x:c>
      <x:c r="J55" s="28" t="str">
        <x:v>Semanal</x:v>
      </x:c>
      <x:c r="K55" s="28" t="str">
        <x:v>2024-S09</x:v>
      </x:c>
    </x:row>
    <x:row r="56">
      <x:c r="A56" s="34" t="n">
        <x:v>45355</x:v>
      </x:c>
      <x:c r="B56" s="28" t="str">
        <x:v>Grupo Industrial S.A.</x:v>
      </x:c>
      <x:c r="C56" s="28" t="str">
        <x:v>Planta São Paulo</x:v>
      </x:c>
      <x:c r="D56" s="28" t="str">
        <x:v>Alimentos</x:v>
      </x:c>
      <x:c r="E56" s="28" t="str">
        <x:v>SKU-001</x:v>
      </x:c>
      <x:c r="F56" s="32" t="n">
        <x:v>6309</x:v>
      </x:c>
      <x:c r="G56" s="32" t="n">
        <x:v>6317</x:v>
      </x:c>
      <x:c r="H56" s="32" t="n">
        <x:v>5947</x:v>
      </x:c>
      <x:c r="I56" s="32" t="n">
        <x:v>5867</x:v>
      </x:c>
      <x:c r="J56" s="28" t="str">
        <x:v>Semanal</x:v>
      </x:c>
      <x:c r="K56" s="28" t="str">
        <x:v>2024-S10</x:v>
      </x:c>
    </x:row>
    <x:row r="57">
      <x:c r="A57" s="34" t="n">
        <x:v>45355</x:v>
      </x:c>
      <x:c r="B57" s="28" t="str">
        <x:v>Grupo Industrial S.A.</x:v>
      </x:c>
      <x:c r="C57" s="28" t="str">
        <x:v>Planta São Paulo</x:v>
      </x:c>
      <x:c r="D57" s="28" t="str">
        <x:v>Alimentos</x:v>
      </x:c>
      <x:c r="E57" s="28" t="str">
        <x:v>SKU-002</x:v>
      </x:c>
      <x:c r="F57" s="32" t="n">
        <x:v>5367</x:v>
      </x:c>
      <x:c r="G57" s="32" t="n">
        <x:v>5154</x:v>
      </x:c>
      <x:c r="H57" s="32" t="n">
        <x:v>4874</x:v>
      </x:c>
      <x:c r="I57" s="32" t="n">
        <x:v>4991</x:v>
      </x:c>
      <x:c r="J57" s="28" t="str">
        <x:v>Semanal</x:v>
      </x:c>
      <x:c r="K57" s="28" t="str">
        <x:v>2024-S10</x:v>
      </x:c>
    </x:row>
    <x:row r="58">
      <x:c r="A58" s="34" t="n">
        <x:v>45355</x:v>
      </x:c>
      <x:c r="B58" s="28" t="str">
        <x:v>Grupo Industrial S.A.</x:v>
      </x:c>
      <x:c r="C58" s="28" t="str">
        <x:v>Planta Campinas</x:v>
      </x:c>
      <x:c r="D58" s="28" t="str">
        <x:v>Higiene e Limpeza</x:v>
      </x:c>
      <x:c r="E58" s="28" t="str">
        <x:v>SKU-078</x:v>
      </x:c>
      <x:c r="F58" s="32" t="n">
        <x:v>4285</x:v>
      </x:c>
      <x:c r="G58" s="32" t="n">
        <x:v>4068</x:v>
      </x:c>
      <x:c r="H58" s="32" t="n">
        <x:v>3785</x:v>
      </x:c>
      <x:c r="I58" s="32" t="n">
        <x:v>3985</x:v>
      </x:c>
      <x:c r="J58" s="28" t="str">
        <x:v>Semanal</x:v>
      </x:c>
      <x:c r="K58" s="28" t="str">
        <x:v>2024-S10</x:v>
      </x:c>
    </x:row>
    <x:row r="59">
      <x:c r="A59" s="34" t="n">
        <x:v>45355</x:v>
      </x:c>
      <x:c r="B59" s="28" t="str">
        <x:v>Grupo Industrial S.A.</x:v>
      </x:c>
      <x:c r="C59" s="28" t="str">
        <x:v>Planta Campinas</x:v>
      </x:c>
      <x:c r="D59" s="28" t="str">
        <x:v>Embalagens</x:v>
      </x:c>
      <x:c r="E59" s="28" t="str">
        <x:v>SKU-105</x:v>
      </x:c>
      <x:c r="F59" s="32" t="n">
        <x:v>4134</x:v>
      </x:c>
      <x:c r="G59" s="32" t="n">
        <x:v>4089</x:v>
      </x:c>
      <x:c r="H59" s="32" t="n">
        <x:v>3735</x:v>
      </x:c>
      <x:c r="I59" s="32" t="n">
        <x:v>3845</x:v>
      </x:c>
      <x:c r="J59" s="28" t="str">
        <x:v>Semanal</x:v>
      </x:c>
      <x:c r="K59" s="28" t="str">
        <x:v>2024-S10</x:v>
      </x:c>
    </x:row>
    <x:row r="60">
      <x:c r="A60" s="34" t="n">
        <x:v>45355</x:v>
      </x:c>
      <x:c r="B60" s="28" t="str">
        <x:v>Grupo Industrial S.A.</x:v>
      </x:c>
      <x:c r="C60" s="28" t="str">
        <x:v>Planta Curitiba</x:v>
      </x:c>
      <x:c r="D60" s="28" t="str">
        <x:v>Bebidas</x:v>
      </x:c>
      <x:c r="E60" s="28" t="str">
        <x:v>SKU-223</x:v>
      </x:c>
      <x:c r="F60" s="32" t="n">
        <x:v>4367</x:v>
      </x:c>
      <x:c r="G60" s="32" t="n">
        <x:v>4285</x:v>
      </x:c>
      <x:c r="H60" s="32" t="n">
        <x:v>4027</x:v>
      </x:c>
      <x:c r="I60" s="32" t="n">
        <x:v>4061</x:v>
      </x:c>
      <x:c r="J60" s="28" t="str">
        <x:v>Semanal</x:v>
      </x:c>
      <x:c r="K60" s="28" t="str">
        <x:v>2024-S10</x:v>
      </x:c>
    </x:row>
    <x:row r="61">
      <x:c r="A61" s="34" t="n">
        <x:v>45355</x:v>
      </x:c>
      <x:c r="B61" s="28" t="str">
        <x:v>Grupo Industrial S.A.</x:v>
      </x:c>
      <x:c r="C61" s="28" t="str">
        <x:v>Planta Curitiba</x:v>
      </x:c>
      <x:c r="D61" s="28" t="str">
        <x:v>Alimentos</x:v>
      </x:c>
      <x:c r="E61" s="28" t="str">
        <x:v>SKU-432</x:v>
      </x:c>
      <x:c r="F61" s="32" t="n">
        <x:v>4071</x:v>
      </x:c>
      <x:c r="G61" s="32" t="n">
        <x:v>4079</x:v>
      </x:c>
      <x:c r="H61" s="32" t="n">
        <x:v>3860</x:v>
      </x:c>
      <x:c r="I61" s="32" t="n">
        <x:v>3786</x:v>
      </x:c>
      <x:c r="J61" s="28" t="str">
        <x:v>Semanal</x:v>
      </x:c>
      <x:c r="K61" s="28" t="str">
        <x:v>2024-S10</x:v>
      </x:c>
    </x:row>
    <x:row r="62">
      <x:c r="A62" s="34" t="n">
        <x:v>45362</x:v>
      </x:c>
      <x:c r="B62" s="28" t="str">
        <x:v>Grupo Industrial S.A.</x:v>
      </x:c>
      <x:c r="C62" s="28" t="str">
        <x:v>Planta São Paulo</x:v>
      </x:c>
      <x:c r="D62" s="28" t="str">
        <x:v>Alimentos</x:v>
      </x:c>
      <x:c r="E62" s="28" t="str">
        <x:v>SKU-001</x:v>
      </x:c>
      <x:c r="F62" s="32" t="n">
        <x:v>6720</x:v>
      </x:c>
      <x:c r="G62" s="32" t="n">
        <x:v>6712</x:v>
      </x:c>
      <x:c r="H62" s="32" t="n">
        <x:v>5962</x:v>
      </x:c>
      <x:c r="I62" s="32" t="n">
        <x:v>6250</x:v>
      </x:c>
      <x:c r="J62" s="28" t="str">
        <x:v>Semanal</x:v>
      </x:c>
      <x:c r="K62" s="28" t="str">
        <x:v>2024-S11</x:v>
      </x:c>
    </x:row>
    <x:row r="63">
      <x:c r="A63" s="34" t="n">
        <x:v>45362</x:v>
      </x:c>
      <x:c r="B63" s="28" t="str">
        <x:v>Grupo Industrial S.A.</x:v>
      </x:c>
      <x:c r="C63" s="28" t="str">
        <x:v>Planta São Paulo</x:v>
      </x:c>
      <x:c r="D63" s="28" t="str">
        <x:v>Alimentos</x:v>
      </x:c>
      <x:c r="E63" s="28" t="str">
        <x:v>SKU-002</x:v>
      </x:c>
      <x:c r="F63" s="32" t="n">
        <x:v>5436</x:v>
      </x:c>
      <x:c r="G63" s="32" t="n">
        <x:v>5304</x:v>
      </x:c>
      <x:c r="H63" s="32" t="n">
        <x:v>4950</x:v>
      </x:c>
      <x:c r="I63" s="32" t="n">
        <x:v>5055</x:v>
      </x:c>
      <x:c r="J63" s="28" t="str">
        <x:v>Semanal</x:v>
      </x:c>
      <x:c r="K63" s="28" t="str">
        <x:v>2024-S11</x:v>
      </x:c>
    </x:row>
    <x:row r="64">
      <x:c r="A64" s="34" t="n">
        <x:v>45362</x:v>
      </x:c>
      <x:c r="B64" s="28" t="str">
        <x:v>Grupo Industrial S.A.</x:v>
      </x:c>
      <x:c r="C64" s="28" t="str">
        <x:v>Planta Campinas</x:v>
      </x:c>
      <x:c r="D64" s="28" t="str">
        <x:v>Higiene e Limpeza</x:v>
      </x:c>
      <x:c r="E64" s="28" t="str">
        <x:v>SKU-078</x:v>
      </x:c>
      <x:c r="F64" s="32" t="n">
        <x:v>4533</x:v>
      </x:c>
      <x:c r="G64" s="32" t="n">
        <x:v>4284</x:v>
      </x:c>
      <x:c r="H64" s="32" t="n">
        <x:v>3924</x:v>
      </x:c>
      <x:c r="I64" s="32" t="n">
        <x:v>4216</x:v>
      </x:c>
      <x:c r="J64" s="28" t="str">
        <x:v>Semanal</x:v>
      </x:c>
      <x:c r="K64" s="28" t="str">
        <x:v>2024-S11</x:v>
      </x:c>
    </x:row>
    <x:row r="65">
      <x:c r="A65" s="34" t="n">
        <x:v>45362</x:v>
      </x:c>
      <x:c r="B65" s="28" t="str">
        <x:v>Grupo Industrial S.A.</x:v>
      </x:c>
      <x:c r="C65" s="28" t="str">
        <x:v>Planta Campinas</x:v>
      </x:c>
      <x:c r="D65" s="28" t="str">
        <x:v>Embalagens</x:v>
      </x:c>
      <x:c r="E65" s="28" t="str">
        <x:v>SKU-105</x:v>
      </x:c>
      <x:c r="F65" s="32" t="n">
        <x:v>3968</x:v>
      </x:c>
      <x:c r="G65" s="32" t="n">
        <x:v>3926</x:v>
      </x:c>
      <x:c r="H65" s="32" t="n">
        <x:v>3762</x:v>
      </x:c>
      <x:c r="I65" s="32" t="n">
        <x:v>3690</x:v>
      </x:c>
      <x:c r="J65" s="28" t="str">
        <x:v>Semanal</x:v>
      </x:c>
      <x:c r="K65" s="28" t="str">
        <x:v>2024-S11</x:v>
      </x:c>
    </x:row>
    <x:row r="66">
      <x:c r="A66" s="34" t="n">
        <x:v>45362</x:v>
      </x:c>
      <x:c r="B66" s="28" t="str">
        <x:v>Grupo Industrial S.A.</x:v>
      </x:c>
      <x:c r="C66" s="28" t="str">
        <x:v>Planta Curitiba</x:v>
      </x:c>
      <x:c r="D66" s="28" t="str">
        <x:v>Bebidas</x:v>
      </x:c>
      <x:c r="E66" s="28" t="str">
        <x:v>SKU-223</x:v>
      </x:c>
      <x:c r="F66" s="32" t="n">
        <x:v>4781</x:v>
      </x:c>
      <x:c r="G66" s="32" t="n">
        <x:v>4777</x:v>
      </x:c>
      <x:c r="H66" s="32" t="n">
        <x:v>4427</x:v>
      </x:c>
      <x:c r="I66" s="32" t="n">
        <x:v>4446</x:v>
      </x:c>
      <x:c r="J66" s="28" t="str">
        <x:v>Semanal</x:v>
      </x:c>
      <x:c r="K66" s="28" t="str">
        <x:v>2024-S11</x:v>
      </x:c>
    </x:row>
    <x:row r="67">
      <x:c r="A67" s="34" t="n">
        <x:v>45362</x:v>
      </x:c>
      <x:c r="B67" s="28" t="str">
        <x:v>Grupo Industrial S.A.</x:v>
      </x:c>
      <x:c r="C67" s="28" t="str">
        <x:v>Planta Curitiba</x:v>
      </x:c>
      <x:c r="D67" s="28" t="str">
        <x:v>Alimentos</x:v>
      </x:c>
      <x:c r="E67" s="28" t="str">
        <x:v>SKU-432</x:v>
      </x:c>
      <x:c r="F67" s="32" t="n">
        <x:v>4026</x:v>
      </x:c>
      <x:c r="G67" s="32" t="n">
        <x:v>4104</x:v>
      </x:c>
      <x:c r="H67" s="32" t="n">
        <x:v>3718</x:v>
      </x:c>
      <x:c r="I67" s="32" t="n">
        <x:v>3744</x:v>
      </x:c>
      <x:c r="J67" s="28" t="str">
        <x:v>Semanal</x:v>
      </x:c>
      <x:c r="K67" s="28" t="str">
        <x:v>2024-S11</x:v>
      </x:c>
    </x:row>
    <x:row r="68">
      <x:c r="A68" s="34" t="n">
        <x:v>45369</x:v>
      </x:c>
      <x:c r="B68" s="28" t="str">
        <x:v>Grupo Industrial S.A.</x:v>
      </x:c>
      <x:c r="C68" s="28" t="str">
        <x:v>Planta São Paulo</x:v>
      </x:c>
      <x:c r="D68" s="28" t="str">
        <x:v>Alimentos</x:v>
      </x:c>
      <x:c r="E68" s="28" t="str">
        <x:v>SKU-001</x:v>
      </x:c>
      <x:c r="F68" s="32" t="n">
        <x:v>6348</x:v>
      </x:c>
      <x:c r="G68" s="32" t="n">
        <x:v>6125</x:v>
      </x:c>
      <x:c r="H68" s="32" t="n">
        <x:v>5871</x:v>
      </x:c>
      <x:c r="I68" s="32" t="n">
        <x:v>5904</x:v>
      </x:c>
      <x:c r="J68" s="28" t="str">
        <x:v>Semanal</x:v>
      </x:c>
      <x:c r="K68" s="28" t="str">
        <x:v>2024-S12</x:v>
      </x:c>
    </x:row>
    <x:row r="69">
      <x:c r="A69" s="34" t="n">
        <x:v>45369</x:v>
      </x:c>
      <x:c r="B69" s="28" t="str">
        <x:v>Grupo Industrial S.A.</x:v>
      </x:c>
      <x:c r="C69" s="28" t="str">
        <x:v>Planta São Paulo</x:v>
      </x:c>
      <x:c r="D69" s="28" t="str">
        <x:v>Alimentos</x:v>
      </x:c>
      <x:c r="E69" s="28" t="str">
        <x:v>SKU-002</x:v>
      </x:c>
      <x:c r="F69" s="32" t="n">
        <x:v>5499</x:v>
      </x:c>
      <x:c r="G69" s="32" t="n">
        <x:v>5417</x:v>
      </x:c>
      <x:c r="H69" s="32" t="n">
        <x:v>4954</x:v>
      </x:c>
      <x:c r="I69" s="32" t="n">
        <x:v>5114</x:v>
      </x:c>
      <x:c r="J69" s="28" t="str">
        <x:v>Semanal</x:v>
      </x:c>
      <x:c r="K69" s="28" t="str">
        <x:v>2024-S12</x:v>
      </x:c>
    </x:row>
    <x:row r="70">
      <x:c r="A70" s="34" t="n">
        <x:v>45369</x:v>
      </x:c>
      <x:c r="B70" s="28" t="str">
        <x:v>Grupo Industrial S.A.</x:v>
      </x:c>
      <x:c r="C70" s="28" t="str">
        <x:v>Planta Campinas</x:v>
      </x:c>
      <x:c r="D70" s="28" t="str">
        <x:v>Higiene e Limpeza</x:v>
      </x:c>
      <x:c r="E70" s="28" t="str">
        <x:v>SKU-078</x:v>
      </x:c>
      <x:c r="F70" s="32" t="n">
        <x:v>4649</x:v>
      </x:c>
      <x:c r="G70" s="32" t="n">
        <x:v>4429</x:v>
      </x:c>
      <x:c r="H70" s="32" t="n">
        <x:v>4185</x:v>
      </x:c>
      <x:c r="I70" s="32" t="n">
        <x:v>4324</x:v>
      </x:c>
      <x:c r="J70" s="28" t="str">
        <x:v>Semanal</x:v>
      </x:c>
      <x:c r="K70" s="28" t="str">
        <x:v>2024-S12</x:v>
      </x:c>
    </x:row>
    <x:row r="71">
      <x:c r="A71" s="34" t="n">
        <x:v>45369</x:v>
      </x:c>
      <x:c r="B71" s="28" t="str">
        <x:v>Grupo Industrial S.A.</x:v>
      </x:c>
      <x:c r="C71" s="28" t="str">
        <x:v>Planta Campinas</x:v>
      </x:c>
      <x:c r="D71" s="28" t="str">
        <x:v>Embalagens</x:v>
      </x:c>
      <x:c r="E71" s="28" t="str">
        <x:v>SKU-105</x:v>
      </x:c>
      <x:c r="F71" s="32" t="n">
        <x:v>3931</x:v>
      </x:c>
      <x:c r="G71" s="32" t="n">
        <x:v>3736</x:v>
      </x:c>
      <x:c r="H71" s="32" t="n">
        <x:v>3410</x:v>
      </x:c>
      <x:c r="I71" s="32" t="n">
        <x:v>3656</x:v>
      </x:c>
      <x:c r="J71" s="28" t="str">
        <x:v>Semanal</x:v>
      </x:c>
      <x:c r="K71" s="28" t="str">
        <x:v>2024-S12</x:v>
      </x:c>
    </x:row>
    <x:row r="72">
      <x:c r="A72" s="34" t="n">
        <x:v>45369</x:v>
      </x:c>
      <x:c r="B72" s="28" t="str">
        <x:v>Grupo Industrial S.A.</x:v>
      </x:c>
      <x:c r="C72" s="28" t="str">
        <x:v>Planta Curitiba</x:v>
      </x:c>
      <x:c r="D72" s="28" t="str">
        <x:v>Bebidas</x:v>
      </x:c>
      <x:c r="E72" s="28" t="str">
        <x:v>SKU-223</x:v>
      </x:c>
      <x:c r="F72" s="32" t="n">
        <x:v>4389</x:v>
      </x:c>
      <x:c r="G72" s="32" t="n">
        <x:v>4412</x:v>
      </x:c>
      <x:c r="H72" s="32" t="n">
        <x:v>4166</x:v>
      </x:c>
      <x:c r="I72" s="32" t="n">
        <x:v>4082</x:v>
      </x:c>
      <x:c r="J72" s="28" t="str">
        <x:v>Semanal</x:v>
      </x:c>
      <x:c r="K72" s="28" t="str">
        <x:v>2024-S12</x:v>
      </x:c>
    </x:row>
    <x:row r="73">
      <x:c r="A73" s="34" t="n">
        <x:v>45369</x:v>
      </x:c>
      <x:c r="B73" s="28" t="str">
        <x:v>Grupo Industrial S.A.</x:v>
      </x:c>
      <x:c r="C73" s="28" t="str">
        <x:v>Planta Curitiba</x:v>
      </x:c>
      <x:c r="D73" s="28" t="str">
        <x:v>Alimentos</x:v>
      </x:c>
      <x:c r="E73" s="28" t="str">
        <x:v>SKU-432</x:v>
      </x:c>
      <x:c r="F73" s="32" t="n">
        <x:v>3998</x:v>
      </x:c>
      <x:c r="G73" s="32" t="n">
        <x:v>4089</x:v>
      </x:c>
      <x:c r="H73" s="32" t="n">
        <x:v>3920</x:v>
      </x:c>
      <x:c r="I73" s="32" t="n">
        <x:v>3718</x:v>
      </x:c>
      <x:c r="J73" s="28" t="str">
        <x:v>Semanal</x:v>
      </x:c>
      <x:c r="K73" s="28" t="str">
        <x:v>2024-S12</x:v>
      </x:c>
    </x:row>
    <x:row r="74">
      <x:c r="A74" s="34" t="n">
        <x:v>45376</x:v>
      </x:c>
      <x:c r="B74" s="28" t="str">
        <x:v>Grupo Industrial S.A.</x:v>
      </x:c>
      <x:c r="C74" s="28" t="str">
        <x:v>Planta São Paulo</x:v>
      </x:c>
      <x:c r="D74" s="28" t="str">
        <x:v>Alimentos</x:v>
      </x:c>
      <x:c r="E74" s="28" t="str">
        <x:v>SKU-001</x:v>
      </x:c>
      <x:c r="F74" s="32" t="n">
        <x:v>6514</x:v>
      </x:c>
      <x:c r="G74" s="32" t="n">
        <x:v>6361</x:v>
      </x:c>
      <x:c r="H74" s="32" t="n">
        <x:v>5993</x:v>
      </x:c>
      <x:c r="I74" s="32" t="n">
        <x:v>6058</x:v>
      </x:c>
      <x:c r="J74" s="28" t="str">
        <x:v>Semanal</x:v>
      </x:c>
      <x:c r="K74" s="28" t="str">
        <x:v>2024-S13</x:v>
      </x:c>
    </x:row>
    <x:row r="75">
      <x:c r="A75" s="34" t="n">
        <x:v>45376</x:v>
      </x:c>
      <x:c r="B75" s="28" t="str">
        <x:v>Grupo Industrial S.A.</x:v>
      </x:c>
      <x:c r="C75" s="28" t="str">
        <x:v>Planta São Paulo</x:v>
      </x:c>
      <x:c r="D75" s="28" t="str">
        <x:v>Alimentos</x:v>
      </x:c>
      <x:c r="E75" s="28" t="str">
        <x:v>SKU-002</x:v>
      </x:c>
      <x:c r="F75" s="32" t="n">
        <x:v>5686</x:v>
      </x:c>
      <x:c r="G75" s="32" t="n">
        <x:v>5674</x:v>
      </x:c>
      <x:c r="H75" s="32" t="n">
        <x:v>5407</x:v>
      </x:c>
      <x:c r="I75" s="32" t="n">
        <x:v>5288</x:v>
      </x:c>
      <x:c r="J75" s="28" t="str">
        <x:v>Semanal</x:v>
      </x:c>
      <x:c r="K75" s="28" t="str">
        <x:v>2024-S13</x:v>
      </x:c>
    </x:row>
    <x:row r="76">
      <x:c r="A76" s="34" t="n">
        <x:v>45376</x:v>
      </x:c>
      <x:c r="B76" s="28" t="str">
        <x:v>Grupo Industrial S.A.</x:v>
      </x:c>
      <x:c r="C76" s="28" t="str">
        <x:v>Planta Campinas</x:v>
      </x:c>
      <x:c r="D76" s="28" t="str">
        <x:v>Higiene e Limpeza</x:v>
      </x:c>
      <x:c r="E76" s="28" t="str">
        <x:v>SKU-078</x:v>
      </x:c>
      <x:c r="F76" s="32" t="n">
        <x:v>4590</x:v>
      </x:c>
      <x:c r="G76" s="32" t="n">
        <x:v>4474</x:v>
      </x:c>
      <x:c r="H76" s="32" t="n">
        <x:v>4128</x:v>
      </x:c>
      <x:c r="I76" s="32" t="n">
        <x:v>4269</x:v>
      </x:c>
      <x:c r="J76" s="28" t="str">
        <x:v>Semanal</x:v>
      </x:c>
      <x:c r="K76" s="28" t="str">
        <x:v>2024-S13</x:v>
      </x:c>
    </x:row>
    <x:row r="77">
      <x:c r="A77" s="34" t="n">
        <x:v>45376</x:v>
      </x:c>
      <x:c r="B77" s="28" t="str">
        <x:v>Grupo Industrial S.A.</x:v>
      </x:c>
      <x:c r="C77" s="28" t="str">
        <x:v>Planta Campinas</x:v>
      </x:c>
      <x:c r="D77" s="28" t="str">
        <x:v>Embalagens</x:v>
      </x:c>
      <x:c r="E77" s="28" t="str">
        <x:v>SKU-105</x:v>
      </x:c>
      <x:c r="F77" s="32" t="n">
        <x:v>4095</x:v>
      </x:c>
      <x:c r="G77" s="32" t="n">
        <x:v>3870</x:v>
      </x:c>
      <x:c r="H77" s="32" t="n">
        <x:v>3717</x:v>
      </x:c>
      <x:c r="I77" s="32" t="n">
        <x:v>3808</x:v>
      </x:c>
      <x:c r="J77" s="28" t="str">
        <x:v>Semanal</x:v>
      </x:c>
      <x:c r="K77" s="28" t="str">
        <x:v>2024-S13</x:v>
      </x:c>
    </x:row>
    <x:row r="78">
      <x:c r="A78" s="34" t="n">
        <x:v>45376</x:v>
      </x:c>
      <x:c r="B78" s="28" t="str">
        <x:v>Grupo Industrial S.A.</x:v>
      </x:c>
      <x:c r="C78" s="28" t="str">
        <x:v>Planta Curitiba</x:v>
      </x:c>
      <x:c r="D78" s="28" t="str">
        <x:v>Bebidas</x:v>
      </x:c>
      <x:c r="E78" s="28" t="str">
        <x:v>SKU-223</x:v>
      </x:c>
      <x:c r="F78" s="32" t="n">
        <x:v>4622</x:v>
      </x:c>
      <x:c r="G78" s="32" t="n">
        <x:v>4534</x:v>
      </x:c>
      <x:c r="H78" s="32" t="n">
        <x:v>4277</x:v>
      </x:c>
      <x:c r="I78" s="32" t="n">
        <x:v>4298</x:v>
      </x:c>
      <x:c r="J78" s="28" t="str">
        <x:v>Semanal</x:v>
      </x:c>
      <x:c r="K78" s="28" t="str">
        <x:v>2024-S13</x:v>
      </x:c>
    </x:row>
    <x:row r="79">
      <x:c r="A79" s="34" t="n">
        <x:v>45376</x:v>
      </x:c>
      <x:c r="B79" s="28" t="str">
        <x:v>Grupo Industrial S.A.</x:v>
      </x:c>
      <x:c r="C79" s="28" t="str">
        <x:v>Planta Curitiba</x:v>
      </x:c>
      <x:c r="D79" s="28" t="str">
        <x:v>Alimentos</x:v>
      </x:c>
      <x:c r="E79" s="28" t="str">
        <x:v>SKU-432</x:v>
      </x:c>
      <x:c r="F79" s="32" t="n">
        <x:v>3964</x:v>
      </x:c>
      <x:c r="G79" s="32" t="n">
        <x:v>3978</x:v>
      </x:c>
      <x:c r="H79" s="32" t="n">
        <x:v>3683</x:v>
      </x:c>
      <x:c r="I79" s="32" t="n">
        <x:v>3687</x:v>
      </x:c>
      <x:c r="J79" s="28" t="str">
        <x:v>Semanal</x:v>
      </x:c>
      <x:c r="K79" s="28" t="str">
        <x:v>2024-S13</x:v>
      </x:c>
    </x:row>
    <x:row r="80">
      <x:c r="A80" s="34" t="n">
        <x:v>45383</x:v>
      </x:c>
      <x:c r="B80" s="28" t="str">
        <x:v>Grupo Industrial S.A.</x:v>
      </x:c>
      <x:c r="C80" s="28" t="str">
        <x:v>Planta São Paulo</x:v>
      </x:c>
      <x:c r="D80" s="28" t="str">
        <x:v>Alimentos</x:v>
      </x:c>
      <x:c r="E80" s="28" t="str">
        <x:v>SKU-001</x:v>
      </x:c>
      <x:c r="F80" s="32" t="n">
        <x:v>6134</x:v>
      </x:c>
      <x:c r="G80" s="32" t="n">
        <x:v>6077</x:v>
      </x:c>
      <x:c r="H80" s="32" t="n">
        <x:v>5595</x:v>
      </x:c>
      <x:c r="I80" s="32" t="n">
        <x:v>5705</x:v>
      </x:c>
      <x:c r="J80" s="28" t="str">
        <x:v>Semanal</x:v>
      </x:c>
      <x:c r="K80" s="28" t="str">
        <x:v>2024-S14</x:v>
      </x:c>
    </x:row>
    <x:row r="81">
      <x:c r="A81" s="34" t="n">
        <x:v>45383</x:v>
      </x:c>
      <x:c r="B81" s="28" t="str">
        <x:v>Grupo Industrial S.A.</x:v>
      </x:c>
      <x:c r="C81" s="28" t="str">
        <x:v>Planta São Paulo</x:v>
      </x:c>
      <x:c r="D81" s="28" t="str">
        <x:v>Alimentos</x:v>
      </x:c>
      <x:c r="E81" s="28" t="str">
        <x:v>SKU-002</x:v>
      </x:c>
      <x:c r="F81" s="32" t="n">
        <x:v>5617</x:v>
      </x:c>
      <x:c r="G81" s="32" t="n">
        <x:v>5670</x:v>
      </x:c>
      <x:c r="H81" s="32" t="n">
        <x:v>5299</x:v>
      </x:c>
      <x:c r="I81" s="32" t="n">
        <x:v>5224</x:v>
      </x:c>
      <x:c r="J81" s="28" t="str">
        <x:v>Semanal</x:v>
      </x:c>
      <x:c r="K81" s="28" t="str">
        <x:v>2024-S14</x:v>
      </x:c>
    </x:row>
    <x:row r="82">
      <x:c r="A82" s="34" t="n">
        <x:v>45383</x:v>
      </x:c>
      <x:c r="B82" s="28" t="str">
        <x:v>Grupo Industrial S.A.</x:v>
      </x:c>
      <x:c r="C82" s="28" t="str">
        <x:v>Planta Campinas</x:v>
      </x:c>
      <x:c r="D82" s="28" t="str">
        <x:v>Higiene e Limpeza</x:v>
      </x:c>
      <x:c r="E82" s="28" t="str">
        <x:v>SKU-078</x:v>
      </x:c>
      <x:c r="F82" s="32" t="n">
        <x:v>4279</x:v>
      </x:c>
      <x:c r="G82" s="32" t="n">
        <x:v>4143</x:v>
      </x:c>
      <x:c r="H82" s="32" t="n">
        <x:v>3857</x:v>
      </x:c>
      <x:c r="I82" s="32" t="n">
        <x:v>3979</x:v>
      </x:c>
      <x:c r="J82" s="28" t="str">
        <x:v>Semanal</x:v>
      </x:c>
      <x:c r="K82" s="28" t="str">
        <x:v>2024-S14</x:v>
      </x:c>
    </x:row>
    <x:row r="83">
      <x:c r="A83" s="34" t="n">
        <x:v>45383</x:v>
      </x:c>
      <x:c r="B83" s="28" t="str">
        <x:v>Grupo Industrial S.A.</x:v>
      </x:c>
      <x:c r="C83" s="28" t="str">
        <x:v>Planta Campinas</x:v>
      </x:c>
      <x:c r="D83" s="28" t="str">
        <x:v>Embalagens</x:v>
      </x:c>
      <x:c r="E83" s="28" t="str">
        <x:v>SKU-105</x:v>
      </x:c>
      <x:c r="F83" s="32" t="n">
        <x:v>3773</x:v>
      </x:c>
      <x:c r="G83" s="32" t="n">
        <x:v>3677</x:v>
      </x:c>
      <x:c r="H83" s="32" t="n">
        <x:v>3520</x:v>
      </x:c>
      <x:c r="I83" s="32" t="n">
        <x:v>3509</x:v>
      </x:c>
      <x:c r="J83" s="28" t="str">
        <x:v>Semanal</x:v>
      </x:c>
      <x:c r="K83" s="28" t="str">
        <x:v>2024-S14</x:v>
      </x:c>
    </x:row>
    <x:row r="84">
      <x:c r="A84" s="34" t="n">
        <x:v>45383</x:v>
      </x:c>
      <x:c r="B84" s="28" t="str">
        <x:v>Grupo Industrial S.A.</x:v>
      </x:c>
      <x:c r="C84" s="28" t="str">
        <x:v>Planta Curitiba</x:v>
      </x:c>
      <x:c r="D84" s="28" t="str">
        <x:v>Bebidas</x:v>
      </x:c>
      <x:c r="E84" s="28" t="str">
        <x:v>SKU-223</x:v>
      </x:c>
      <x:c r="F84" s="32" t="n">
        <x:v>4389</x:v>
      </x:c>
      <x:c r="G84" s="32" t="n">
        <x:v>4305</x:v>
      </x:c>
      <x:c r="H84" s="32" t="n">
        <x:v>3985</x:v>
      </x:c>
      <x:c r="I84" s="32" t="n">
        <x:v>4082</x:v>
      </x:c>
      <x:c r="J84" s="28" t="str">
        <x:v>Semanal</x:v>
      </x:c>
      <x:c r="K84" s="28" t="str">
        <x:v>2024-S14</x:v>
      </x:c>
    </x:row>
    <x:row r="85">
      <x:c r="A85" s="34" t="n">
        <x:v>45383</x:v>
      </x:c>
      <x:c r="B85" s="28" t="str">
        <x:v>Grupo Industrial S.A.</x:v>
      </x:c>
      <x:c r="C85" s="28" t="str">
        <x:v>Planta Curitiba</x:v>
      </x:c>
      <x:c r="D85" s="28" t="str">
        <x:v>Alimentos</x:v>
      </x:c>
      <x:c r="E85" s="28" t="str">
        <x:v>SKU-432</x:v>
      </x:c>
      <x:c r="F85" s="32" t="n">
        <x:v>3959</x:v>
      </x:c>
      <x:c r="G85" s="32" t="n">
        <x:v>4073</x:v>
      </x:c>
      <x:c r="H85" s="32" t="n">
        <x:v>3887</x:v>
      </x:c>
      <x:c r="I85" s="32" t="n">
        <x:v>3682</x:v>
      </x:c>
      <x:c r="J85" s="28" t="str">
        <x:v>Semanal</x:v>
      </x:c>
      <x:c r="K85" s="28" t="str">
        <x:v>2024-S14</x:v>
      </x:c>
    </x:row>
    <x:row r="86">
      <x:c r="A86" s="34" t="n">
        <x:v>45390</x:v>
      </x:c>
      <x:c r="B86" s="28" t="str">
        <x:v>Grupo Industrial S.A.</x:v>
      </x:c>
      <x:c r="C86" s="28" t="str">
        <x:v>Planta São Paulo</x:v>
      </x:c>
      <x:c r="D86" s="28" t="str">
        <x:v>Alimentos</x:v>
      </x:c>
      <x:c r="E86" s="28" t="str">
        <x:v>SKU-001</x:v>
      </x:c>
      <x:c r="F86" s="32" t="n">
        <x:v>6589</x:v>
      </x:c>
      <x:c r="G86" s="32" t="n">
        <x:v>6342</x:v>
      </x:c>
      <x:c r="H86" s="32" t="n">
        <x:v>5818</x:v>
      </x:c>
      <x:c r="I86" s="32" t="n">
        <x:v>6128</x:v>
      </x:c>
      <x:c r="J86" s="28" t="str">
        <x:v>Semanal</x:v>
      </x:c>
      <x:c r="K86" s="28" t="str">
        <x:v>2024-S15</x:v>
      </x:c>
    </x:row>
    <x:row r="87">
      <x:c r="A87" s="34" t="n">
        <x:v>45390</x:v>
      </x:c>
      <x:c r="B87" s="28" t="str">
        <x:v>Grupo Industrial S.A.</x:v>
      </x:c>
      <x:c r="C87" s="28" t="str">
        <x:v>Planta São Paulo</x:v>
      </x:c>
      <x:c r="D87" s="28" t="str">
        <x:v>Alimentos</x:v>
      </x:c>
      <x:c r="E87" s="28" t="str">
        <x:v>SKU-002</x:v>
      </x:c>
      <x:c r="F87" s="32" t="n">
        <x:v>5258</x:v>
      </x:c>
      <x:c r="G87" s="32" t="n">
        <x:v>5074</x:v>
      </x:c>
      <x:c r="H87" s="32" t="n">
        <x:v>4789</x:v>
      </x:c>
      <x:c r="I87" s="32" t="n">
        <x:v>4890</x:v>
      </x:c>
      <x:c r="J87" s="28" t="str">
        <x:v>Semanal</x:v>
      </x:c>
      <x:c r="K87" s="28" t="str">
        <x:v>2024-S15</x:v>
      </x:c>
    </x:row>
    <x:row r="88">
      <x:c r="A88" s="34" t="n">
        <x:v>45390</x:v>
      </x:c>
      <x:c r="B88" s="28" t="str">
        <x:v>Grupo Industrial S.A.</x:v>
      </x:c>
      <x:c r="C88" s="28" t="str">
        <x:v>Planta Campinas</x:v>
      </x:c>
      <x:c r="D88" s="28" t="str">
        <x:v>Higiene e Limpeza</x:v>
      </x:c>
      <x:c r="E88" s="28" t="str">
        <x:v>SKU-078</x:v>
      </x:c>
      <x:c r="F88" s="32" t="n">
        <x:v>4422</x:v>
      </x:c>
      <x:c r="G88" s="32" t="n">
        <x:v>4187</x:v>
      </x:c>
      <x:c r="H88" s="32" t="n">
        <x:v>4031</x:v>
      </x:c>
      <x:c r="I88" s="32" t="n">
        <x:v>4112</x:v>
      </x:c>
      <x:c r="J88" s="28" t="str">
        <x:v>Semanal</x:v>
      </x:c>
      <x:c r="K88" s="28" t="str">
        <x:v>2024-S15</x:v>
      </x:c>
    </x:row>
    <x:row r="89">
      <x:c r="A89" s="34" t="n">
        <x:v>45390</x:v>
      </x:c>
      <x:c r="B89" s="28" t="str">
        <x:v>Grupo Industrial S.A.</x:v>
      </x:c>
      <x:c r="C89" s="28" t="str">
        <x:v>Planta Campinas</x:v>
      </x:c>
      <x:c r="D89" s="28" t="str">
        <x:v>Embalagens</x:v>
      </x:c>
      <x:c r="E89" s="28" t="str">
        <x:v>SKU-105</x:v>
      </x:c>
      <x:c r="F89" s="32" t="n">
        <x:v>4092</x:v>
      </x:c>
      <x:c r="G89" s="32" t="n">
        <x:v>3901</x:v>
      </x:c>
      <x:c r="H89" s="32" t="n">
        <x:v>3762</x:v>
      </x:c>
      <x:c r="I89" s="32" t="n">
        <x:v>3806</x:v>
      </x:c>
      <x:c r="J89" s="28" t="str">
        <x:v>Semanal</x:v>
      </x:c>
      <x:c r="K89" s="28" t="str">
        <x:v>2024-S15</x:v>
      </x:c>
    </x:row>
    <x:row r="90">
      <x:c r="A90" s="34" t="n">
        <x:v>45390</x:v>
      </x:c>
      <x:c r="B90" s="28" t="str">
        <x:v>Grupo Industrial S.A.</x:v>
      </x:c>
      <x:c r="C90" s="28" t="str">
        <x:v>Planta Curitiba</x:v>
      </x:c>
      <x:c r="D90" s="28" t="str">
        <x:v>Bebidas</x:v>
      </x:c>
      <x:c r="E90" s="28" t="str">
        <x:v>SKU-223</x:v>
      </x:c>
      <x:c r="F90" s="32" t="n">
        <x:v>4433</x:v>
      </x:c>
      <x:c r="G90" s="32" t="n">
        <x:v>4541</x:v>
      </x:c>
      <x:c r="H90" s="32" t="n">
        <x:v>4322</x:v>
      </x:c>
      <x:c r="I90" s="32" t="n">
        <x:v>4123</x:v>
      </x:c>
      <x:c r="J90" s="28" t="str">
        <x:v>Semanal</x:v>
      </x:c>
      <x:c r="K90" s="28" t="str">
        <x:v>2024-S15</x:v>
      </x:c>
    </x:row>
    <x:row r="91">
      <x:c r="A91" s="34" t="n">
        <x:v>45390</x:v>
      </x:c>
      <x:c r="B91" s="28" t="str">
        <x:v>Grupo Industrial S.A.</x:v>
      </x:c>
      <x:c r="C91" s="28" t="str">
        <x:v>Planta Curitiba</x:v>
      </x:c>
      <x:c r="D91" s="28" t="str">
        <x:v>Alimentos</x:v>
      </x:c>
      <x:c r="E91" s="28" t="str">
        <x:v>SKU-432</x:v>
      </x:c>
      <x:c r="F91" s="32" t="n">
        <x:v>3981</x:v>
      </x:c>
      <x:c r="G91" s="32" t="n">
        <x:v>4033</x:v>
      </x:c>
      <x:c r="H91" s="32" t="n">
        <x:v>3858</x:v>
      </x:c>
      <x:c r="I91" s="32" t="n">
        <x:v>3702</x:v>
      </x:c>
      <x:c r="J91" s="28" t="str">
        <x:v>Semanal</x:v>
      </x:c>
      <x:c r="K91" s="28" t="str">
        <x:v>2024-S15</x:v>
      </x:c>
    </x:row>
    <x:row r="92">
      <x:c r="A92" s="34" t="n">
        <x:v>45397</x:v>
      </x:c>
      <x:c r="B92" s="28" t="str">
        <x:v>Grupo Industrial S.A.</x:v>
      </x:c>
      <x:c r="C92" s="28" t="str">
        <x:v>Planta São Paulo</x:v>
      </x:c>
      <x:c r="D92" s="28" t="str">
        <x:v>Alimentos</x:v>
      </x:c>
      <x:c r="E92" s="28" t="str">
        <x:v>SKU-001</x:v>
      </x:c>
      <x:c r="F92" s="32" t="n">
        <x:v>6131</x:v>
      </x:c>
      <x:c r="G92" s="32" t="n">
        <x:v>6081</x:v>
      </x:c>
      <x:c r="H92" s="32" t="n">
        <x:v>5676</x:v>
      </x:c>
      <x:c r="I92" s="32" t="n">
        <x:v>5702</x:v>
      </x:c>
      <x:c r="J92" s="28" t="str">
        <x:v>Semanal</x:v>
      </x:c>
      <x:c r="K92" s="28" t="str">
        <x:v>2024-S16</x:v>
      </x:c>
    </x:row>
    <x:row r="93">
      <x:c r="A93" s="34" t="n">
        <x:v>45397</x:v>
      </x:c>
      <x:c r="B93" s="28" t="str">
        <x:v>Grupo Industrial S.A.</x:v>
      </x:c>
      <x:c r="C93" s="28" t="str">
        <x:v>Planta São Paulo</x:v>
      </x:c>
      <x:c r="D93" s="28" t="str">
        <x:v>Alimentos</x:v>
      </x:c>
      <x:c r="E93" s="28" t="str">
        <x:v>SKU-002</x:v>
      </x:c>
      <x:c r="F93" s="32" t="n">
        <x:v>5616</x:v>
      </x:c>
      <x:c r="G93" s="32" t="n">
        <x:v>5516</x:v>
      </x:c>
      <x:c r="H93" s="32" t="n">
        <x:v>5233</x:v>
      </x:c>
      <x:c r="I93" s="32" t="n">
        <x:v>5223</x:v>
      </x:c>
      <x:c r="J93" s="28" t="str">
        <x:v>Semanal</x:v>
      </x:c>
      <x:c r="K93" s="28" t="str">
        <x:v>2024-S16</x:v>
      </x:c>
    </x:row>
    <x:row r="94">
      <x:c r="A94" s="34" t="n">
        <x:v>45397</x:v>
      </x:c>
      <x:c r="B94" s="28" t="str">
        <x:v>Grupo Industrial S.A.</x:v>
      </x:c>
      <x:c r="C94" s="28" t="str">
        <x:v>Planta Campinas</x:v>
      </x:c>
      <x:c r="D94" s="28" t="str">
        <x:v>Higiene e Limpeza</x:v>
      </x:c>
      <x:c r="E94" s="28" t="str">
        <x:v>SKU-078</x:v>
      </x:c>
      <x:c r="F94" s="32" t="n">
        <x:v>4211</x:v>
      </x:c>
      <x:c r="G94" s="32" t="n">
        <x:v>4065</x:v>
      </x:c>
      <x:c r="H94" s="32" t="n">
        <x:v>3797</x:v>
      </x:c>
      <x:c r="I94" s="32" t="n">
        <x:v>3916</x:v>
      </x:c>
      <x:c r="J94" s="28" t="str">
        <x:v>Semanal</x:v>
      </x:c>
      <x:c r="K94" s="28" t="str">
        <x:v>2024-S16</x:v>
      </x:c>
    </x:row>
    <x:row r="95">
      <x:c r="A95" s="34" t="n">
        <x:v>45397</x:v>
      </x:c>
      <x:c r="B95" s="28" t="str">
        <x:v>Grupo Industrial S.A.</x:v>
      </x:c>
      <x:c r="C95" s="28" t="str">
        <x:v>Planta Campinas</x:v>
      </x:c>
      <x:c r="D95" s="28" t="str">
        <x:v>Embalagens</x:v>
      </x:c>
      <x:c r="E95" s="28" t="str">
        <x:v>SKU-105</x:v>
      </x:c>
      <x:c r="F95" s="32" t="n">
        <x:v>4058</x:v>
      </x:c>
      <x:c r="G95" s="32" t="n">
        <x:v>3966</x:v>
      </x:c>
      <x:c r="H95" s="32" t="n">
        <x:v>3653</x:v>
      </x:c>
      <x:c r="I95" s="32" t="n">
        <x:v>3774</x:v>
      </x:c>
      <x:c r="J95" s="28" t="str">
        <x:v>Semanal</x:v>
      </x:c>
      <x:c r="K95" s="28" t="str">
        <x:v>2024-S16</x:v>
      </x:c>
    </x:row>
    <x:row r="96">
      <x:c r="A96" s="34" t="n">
        <x:v>45397</x:v>
      </x:c>
      <x:c r="B96" s="28" t="str">
        <x:v>Grupo Industrial S.A.</x:v>
      </x:c>
      <x:c r="C96" s="28" t="str">
        <x:v>Planta Curitiba</x:v>
      </x:c>
      <x:c r="D96" s="28" t="str">
        <x:v>Bebidas</x:v>
      </x:c>
      <x:c r="E96" s="28" t="str">
        <x:v>SKU-223</x:v>
      </x:c>
      <x:c r="F96" s="32" t="n">
        <x:v>4526</x:v>
      </x:c>
      <x:c r="G96" s="32" t="n">
        <x:v>4501</x:v>
      </x:c>
      <x:c r="H96" s="32" t="n">
        <x:v>4075</x:v>
      </x:c>
      <x:c r="I96" s="32" t="n">
        <x:v>4209</x:v>
      </x:c>
      <x:c r="J96" s="28" t="str">
        <x:v>Semanal</x:v>
      </x:c>
      <x:c r="K96" s="28" t="str">
        <x:v>2024-S16</x:v>
      </x:c>
    </x:row>
    <x:row r="97">
      <x:c r="A97" s="34" t="n">
        <x:v>45397</x:v>
      </x:c>
      <x:c r="B97" s="28" t="str">
        <x:v>Grupo Industrial S.A.</x:v>
      </x:c>
      <x:c r="C97" s="28" t="str">
        <x:v>Planta Curitiba</x:v>
      </x:c>
      <x:c r="D97" s="28" t="str">
        <x:v>Alimentos</x:v>
      </x:c>
      <x:c r="E97" s="28" t="str">
        <x:v>SKU-432</x:v>
      </x:c>
      <x:c r="F97" s="32" t="n">
        <x:v>4086</x:v>
      </x:c>
      <x:c r="G97" s="32" t="n">
        <x:v>4051</x:v>
      </x:c>
      <x:c r="H97" s="32" t="n">
        <x:v>3789</x:v>
      </x:c>
      <x:c r="I97" s="32" t="n">
        <x:v>3800</x:v>
      </x:c>
      <x:c r="J97" s="28" t="str">
        <x:v>Semanal</x:v>
      </x:c>
      <x:c r="K97" s="28" t="str">
        <x:v>2024-S16</x:v>
      </x:c>
    </x:row>
    <x:row r="98">
      <x:c r="A98" s="34" t="n">
        <x:v>45404</x:v>
      </x:c>
      <x:c r="B98" s="28" t="str">
        <x:v>Grupo Industrial S.A.</x:v>
      </x:c>
      <x:c r="C98" s="28" t="str">
        <x:v>Planta São Paulo</x:v>
      </x:c>
      <x:c r="D98" s="28" t="str">
        <x:v>Alimentos</x:v>
      </x:c>
      <x:c r="E98" s="28" t="str">
        <x:v>SKU-001</x:v>
      </x:c>
      <x:c r="F98" s="32" t="n">
        <x:v>6556</x:v>
      </x:c>
      <x:c r="G98" s="32" t="n">
        <x:v>6483</x:v>
      </x:c>
      <x:c r="H98" s="32" t="n">
        <x:v>6110</x:v>
      </x:c>
      <x:c r="I98" s="32" t="n">
        <x:v>6097</x:v>
      </x:c>
      <x:c r="J98" s="28" t="str">
        <x:v>Semanal</x:v>
      </x:c>
      <x:c r="K98" s="28" t="str">
        <x:v>2024-S17</x:v>
      </x:c>
    </x:row>
    <x:row r="99">
      <x:c r="A99" s="34" t="n">
        <x:v>45404</x:v>
      </x:c>
      <x:c r="B99" s="28" t="str">
        <x:v>Grupo Industrial S.A.</x:v>
      </x:c>
      <x:c r="C99" s="28" t="str">
        <x:v>Planta São Paulo</x:v>
      </x:c>
      <x:c r="D99" s="28" t="str">
        <x:v>Alimentos</x:v>
      </x:c>
      <x:c r="E99" s="28" t="str">
        <x:v>SKU-002</x:v>
      </x:c>
      <x:c r="F99" s="32" t="n">
        <x:v>5247</x:v>
      </x:c>
      <x:c r="G99" s="32" t="n">
        <x:v>5121</x:v>
      </x:c>
      <x:c r="H99" s="32" t="n">
        <x:v>4924</x:v>
      </x:c>
      <x:c r="I99" s="32" t="n">
        <x:v>4880</x:v>
      </x:c>
      <x:c r="J99" s="28" t="str">
        <x:v>Semanal</x:v>
      </x:c>
      <x:c r="K99" s="28" t="str">
        <x:v>2024-S17</x:v>
      </x:c>
    </x:row>
    <x:row r="100">
      <x:c r="A100" s="34" t="n">
        <x:v>45404</x:v>
      </x:c>
      <x:c r="B100" s="28" t="str">
        <x:v>Grupo Industrial S.A.</x:v>
      </x:c>
      <x:c r="C100" s="28" t="str">
        <x:v>Planta Campinas</x:v>
      </x:c>
      <x:c r="D100" s="28" t="str">
        <x:v>Higiene e Limpeza</x:v>
      </x:c>
      <x:c r="E100" s="28" t="str">
        <x:v>SKU-078</x:v>
      </x:c>
      <x:c r="F100" s="32" t="n">
        <x:v>4367</x:v>
      </x:c>
      <x:c r="G100" s="32" t="n">
        <x:v>4183</x:v>
      </x:c>
      <x:c r="H100" s="32" t="n">
        <x:v>3877</x:v>
      </x:c>
      <x:c r="I100" s="32" t="n">
        <x:v>4061</x:v>
      </x:c>
      <x:c r="J100" s="28" t="str">
        <x:v>Semanal</x:v>
      </x:c>
      <x:c r="K100" s="28" t="str">
        <x:v>2024-S17</x:v>
      </x:c>
    </x:row>
    <x:row r="101">
      <x:c r="A101" s="34" t="n">
        <x:v>45404</x:v>
      </x:c>
      <x:c r="B101" s="28" t="str">
        <x:v>Grupo Industrial S.A.</x:v>
      </x:c>
      <x:c r="C101" s="28" t="str">
        <x:v>Planta Campinas</x:v>
      </x:c>
      <x:c r="D101" s="28" t="str">
        <x:v>Embalagens</x:v>
      </x:c>
      <x:c r="E101" s="28" t="str">
        <x:v>SKU-105</x:v>
      </x:c>
      <x:c r="F101" s="32" t="n">
        <x:v>3975</x:v>
      </x:c>
      <x:c r="G101" s="32" t="n">
        <x:v>3798</x:v>
      </x:c>
      <x:c r="H101" s="32" t="n">
        <x:v>3491</x:v>
      </x:c>
      <x:c r="I101" s="32" t="n">
        <x:v>3697</x:v>
      </x:c>
      <x:c r="J101" s="28" t="str">
        <x:v>Semanal</x:v>
      </x:c>
      <x:c r="K101" s="28" t="str">
        <x:v>2024-S17</x:v>
      </x:c>
    </x:row>
    <x:row r="102">
      <x:c r="A102" s="34" t="n">
        <x:v>45404</x:v>
      </x:c>
      <x:c r="B102" s="28" t="str">
        <x:v>Grupo Industrial S.A.</x:v>
      </x:c>
      <x:c r="C102" s="28" t="str">
        <x:v>Planta Curitiba</x:v>
      </x:c>
      <x:c r="D102" s="28" t="str">
        <x:v>Bebidas</x:v>
      </x:c>
      <x:c r="E102" s="28" t="str">
        <x:v>SKU-223</x:v>
      </x:c>
      <x:c r="F102" s="32" t="n">
        <x:v>4400</x:v>
      </x:c>
      <x:c r="G102" s="32" t="n">
        <x:v>4489</x:v>
      </x:c>
      <x:c r="H102" s="32" t="n">
        <x:v>4222</x:v>
      </x:c>
      <x:c r="I102" s="32" t="n">
        <x:v>4092</x:v>
      </x:c>
      <x:c r="J102" s="28" t="str">
        <x:v>Semanal</x:v>
      </x:c>
      <x:c r="K102" s="28" t="str">
        <x:v>2024-S17</x:v>
      </x:c>
    </x:row>
    <x:row r="103">
      <x:c r="A103" s="34" t="n">
        <x:v>45404</x:v>
      </x:c>
      <x:c r="B103" s="28" t="str">
        <x:v>Grupo Industrial S.A.</x:v>
      </x:c>
      <x:c r="C103" s="28" t="str">
        <x:v>Planta Curitiba</x:v>
      </x:c>
      <x:c r="D103" s="28" t="str">
        <x:v>Alimentos</x:v>
      </x:c>
      <x:c r="E103" s="28" t="str">
        <x:v>SKU-432</x:v>
      </x:c>
      <x:c r="F103" s="32" t="n">
        <x:v>3756</x:v>
      </x:c>
      <x:c r="G103" s="32" t="n">
        <x:v>3862</x:v>
      </x:c>
      <x:c r="H103" s="32" t="n">
        <x:v>3609</x:v>
      </x:c>
      <x:c r="I103" s="32" t="n">
        <x:v>3493</x:v>
      </x:c>
      <x:c r="J103" s="28" t="str">
        <x:v>Semanal</x:v>
      </x:c>
      <x:c r="K103" s="28" t="str">
        <x:v>2024-S17</x:v>
      </x:c>
    </x:row>
    <x:row r="104">
      <x:c r="A104" s="34" t="n">
        <x:v>45411</x:v>
      </x:c>
      <x:c r="B104" s="28" t="str">
        <x:v>Grupo Industrial S.A.</x:v>
      </x:c>
      <x:c r="C104" s="28" t="str">
        <x:v>Planta São Paulo</x:v>
      </x:c>
      <x:c r="D104" s="28" t="str">
        <x:v>Alimentos</x:v>
      </x:c>
      <x:c r="E104" s="28" t="str">
        <x:v>SKU-001</x:v>
      </x:c>
      <x:c r="F104" s="32" t="n">
        <x:v>6137</x:v>
      </x:c>
      <x:c r="G104" s="32" t="n">
        <x:v>5951</x:v>
      </x:c>
      <x:c r="H104" s="32" t="n">
        <x:v>5732</x:v>
      </x:c>
      <x:c r="I104" s="32" t="n">
        <x:v>5707</x:v>
      </x:c>
      <x:c r="J104" s="28" t="str">
        <x:v>Semanal</x:v>
      </x:c>
      <x:c r="K104" s="28" t="str">
        <x:v>2024-S18</x:v>
      </x:c>
    </x:row>
    <x:row r="105">
      <x:c r="A105" s="34" t="n">
        <x:v>45411</x:v>
      </x:c>
      <x:c r="B105" s="28" t="str">
        <x:v>Grupo Industrial S.A.</x:v>
      </x:c>
      <x:c r="C105" s="28" t="str">
        <x:v>Planta São Paulo</x:v>
      </x:c>
      <x:c r="D105" s="28" t="str">
        <x:v>Alimentos</x:v>
      </x:c>
      <x:c r="E105" s="28" t="str">
        <x:v>SKU-002</x:v>
      </x:c>
      <x:c r="F105" s="32" t="n">
        <x:v>5620</x:v>
      </x:c>
      <x:c r="G105" s="32" t="n">
        <x:v>5637</x:v>
      </x:c>
      <x:c r="H105" s="32" t="n">
        <x:v>5199</x:v>
      </x:c>
      <x:c r="I105" s="32" t="n">
        <x:v>5227</x:v>
      </x:c>
      <x:c r="J105" s="28" t="str">
        <x:v>Semanal</x:v>
      </x:c>
      <x:c r="K105" s="28" t="str">
        <x:v>2024-S18</x:v>
      </x:c>
    </x:row>
    <x:row r="106">
      <x:c r="A106" s="34" t="n">
        <x:v>45411</x:v>
      </x:c>
      <x:c r="B106" s="28" t="str">
        <x:v>Grupo Industrial S.A.</x:v>
      </x:c>
      <x:c r="C106" s="28" t="str">
        <x:v>Planta Campinas</x:v>
      </x:c>
      <x:c r="D106" s="28" t="str">
        <x:v>Higiene e Limpeza</x:v>
      </x:c>
      <x:c r="E106" s="28" t="str">
        <x:v>SKU-078</x:v>
      </x:c>
      <x:c r="F106" s="32" t="n">
        <x:v>4459</x:v>
      </x:c>
      <x:c r="G106" s="32" t="n">
        <x:v>4296</x:v>
      </x:c>
      <x:c r="H106" s="32" t="n">
        <x:v>4088</x:v>
      </x:c>
      <x:c r="I106" s="32" t="n">
        <x:v>4147</x:v>
      </x:c>
      <x:c r="J106" s="28" t="str">
        <x:v>Semanal</x:v>
      </x:c>
      <x:c r="K106" s="28" t="str">
        <x:v>2024-S18</x:v>
      </x:c>
    </x:row>
    <x:row r="107">
      <x:c r="A107" s="34" t="n">
        <x:v>45411</x:v>
      </x:c>
      <x:c r="B107" s="28" t="str">
        <x:v>Grupo Industrial S.A.</x:v>
      </x:c>
      <x:c r="C107" s="28" t="str">
        <x:v>Planta Campinas</x:v>
      </x:c>
      <x:c r="D107" s="28" t="str">
        <x:v>Embalagens</x:v>
      </x:c>
      <x:c r="E107" s="28" t="str">
        <x:v>SKU-105</x:v>
      </x:c>
      <x:c r="F107" s="32" t="n">
        <x:v>3739</x:v>
      </x:c>
      <x:c r="G107" s="32" t="n">
        <x:v>3606</x:v>
      </x:c>
      <x:c r="H107" s="32" t="n">
        <x:v>3310</x:v>
      </x:c>
      <x:c r="I107" s="32" t="n">
        <x:v>3477</x:v>
      </x:c>
      <x:c r="J107" s="28" t="str">
        <x:v>Semanal</x:v>
      </x:c>
      <x:c r="K107" s="28" t="str">
        <x:v>2024-S18</x:v>
      </x:c>
    </x:row>
    <x:row r="108">
      <x:c r="A108" s="34" t="n">
        <x:v>45411</x:v>
      </x:c>
      <x:c r="B108" s="28" t="str">
        <x:v>Grupo Industrial S.A.</x:v>
      </x:c>
      <x:c r="C108" s="28" t="str">
        <x:v>Planta Curitiba</x:v>
      </x:c>
      <x:c r="D108" s="28" t="str">
        <x:v>Bebidas</x:v>
      </x:c>
      <x:c r="E108" s="28" t="str">
        <x:v>SKU-223</x:v>
      </x:c>
      <x:c r="F108" s="32" t="n">
        <x:v>4542</x:v>
      </x:c>
      <x:c r="G108" s="32" t="n">
        <x:v>4462</x:v>
      </x:c>
      <x:c r="H108" s="32" t="n">
        <x:v>4153</x:v>
      </x:c>
      <x:c r="I108" s="32" t="n">
        <x:v>4224</x:v>
      </x:c>
      <x:c r="J108" s="28" t="str">
        <x:v>Semanal</x:v>
      </x:c>
      <x:c r="K108" s="28" t="str">
        <x:v>2024-S18</x:v>
      </x:c>
    </x:row>
    <x:row r="109">
      <x:c r="A109" s="34" t="n">
        <x:v>45411</x:v>
      </x:c>
      <x:c r="B109" s="28" t="str">
        <x:v>Grupo Industrial S.A.</x:v>
      </x:c>
      <x:c r="C109" s="28" t="str">
        <x:v>Planta Curitiba</x:v>
      </x:c>
      <x:c r="D109" s="28" t="str">
        <x:v>Alimentos</x:v>
      </x:c>
      <x:c r="E109" s="28" t="str">
        <x:v>SKU-432</x:v>
      </x:c>
      <x:c r="F109" s="32" t="n">
        <x:v>3998</x:v>
      </x:c>
      <x:c r="G109" s="32" t="n">
        <x:v>3979</x:v>
      </x:c>
      <x:c r="H109" s="32" t="n">
        <x:v>3652</x:v>
      </x:c>
      <x:c r="I109" s="32" t="n">
        <x:v>3718</x:v>
      </x:c>
      <x:c r="J109" s="28" t="str">
        <x:v>Semanal</x:v>
      </x:c>
      <x:c r="K109" s="28" t="str">
        <x:v>2024-S18</x:v>
      </x:c>
    </x:row>
    <x:row r="110">
      <x:c r="A110" s="34" t="n">
        <x:v>45418</x:v>
      </x:c>
      <x:c r="B110" s="28" t="str">
        <x:v>Grupo Industrial S.A.</x:v>
      </x:c>
      <x:c r="C110" s="28" t="str">
        <x:v>Planta São Paulo</x:v>
      </x:c>
      <x:c r="D110" s="28" t="str">
        <x:v>Alimentos</x:v>
      </x:c>
      <x:c r="E110" s="28" t="str">
        <x:v>SKU-001</x:v>
      </x:c>
      <x:c r="F110" s="32" t="n">
        <x:v>6790</x:v>
      </x:c>
      <x:c r="G110" s="32" t="n">
        <x:v>6659</x:v>
      </x:c>
      <x:c r="H110" s="32" t="n">
        <x:v>6055</x:v>
      </x:c>
      <x:c r="I110" s="32" t="n">
        <x:v>6315</x:v>
      </x:c>
      <x:c r="J110" s="28" t="str">
        <x:v>Semanal</x:v>
      </x:c>
      <x:c r="K110" s="28" t="str">
        <x:v>2024-S19</x:v>
      </x:c>
    </x:row>
    <x:row r="111">
      <x:c r="A111" s="34" t="n">
        <x:v>45418</x:v>
      </x:c>
      <x:c r="B111" s="28" t="str">
        <x:v>Grupo Industrial S.A.</x:v>
      </x:c>
      <x:c r="C111" s="28" t="str">
        <x:v>Planta São Paulo</x:v>
      </x:c>
      <x:c r="D111" s="28" t="str">
        <x:v>Alimentos</x:v>
      </x:c>
      <x:c r="E111" s="28" t="str">
        <x:v>SKU-002</x:v>
      </x:c>
      <x:c r="F111" s="32" t="n">
        <x:v>5808</x:v>
      </x:c>
      <x:c r="G111" s="32" t="n">
        <x:v>5805</x:v>
      </x:c>
      <x:c r="H111" s="32" t="n">
        <x:v>5445</x:v>
      </x:c>
      <x:c r="I111" s="32" t="n">
        <x:v>5401</x:v>
      </x:c>
      <x:c r="J111" s="28" t="str">
        <x:v>Semanal</x:v>
      </x:c>
      <x:c r="K111" s="28" t="str">
        <x:v>2024-S19</x:v>
      </x:c>
    </x:row>
    <x:row r="112">
      <x:c r="A112" s="34" t="n">
        <x:v>45418</x:v>
      </x:c>
      <x:c r="B112" s="28" t="str">
        <x:v>Grupo Industrial S.A.</x:v>
      </x:c>
      <x:c r="C112" s="28" t="str">
        <x:v>Planta Campinas</x:v>
      </x:c>
      <x:c r="D112" s="28" t="str">
        <x:v>Higiene e Limpeza</x:v>
      </x:c>
      <x:c r="E112" s="28" t="str">
        <x:v>SKU-078</x:v>
      </x:c>
      <x:c r="F112" s="32" t="n">
        <x:v>4732</x:v>
      </x:c>
      <x:c r="G112" s="32" t="n">
        <x:v>4543</x:v>
      </x:c>
      <x:c r="H112" s="32" t="n">
        <x:v>4220</x:v>
      </x:c>
      <x:c r="I112" s="32" t="n">
        <x:v>4401</x:v>
      </x:c>
      <x:c r="J112" s="28" t="str">
        <x:v>Semanal</x:v>
      </x:c>
      <x:c r="K112" s="28" t="str">
        <x:v>2024-S19</x:v>
      </x:c>
    </x:row>
    <x:row r="113">
      <x:c r="A113" s="34" t="n">
        <x:v>45418</x:v>
      </x:c>
      <x:c r="B113" s="28" t="str">
        <x:v>Grupo Industrial S.A.</x:v>
      </x:c>
      <x:c r="C113" s="28" t="str">
        <x:v>Planta Campinas</x:v>
      </x:c>
      <x:c r="D113" s="28" t="str">
        <x:v>Embalagens</x:v>
      </x:c>
      <x:c r="E113" s="28" t="str">
        <x:v>SKU-105</x:v>
      </x:c>
      <x:c r="F113" s="32" t="n">
        <x:v>4094</x:v>
      </x:c>
      <x:c r="G113" s="32" t="n">
        <x:v>4026</x:v>
      </x:c>
      <x:c r="H113" s="32" t="n">
        <x:v>3657</x:v>
      </x:c>
      <x:c r="I113" s="32" t="n">
        <x:v>3807</x:v>
      </x:c>
      <x:c r="J113" s="28" t="str">
        <x:v>Semanal</x:v>
      </x:c>
      <x:c r="K113" s="28" t="str">
        <x:v>2024-S19</x:v>
      </x:c>
    </x:row>
    <x:row r="114">
      <x:c r="A114" s="34" t="n">
        <x:v>45418</x:v>
      </x:c>
      <x:c r="B114" s="28" t="str">
        <x:v>Grupo Industrial S.A.</x:v>
      </x:c>
      <x:c r="C114" s="28" t="str">
        <x:v>Planta Curitiba</x:v>
      </x:c>
      <x:c r="D114" s="28" t="str">
        <x:v>Bebidas</x:v>
      </x:c>
      <x:c r="E114" s="28" t="str">
        <x:v>SKU-223</x:v>
      </x:c>
      <x:c r="F114" s="32" t="n">
        <x:v>4498</x:v>
      </x:c>
      <x:c r="G114" s="32" t="n">
        <x:v>4605</x:v>
      </x:c>
      <x:c r="H114" s="32" t="n">
        <x:v>4307</x:v>
      </x:c>
      <x:c r="I114" s="32" t="n">
        <x:v>4183</x:v>
      </x:c>
      <x:c r="J114" s="28" t="str">
        <x:v>Semanal</x:v>
      </x:c>
      <x:c r="K114" s="28" t="str">
        <x:v>2024-S19</x:v>
      </x:c>
    </x:row>
    <x:row r="115">
      <x:c r="A115" s="34" t="n">
        <x:v>45418</x:v>
      </x:c>
      <x:c r="B115" s="28" t="str">
        <x:v>Grupo Industrial S.A.</x:v>
      </x:c>
      <x:c r="C115" s="28" t="str">
        <x:v>Planta Curitiba</x:v>
      </x:c>
      <x:c r="D115" s="28" t="str">
        <x:v>Alimentos</x:v>
      </x:c>
      <x:c r="E115" s="28" t="str">
        <x:v>SKU-432</x:v>
      </x:c>
      <x:c r="F115" s="32" t="n">
        <x:v>4085</x:v>
      </x:c>
      <x:c r="G115" s="32" t="n">
        <x:v>4157</x:v>
      </x:c>
      <x:c r="H115" s="32" t="n">
        <x:v>3909</x:v>
      </x:c>
      <x:c r="I115" s="32" t="n">
        <x:v>3799</x:v>
      </x:c>
      <x:c r="J115" s="28" t="str">
        <x:v>Semanal</x:v>
      </x:c>
      <x:c r="K115" s="28" t="str">
        <x:v>2024-S19</x:v>
      </x:c>
    </x:row>
    <x:row r="116">
      <x:c r="A116" s="34" t="n">
        <x:v>45425</x:v>
      </x:c>
      <x:c r="B116" s="28" t="str">
        <x:v>Grupo Industrial S.A.</x:v>
      </x:c>
      <x:c r="C116" s="28" t="str">
        <x:v>Planta São Paulo</x:v>
      </x:c>
      <x:c r="D116" s="28" t="str">
        <x:v>Alimentos</x:v>
      </x:c>
      <x:c r="E116" s="28" t="str">
        <x:v>SKU-001</x:v>
      </x:c>
      <x:c r="F116" s="32" t="n">
        <x:v>6442</x:v>
      </x:c>
      <x:c r="G116" s="32" t="n">
        <x:v>6330</x:v>
      </x:c>
      <x:c r="H116" s="32" t="n">
        <x:v>5786</x:v>
      </x:c>
      <x:c r="I116" s="32" t="n">
        <x:v>5991</x:v>
      </x:c>
      <x:c r="J116" s="28" t="str">
        <x:v>Semanal</x:v>
      </x:c>
      <x:c r="K116" s="28" t="str">
        <x:v>2024-S20</x:v>
      </x:c>
    </x:row>
    <x:row r="117">
      <x:c r="A117" s="34" t="n">
        <x:v>45425</x:v>
      </x:c>
      <x:c r="B117" s="28" t="str">
        <x:v>Grupo Industrial S.A.</x:v>
      </x:c>
      <x:c r="C117" s="28" t="str">
        <x:v>Planta São Paulo</x:v>
      </x:c>
      <x:c r="D117" s="28" t="str">
        <x:v>Alimentos</x:v>
      </x:c>
      <x:c r="E117" s="28" t="str">
        <x:v>SKU-002</x:v>
      </x:c>
      <x:c r="F117" s="32" t="n">
        <x:v>5948</x:v>
      </x:c>
      <x:c r="G117" s="32" t="n">
        <x:v>5934</x:v>
      </x:c>
      <x:c r="H117" s="32" t="n">
        <x:v>5654</x:v>
      </x:c>
      <x:c r="I117" s="32" t="n">
        <x:v>5532</x:v>
      </x:c>
      <x:c r="J117" s="28" t="str">
        <x:v>Semanal</x:v>
      </x:c>
      <x:c r="K117" s="28" t="str">
        <x:v>2024-S20</x:v>
      </x:c>
    </x:row>
    <x:row r="118">
      <x:c r="A118" s="34" t="n">
        <x:v>45425</x:v>
      </x:c>
      <x:c r="B118" s="28" t="str">
        <x:v>Grupo Industrial S.A.</x:v>
      </x:c>
      <x:c r="C118" s="28" t="str">
        <x:v>Planta Campinas</x:v>
      </x:c>
      <x:c r="D118" s="28" t="str">
        <x:v>Higiene e Limpeza</x:v>
      </x:c>
      <x:c r="E118" s="28" t="str">
        <x:v>SKU-078</x:v>
      </x:c>
      <x:c r="F118" s="32" t="n">
        <x:v>4741</x:v>
      </x:c>
      <x:c r="G118" s="32" t="n">
        <x:v>4468</x:v>
      </x:c>
      <x:c r="H118" s="32" t="n">
        <x:v>4210</x:v>
      </x:c>
      <x:c r="I118" s="32" t="n">
        <x:v>4409</x:v>
      </x:c>
      <x:c r="J118" s="28" t="str">
        <x:v>Semanal</x:v>
      </x:c>
      <x:c r="K118" s="28" t="str">
        <x:v>2024-S20</x:v>
      </x:c>
    </x:row>
    <x:row r="119">
      <x:c r="A119" s="34" t="n">
        <x:v>45425</x:v>
      </x:c>
      <x:c r="B119" s="28" t="str">
        <x:v>Grupo Industrial S.A.</x:v>
      </x:c>
      <x:c r="C119" s="28" t="str">
        <x:v>Planta Campinas</x:v>
      </x:c>
      <x:c r="D119" s="28" t="str">
        <x:v>Embalagens</x:v>
      </x:c>
      <x:c r="E119" s="28" t="str">
        <x:v>SKU-105</x:v>
      </x:c>
      <x:c r="F119" s="32" t="n">
        <x:v>4140</x:v>
      </x:c>
      <x:c r="G119" s="32" t="n">
        <x:v>4032</x:v>
      </x:c>
      <x:c r="H119" s="32" t="n">
        <x:v>3874</x:v>
      </x:c>
      <x:c r="I119" s="32" t="n">
        <x:v>3850</x:v>
      </x:c>
      <x:c r="J119" s="28" t="str">
        <x:v>Semanal</x:v>
      </x:c>
      <x:c r="K119" s="28" t="str">
        <x:v>2024-S20</x:v>
      </x:c>
    </x:row>
    <x:row r="120">
      <x:c r="A120" s="34" t="n">
        <x:v>45425</x:v>
      </x:c>
      <x:c r="B120" s="28" t="str">
        <x:v>Grupo Industrial S.A.</x:v>
      </x:c>
      <x:c r="C120" s="28" t="str">
        <x:v>Planta Curitiba</x:v>
      </x:c>
      <x:c r="D120" s="28" t="str">
        <x:v>Bebidas</x:v>
      </x:c>
      <x:c r="E120" s="28" t="str">
        <x:v>SKU-223</x:v>
      </x:c>
      <x:c r="F120" s="32" t="n">
        <x:v>4702</x:v>
      </x:c>
      <x:c r="G120" s="32" t="n">
        <x:v>4776</x:v>
      </x:c>
      <x:c r="H120" s="32" t="n">
        <x:v>4472</x:v>
      </x:c>
      <x:c r="I120" s="32" t="n">
        <x:v>4373</x:v>
      </x:c>
      <x:c r="J120" s="28" t="str">
        <x:v>Semanal</x:v>
      </x:c>
      <x:c r="K120" s="28" t="str">
        <x:v>2024-S20</x:v>
      </x:c>
    </x:row>
    <x:row r="121">
      <x:c r="A121" s="34" t="n">
        <x:v>45425</x:v>
      </x:c>
      <x:c r="B121" s="28" t="str">
        <x:v>Grupo Industrial S.A.</x:v>
      </x:c>
      <x:c r="C121" s="28" t="str">
        <x:v>Planta Curitiba</x:v>
      </x:c>
      <x:c r="D121" s="28" t="str">
        <x:v>Alimentos</x:v>
      </x:c>
      <x:c r="E121" s="28" t="str">
        <x:v>SKU-432</x:v>
      </x:c>
      <x:c r="F121" s="32" t="n">
        <x:v>3971</x:v>
      </x:c>
      <x:c r="G121" s="32" t="n">
        <x:v>3985</x:v>
      </x:c>
      <x:c r="H121" s="32" t="n">
        <x:v>3646</x:v>
      </x:c>
      <x:c r="I121" s="32" t="n">
        <x:v>3693</x:v>
      </x:c>
      <x:c r="J121" s="28" t="str">
        <x:v>Semanal</x:v>
      </x:c>
      <x:c r="K121" s="28" t="str">
        <x:v>2024-S20</x:v>
      </x:c>
    </x:row>
    <x:row r="122">
      <x:c r="A122" s="34" t="n">
        <x:v>45432</x:v>
      </x:c>
      <x:c r="B122" s="28" t="str">
        <x:v>Grupo Industrial S.A.</x:v>
      </x:c>
      <x:c r="C122" s="28" t="str">
        <x:v>Planta São Paulo</x:v>
      </x:c>
      <x:c r="D122" s="28" t="str">
        <x:v>Alimentos</x:v>
      </x:c>
      <x:c r="E122" s="28" t="str">
        <x:v>SKU-001</x:v>
      </x:c>
      <x:c r="F122" s="32" t="n">
        <x:v>6291</x:v>
      </x:c>
      <x:c r="G122" s="32" t="n">
        <x:v>6347</x:v>
      </x:c>
      <x:c r="H122" s="32" t="n">
        <x:v>5820</x:v>
      </x:c>
      <x:c r="I122" s="32" t="n">
        <x:v>5851</x:v>
      </x:c>
      <x:c r="J122" s="28" t="str">
        <x:v>Semanal</x:v>
      </x:c>
      <x:c r="K122" s="28" t="str">
        <x:v>2024-S21</x:v>
      </x:c>
    </x:row>
    <x:row r="123">
      <x:c r="A123" s="34" t="n">
        <x:v>45432</x:v>
      </x:c>
      <x:c r="B123" s="28" t="str">
        <x:v>Grupo Industrial S.A.</x:v>
      </x:c>
      <x:c r="C123" s="28" t="str">
        <x:v>Planta São Paulo</x:v>
      </x:c>
      <x:c r="D123" s="28" t="str">
        <x:v>Alimentos</x:v>
      </x:c>
      <x:c r="E123" s="28" t="str">
        <x:v>SKU-002</x:v>
      </x:c>
      <x:c r="F123" s="32" t="n">
        <x:v>5730</x:v>
      </x:c>
      <x:c r="G123" s="32" t="n">
        <x:v>5768</x:v>
      </x:c>
      <x:c r="H123" s="32" t="n">
        <x:v>5327</x:v>
      </x:c>
      <x:c r="I123" s="32" t="n">
        <x:v>5329</x:v>
      </x:c>
      <x:c r="J123" s="28" t="str">
        <x:v>Semanal</x:v>
      </x:c>
      <x:c r="K123" s="28" t="str">
        <x:v>2024-S21</x:v>
      </x:c>
    </x:row>
    <x:row r="124">
      <x:c r="A124" s="34" t="n">
        <x:v>45432</x:v>
      </x:c>
      <x:c r="B124" s="28" t="str">
        <x:v>Grupo Industrial S.A.</x:v>
      </x:c>
      <x:c r="C124" s="28" t="str">
        <x:v>Planta Campinas</x:v>
      </x:c>
      <x:c r="D124" s="28" t="str">
        <x:v>Higiene e Limpeza</x:v>
      </x:c>
      <x:c r="E124" s="28" t="str">
        <x:v>SKU-078</x:v>
      </x:c>
      <x:c r="F124" s="32" t="n">
        <x:v>4356</x:v>
      </x:c>
      <x:c r="G124" s="32" t="n">
        <x:v>4277</x:v>
      </x:c>
      <x:c r="H124" s="32" t="n">
        <x:v>4077</x:v>
      </x:c>
      <x:c r="I124" s="32" t="n">
        <x:v>4051</x:v>
      </x:c>
      <x:c r="J124" s="28" t="str">
        <x:v>Semanal</x:v>
      </x:c>
      <x:c r="K124" s="28" t="str">
        <x:v>2024-S21</x:v>
      </x:c>
    </x:row>
    <x:row r="125">
      <x:c r="A125" s="34" t="n">
        <x:v>45432</x:v>
      </x:c>
      <x:c r="B125" s="28" t="str">
        <x:v>Grupo Industrial S.A.</x:v>
      </x:c>
      <x:c r="C125" s="28" t="str">
        <x:v>Planta Campinas</x:v>
      </x:c>
      <x:c r="D125" s="28" t="str">
        <x:v>Embalagens</x:v>
      </x:c>
      <x:c r="E125" s="28" t="str">
        <x:v>SKU-105</x:v>
      </x:c>
      <x:c r="F125" s="32" t="n">
        <x:v>3963</x:v>
      </x:c>
      <x:c r="G125" s="32" t="n">
        <x:v>3782</x:v>
      </x:c>
      <x:c r="H125" s="32" t="n">
        <x:v>3520</x:v>
      </x:c>
      <x:c r="I125" s="32" t="n">
        <x:v>3686</x:v>
      </x:c>
      <x:c r="J125" s="28" t="str">
        <x:v>Semanal</x:v>
      </x:c>
      <x:c r="K125" s="28" t="str">
        <x:v>2024-S21</x:v>
      </x:c>
    </x:row>
    <x:row r="126">
      <x:c r="A126" s="34" t="n">
        <x:v>45432</x:v>
      </x:c>
      <x:c r="B126" s="28" t="str">
        <x:v>Grupo Industrial S.A.</x:v>
      </x:c>
      <x:c r="C126" s="28" t="str">
        <x:v>Planta Curitiba</x:v>
      </x:c>
      <x:c r="D126" s="28" t="str">
        <x:v>Bebidas</x:v>
      </x:c>
      <x:c r="E126" s="28" t="str">
        <x:v>SKU-223</x:v>
      </x:c>
      <x:c r="F126" s="32" t="n">
        <x:v>4495</x:v>
      </x:c>
      <x:c r="G126" s="32" t="n">
        <x:v>4600</x:v>
      </x:c>
      <x:c r="H126" s="32" t="n">
        <x:v>4267</x:v>
      </x:c>
      <x:c r="I126" s="32" t="n">
        <x:v>4180</x:v>
      </x:c>
      <x:c r="J126" s="28" t="str">
        <x:v>Semanal</x:v>
      </x:c>
      <x:c r="K126" s="28" t="str">
        <x:v>2024-S21</x:v>
      </x:c>
    </x:row>
    <x:row r="127">
      <x:c r="A127" s="34" t="n">
        <x:v>45432</x:v>
      </x:c>
      <x:c r="B127" s="28" t="str">
        <x:v>Grupo Industrial S.A.</x:v>
      </x:c>
      <x:c r="C127" s="28" t="str">
        <x:v>Planta Curitiba</x:v>
      </x:c>
      <x:c r="D127" s="28" t="str">
        <x:v>Alimentos</x:v>
      </x:c>
      <x:c r="E127" s="28" t="str">
        <x:v>SKU-432</x:v>
      </x:c>
      <x:c r="F127" s="32" t="n">
        <x:v>4065</x:v>
      </x:c>
      <x:c r="G127" s="32" t="n">
        <x:v>4142</x:v>
      </x:c>
      <x:c r="H127" s="32" t="n">
        <x:v>3917</x:v>
      </x:c>
      <x:c r="I127" s="32" t="n">
        <x:v>3780</x:v>
      </x:c>
      <x:c r="J127" s="28" t="str">
        <x:v>Semanal</x:v>
      </x:c>
      <x:c r="K127" s="28" t="str">
        <x:v>2024-S21</x:v>
      </x:c>
    </x:row>
    <x:row r="128">
      <x:c r="A128" s="34" t="n">
        <x:v>45439</x:v>
      </x:c>
      <x:c r="B128" s="28" t="str">
        <x:v>Grupo Industrial S.A.</x:v>
      </x:c>
      <x:c r="C128" s="28" t="str">
        <x:v>Planta São Paulo</x:v>
      </x:c>
      <x:c r="D128" s="28" t="str">
        <x:v>Alimentos</x:v>
      </x:c>
      <x:c r="E128" s="28" t="str">
        <x:v>SKU-001</x:v>
      </x:c>
      <x:c r="F128" s="32" t="n">
        <x:v>6426</x:v>
      </x:c>
      <x:c r="G128" s="32" t="n">
        <x:v>6206</x:v>
      </x:c>
      <x:c r="H128" s="32" t="n">
        <x:v>5650</x:v>
      </x:c>
      <x:c r="I128" s="32" t="n">
        <x:v>5976</x:v>
      </x:c>
      <x:c r="J128" s="28" t="str">
        <x:v>Semanal</x:v>
      </x:c>
      <x:c r="K128" s="28" t="str">
        <x:v>2024-S22</x:v>
      </x:c>
    </x:row>
    <x:row r="129">
      <x:c r="A129" s="34" t="n">
        <x:v>45439</x:v>
      </x:c>
      <x:c r="B129" s="28" t="str">
        <x:v>Grupo Industrial S.A.</x:v>
      </x:c>
      <x:c r="C129" s="28" t="str">
        <x:v>Planta São Paulo</x:v>
      </x:c>
      <x:c r="D129" s="28" t="str">
        <x:v>Alimentos</x:v>
      </x:c>
      <x:c r="E129" s="28" t="str">
        <x:v>SKU-002</x:v>
      </x:c>
      <x:c r="F129" s="32" t="n">
        <x:v>5683</x:v>
      </x:c>
      <x:c r="G129" s="32" t="n">
        <x:v>5645</x:v>
      </x:c>
      <x:c r="H129" s="32" t="n">
        <x:v>5116</x:v>
      </x:c>
      <x:c r="I129" s="32" t="n">
        <x:v>5285</x:v>
      </x:c>
      <x:c r="J129" s="28" t="str">
        <x:v>Semanal</x:v>
      </x:c>
      <x:c r="K129" s="28" t="str">
        <x:v>2024-S22</x:v>
      </x:c>
    </x:row>
    <x:row r="130">
      <x:c r="A130" s="34" t="n">
        <x:v>45439</x:v>
      </x:c>
      <x:c r="B130" s="28" t="str">
        <x:v>Grupo Industrial S.A.</x:v>
      </x:c>
      <x:c r="C130" s="28" t="str">
        <x:v>Planta Campinas</x:v>
      </x:c>
      <x:c r="D130" s="28" t="str">
        <x:v>Higiene e Limpeza</x:v>
      </x:c>
      <x:c r="E130" s="28" t="str">
        <x:v>SKU-078</x:v>
      </x:c>
      <x:c r="F130" s="32" t="n">
        <x:v>4630</x:v>
      </x:c>
      <x:c r="G130" s="32" t="n">
        <x:v>4409</x:v>
      </x:c>
      <x:c r="H130" s="32" t="n">
        <x:v>4029</x:v>
      </x:c>
      <x:c r="I130" s="32" t="n">
        <x:v>4306</x:v>
      </x:c>
      <x:c r="J130" s="28" t="str">
        <x:v>Semanal</x:v>
      </x:c>
      <x:c r="K130" s="28" t="str">
        <x:v>2024-S22</x:v>
      </x:c>
    </x:row>
    <x:row r="131">
      <x:c r="A131" s="34" t="n">
        <x:v>45439</x:v>
      </x:c>
      <x:c r="B131" s="28" t="str">
        <x:v>Grupo Industrial S.A.</x:v>
      </x:c>
      <x:c r="C131" s="28" t="str">
        <x:v>Planta Campinas</x:v>
      </x:c>
      <x:c r="D131" s="28" t="str">
        <x:v>Embalagens</x:v>
      </x:c>
      <x:c r="E131" s="28" t="str">
        <x:v>SKU-105</x:v>
      </x:c>
      <x:c r="F131" s="32" t="n">
        <x:v>4091</x:v>
      </x:c>
      <x:c r="G131" s="32" t="n">
        <x:v>4041</x:v>
      </x:c>
      <x:c r="H131" s="32" t="n">
        <x:v>3668</x:v>
      </x:c>
      <x:c r="I131" s="32" t="n">
        <x:v>3805</x:v>
      </x:c>
      <x:c r="J131" s="28" t="str">
        <x:v>Semanal</x:v>
      </x:c>
      <x:c r="K131" s="28" t="str">
        <x:v>2024-S22</x:v>
      </x:c>
    </x:row>
    <x:row r="132">
      <x:c r="A132" s="34" t="n">
        <x:v>45439</x:v>
      </x:c>
      <x:c r="B132" s="28" t="str">
        <x:v>Grupo Industrial S.A.</x:v>
      </x:c>
      <x:c r="C132" s="28" t="str">
        <x:v>Planta Curitiba</x:v>
      </x:c>
      <x:c r="D132" s="28" t="str">
        <x:v>Bebidas</x:v>
      </x:c>
      <x:c r="E132" s="28" t="str">
        <x:v>SKU-223</x:v>
      </x:c>
      <x:c r="F132" s="32" t="n">
        <x:v>4802</x:v>
      </x:c>
      <x:c r="G132" s="32" t="n">
        <x:v>4852</x:v>
      </x:c>
      <x:c r="H132" s="32" t="n">
        <x:v>4574</x:v>
      </x:c>
      <x:c r="I132" s="32" t="n">
        <x:v>4466</x:v>
      </x:c>
      <x:c r="J132" s="28" t="str">
        <x:v>Semanal</x:v>
      </x:c>
      <x:c r="K132" s="28" t="str">
        <x:v>2024-S22</x:v>
      </x:c>
    </x:row>
    <x:row r="133">
      <x:c r="A133" s="34" t="n">
        <x:v>45439</x:v>
      </x:c>
      <x:c r="B133" s="28" t="str">
        <x:v>Grupo Industrial S.A.</x:v>
      </x:c>
      <x:c r="C133" s="28" t="str">
        <x:v>Planta Curitiba</x:v>
      </x:c>
      <x:c r="D133" s="28" t="str">
        <x:v>Alimentos</x:v>
      </x:c>
      <x:c r="E133" s="28" t="str">
        <x:v>SKU-432</x:v>
      </x:c>
      <x:c r="F133" s="32" t="n">
        <x:v>4094</x:v>
      </x:c>
      <x:c r="G133" s="32" t="n">
        <x:v>4068</x:v>
      </x:c>
      <x:c r="H133" s="32" t="n">
        <x:v>3746</x:v>
      </x:c>
      <x:c r="I133" s="32" t="n">
        <x:v>3807</x:v>
      </x:c>
      <x:c r="J133" s="28" t="str">
        <x:v>Semanal</x:v>
      </x:c>
      <x:c r="K133" s="28" t="str">
        <x:v>2024-S22</x:v>
      </x:c>
    </x:row>
    <x:row r="134">
      <x:c r="A134" s="34" t="n">
        <x:v>45446</x:v>
      </x:c>
      <x:c r="B134" s="28" t="str">
        <x:v>Grupo Industrial S.A.</x:v>
      </x:c>
      <x:c r="C134" s="28" t="str">
        <x:v>Planta São Paulo</x:v>
      </x:c>
      <x:c r="D134" s="28" t="str">
        <x:v>Alimentos</x:v>
      </x:c>
      <x:c r="E134" s="28" t="str">
        <x:v>SKU-001</x:v>
      </x:c>
      <x:c r="F134" s="32" t="n">
        <x:v>6425</x:v>
      </x:c>
      <x:c r="G134" s="32" t="n">
        <x:v>6251</x:v>
      </x:c>
      <x:c r="H134" s="32" t="n">
        <x:v>5733</x:v>
      </x:c>
      <x:c r="I134" s="32" t="n">
        <x:v>5975</x:v>
      </x:c>
      <x:c r="J134" s="28" t="str">
        <x:v>Semanal</x:v>
      </x:c>
      <x:c r="K134" s="28" t="str">
        <x:v>2024-S23</x:v>
      </x:c>
    </x:row>
    <x:row r="135">
      <x:c r="A135" s="34" t="n">
        <x:v>45446</x:v>
      </x:c>
      <x:c r="B135" s="28" t="str">
        <x:v>Grupo Industrial S.A.</x:v>
      </x:c>
      <x:c r="C135" s="28" t="str">
        <x:v>Planta São Paulo</x:v>
      </x:c>
      <x:c r="D135" s="28" t="str">
        <x:v>Alimentos</x:v>
      </x:c>
      <x:c r="E135" s="28" t="str">
        <x:v>SKU-002</x:v>
      </x:c>
      <x:c r="F135" s="32" t="n">
        <x:v>5729</x:v>
      </x:c>
      <x:c r="G135" s="32" t="n">
        <x:v>5523</x:v>
      </x:c>
      <x:c r="H135" s="32" t="n">
        <x:v>5258</x:v>
      </x:c>
      <x:c r="I135" s="32" t="n">
        <x:v>5328</x:v>
      </x:c>
      <x:c r="J135" s="28" t="str">
        <x:v>Semanal</x:v>
      </x:c>
      <x:c r="K135" s="28" t="str">
        <x:v>2024-S23</x:v>
      </x:c>
    </x:row>
    <x:row r="136">
      <x:c r="A136" s="34" t="n">
        <x:v>45446</x:v>
      </x:c>
      <x:c r="B136" s="28" t="str">
        <x:v>Grupo Industrial S.A.</x:v>
      </x:c>
      <x:c r="C136" s="28" t="str">
        <x:v>Planta Campinas</x:v>
      </x:c>
      <x:c r="D136" s="28" t="str">
        <x:v>Higiene e Limpeza</x:v>
      </x:c>
      <x:c r="E136" s="28" t="str">
        <x:v>SKU-078</x:v>
      </x:c>
      <x:c r="F136" s="32" t="n">
        <x:v>4523</x:v>
      </x:c>
      <x:c r="G136" s="32" t="n">
        <x:v>4334</x:v>
      </x:c>
      <x:c r="H136" s="32" t="n">
        <x:v>4080</x:v>
      </x:c>
      <x:c r="I136" s="32" t="n">
        <x:v>4206</x:v>
      </x:c>
      <x:c r="J136" s="28" t="str">
        <x:v>Semanal</x:v>
      </x:c>
      <x:c r="K136" s="28" t="str">
        <x:v>2024-S23</x:v>
      </x:c>
    </x:row>
    <x:row r="137">
      <x:c r="A137" s="34" t="n">
        <x:v>45446</x:v>
      </x:c>
      <x:c r="B137" s="28" t="str">
        <x:v>Grupo Industrial S.A.</x:v>
      </x:c>
      <x:c r="C137" s="28" t="str">
        <x:v>Planta Campinas</x:v>
      </x:c>
      <x:c r="D137" s="28" t="str">
        <x:v>Embalagens</x:v>
      </x:c>
      <x:c r="E137" s="28" t="str">
        <x:v>SKU-105</x:v>
      </x:c>
      <x:c r="F137" s="32" t="n">
        <x:v>3864</x:v>
      </x:c>
      <x:c r="G137" s="32" t="n">
        <x:v>3659</x:v>
      </x:c>
      <x:c r="H137" s="32" t="n">
        <x:v>3354</x:v>
      </x:c>
      <x:c r="I137" s="32" t="n">
        <x:v>3594</x:v>
      </x:c>
      <x:c r="J137" s="28" t="str">
        <x:v>Semanal</x:v>
      </x:c>
      <x:c r="K137" s="28" t="str">
        <x:v>2024-S23</x:v>
      </x:c>
    </x:row>
    <x:row r="138">
      <x:c r="A138" s="34" t="n">
        <x:v>45446</x:v>
      </x:c>
      <x:c r="B138" s="28" t="str">
        <x:v>Grupo Industrial S.A.</x:v>
      </x:c>
      <x:c r="C138" s="28" t="str">
        <x:v>Planta Curitiba</x:v>
      </x:c>
      <x:c r="D138" s="28" t="str">
        <x:v>Bebidas</x:v>
      </x:c>
      <x:c r="E138" s="28" t="str">
        <x:v>SKU-223</x:v>
      </x:c>
      <x:c r="F138" s="32" t="n">
        <x:v>4466</x:v>
      </x:c>
      <x:c r="G138" s="32" t="n">
        <x:v>4488</x:v>
      </x:c>
      <x:c r="H138" s="32" t="n">
        <x:v>4226</x:v>
      </x:c>
      <x:c r="I138" s="32" t="n">
        <x:v>4153</x:v>
      </x:c>
      <x:c r="J138" s="28" t="str">
        <x:v>Semanal</x:v>
      </x:c>
      <x:c r="K138" s="28" t="str">
        <x:v>2024-S23</x:v>
      </x:c>
    </x:row>
    <x:row r="139">
      <x:c r="A139" s="34" t="n">
        <x:v>45446</x:v>
      </x:c>
      <x:c r="B139" s="28" t="str">
        <x:v>Grupo Industrial S.A.</x:v>
      </x:c>
      <x:c r="C139" s="28" t="str">
        <x:v>Planta Curitiba</x:v>
      </x:c>
      <x:c r="D139" s="28" t="str">
        <x:v>Alimentos</x:v>
      </x:c>
      <x:c r="E139" s="28" t="str">
        <x:v>SKU-432</x:v>
      </x:c>
      <x:c r="F139" s="32" t="n">
        <x:v>3897</x:v>
      </x:c>
      <x:c r="G139" s="32" t="n">
        <x:v>3938</x:v>
      </x:c>
      <x:c r="H139" s="32" t="n">
        <x:v>3748</x:v>
      </x:c>
      <x:c r="I139" s="32" t="n">
        <x:v>3624</x:v>
      </x:c>
      <x:c r="J139" s="28" t="str">
        <x:v>Semanal</x:v>
      </x:c>
      <x:c r="K139" s="28" t="str">
        <x:v>2024-S23</x:v>
      </x:c>
    </x:row>
    <x:row r="140">
      <x:c r="A140" s="34" t="n">
        <x:v>45453</x:v>
      </x:c>
      <x:c r="B140" s="28" t="str">
        <x:v>Grupo Industrial S.A.</x:v>
      </x:c>
      <x:c r="C140" s="28" t="str">
        <x:v>Planta São Paulo</x:v>
      </x:c>
      <x:c r="D140" s="28" t="str">
        <x:v>Alimentos</x:v>
      </x:c>
      <x:c r="E140" s="28" t="str">
        <x:v>SKU-001</x:v>
      </x:c>
      <x:c r="F140" s="32" t="n">
        <x:v>6145</x:v>
      </x:c>
      <x:c r="G140" s="32" t="n">
        <x:v>6066</x:v>
      </x:c>
      <x:c r="H140" s="32" t="n">
        <x:v>5765</x:v>
      </x:c>
      <x:c r="I140" s="32" t="n">
        <x:v>5715</x:v>
      </x:c>
      <x:c r="J140" s="28" t="str">
        <x:v>Semanal</x:v>
      </x:c>
      <x:c r="K140" s="28" t="str">
        <x:v>2024-S24</x:v>
      </x:c>
    </x:row>
    <x:row r="141">
      <x:c r="A141" s="34" t="n">
        <x:v>45453</x:v>
      </x:c>
      <x:c r="B141" s="28" t="str">
        <x:v>Grupo Industrial S.A.</x:v>
      </x:c>
      <x:c r="C141" s="28" t="str">
        <x:v>Planta São Paulo</x:v>
      </x:c>
      <x:c r="D141" s="28" t="str">
        <x:v>Alimentos</x:v>
      </x:c>
      <x:c r="E141" s="28" t="str">
        <x:v>SKU-002</x:v>
      </x:c>
      <x:c r="F141" s="32" t="n">
        <x:v>5769</x:v>
      </x:c>
      <x:c r="G141" s="32" t="n">
        <x:v>5802</x:v>
      </x:c>
      <x:c r="H141" s="32" t="n">
        <x:v>5357</x:v>
      </x:c>
      <x:c r="I141" s="32" t="n">
        <x:v>5365</x:v>
      </x:c>
      <x:c r="J141" s="28" t="str">
        <x:v>Semanal</x:v>
      </x:c>
      <x:c r="K141" s="28" t="str">
        <x:v>2024-S24</x:v>
      </x:c>
    </x:row>
    <x:row r="142">
      <x:c r="A142" s="34" t="n">
        <x:v>45453</x:v>
      </x:c>
      <x:c r="B142" s="28" t="str">
        <x:v>Grupo Industrial S.A.</x:v>
      </x:c>
      <x:c r="C142" s="28" t="str">
        <x:v>Planta Campinas</x:v>
      </x:c>
      <x:c r="D142" s="28" t="str">
        <x:v>Higiene e Limpeza</x:v>
      </x:c>
      <x:c r="E142" s="28" t="str">
        <x:v>SKU-078</x:v>
      </x:c>
      <x:c r="F142" s="32" t="n">
        <x:v>4501</x:v>
      </x:c>
      <x:c r="G142" s="32" t="n">
        <x:v>4337</x:v>
      </x:c>
      <x:c r="H142" s="32" t="n">
        <x:v>4084</x:v>
      </x:c>
      <x:c r="I142" s="32" t="n">
        <x:v>4186</x:v>
      </x:c>
      <x:c r="J142" s="28" t="str">
        <x:v>Semanal</x:v>
      </x:c>
      <x:c r="K142" s="28" t="str">
        <x:v>2024-S24</x:v>
      </x:c>
    </x:row>
    <x:row r="143">
      <x:c r="A143" s="34" t="n">
        <x:v>45453</x:v>
      </x:c>
      <x:c r="B143" s="28" t="str">
        <x:v>Grupo Industrial S.A.</x:v>
      </x:c>
      <x:c r="C143" s="28" t="str">
        <x:v>Planta Campinas</x:v>
      </x:c>
      <x:c r="D143" s="28" t="str">
        <x:v>Embalagens</x:v>
      </x:c>
      <x:c r="E143" s="28" t="str">
        <x:v>SKU-105</x:v>
      </x:c>
      <x:c r="F143" s="32" t="n">
        <x:v>3843</x:v>
      </x:c>
      <x:c r="G143" s="32" t="n">
        <x:v>3616</x:v>
      </x:c>
      <x:c r="H143" s="32" t="n">
        <x:v>3335</x:v>
      </x:c>
      <x:c r="I143" s="32" t="n">
        <x:v>3574</x:v>
      </x:c>
      <x:c r="J143" s="28" t="str">
        <x:v>Semanal</x:v>
      </x:c>
      <x:c r="K143" s="28" t="str">
        <x:v>2024-S24</x:v>
      </x:c>
    </x:row>
    <x:row r="144">
      <x:c r="A144" s="34" t="n">
        <x:v>45453</x:v>
      </x:c>
      <x:c r="B144" s="28" t="str">
        <x:v>Grupo Industrial S.A.</x:v>
      </x:c>
      <x:c r="C144" s="28" t="str">
        <x:v>Planta Curitiba</x:v>
      </x:c>
      <x:c r="D144" s="28" t="str">
        <x:v>Bebidas</x:v>
      </x:c>
      <x:c r="E144" s="28" t="str">
        <x:v>SKU-223</x:v>
      </x:c>
      <x:c r="F144" s="32" t="n">
        <x:v>4347</x:v>
      </x:c>
      <x:c r="G144" s="32" t="n">
        <x:v>4417</x:v>
      </x:c>
      <x:c r="H144" s="32" t="n">
        <x:v>4176</x:v>
      </x:c>
      <x:c r="I144" s="32" t="n">
        <x:v>4043</x:v>
      </x:c>
      <x:c r="J144" s="28" t="str">
        <x:v>Semanal</x:v>
      </x:c>
      <x:c r="K144" s="28" t="str">
        <x:v>2024-S24</x:v>
      </x:c>
    </x:row>
    <x:row r="145">
      <x:c r="A145" s="34" t="n">
        <x:v>45453</x:v>
      </x:c>
      <x:c r="B145" s="28" t="str">
        <x:v>Grupo Industrial S.A.</x:v>
      </x:c>
      <x:c r="C145" s="28" t="str">
        <x:v>Planta Curitiba</x:v>
      </x:c>
      <x:c r="D145" s="28" t="str">
        <x:v>Alimentos</x:v>
      </x:c>
      <x:c r="E145" s="28" t="str">
        <x:v>SKU-432</x:v>
      </x:c>
      <x:c r="F145" s="32" t="n">
        <x:v>3909</x:v>
      </x:c>
      <x:c r="G145" s="32" t="n">
        <x:v>3864</x:v>
      </x:c>
      <x:c r="H145" s="32" t="n">
        <x:v>3670</x:v>
      </x:c>
      <x:c r="I145" s="32" t="n">
        <x:v>3635</x:v>
      </x:c>
      <x:c r="J145" s="28" t="str">
        <x:v>Semanal</x:v>
      </x:c>
      <x:c r="K145" s="28" t="str">
        <x:v>2024-S24</x:v>
      </x:c>
    </x:row>
    <x:row r="146">
      <x:c r="A146" s="34" t="n">
        <x:v>45460</x:v>
      </x:c>
      <x:c r="B146" s="28" t="str">
        <x:v>Grupo Industrial S.A.</x:v>
      </x:c>
      <x:c r="C146" s="28" t="str">
        <x:v>Planta São Paulo</x:v>
      </x:c>
      <x:c r="D146" s="28" t="str">
        <x:v>Alimentos</x:v>
      </x:c>
      <x:c r="E146" s="28" t="str">
        <x:v>SKU-001</x:v>
      </x:c>
      <x:c r="F146" s="32" t="n">
        <x:v>6263</x:v>
      </x:c>
      <x:c r="G146" s="32" t="n">
        <x:v>6149</x:v>
      </x:c>
      <x:c r="H146" s="32" t="n">
        <x:v>5623</x:v>
      </x:c>
      <x:c r="I146" s="32" t="n">
        <x:v>5825</x:v>
      </x:c>
      <x:c r="J146" s="28" t="str">
        <x:v>Semanal</x:v>
      </x:c>
      <x:c r="K146" s="28" t="str">
        <x:v>2024-S25</x:v>
      </x:c>
    </x:row>
    <x:row r="147">
      <x:c r="A147" s="34" t="n">
        <x:v>45460</x:v>
      </x:c>
      <x:c r="B147" s="28" t="str">
        <x:v>Grupo Industrial S.A.</x:v>
      </x:c>
      <x:c r="C147" s="28" t="str">
        <x:v>Planta São Paulo</x:v>
      </x:c>
      <x:c r="D147" s="28" t="str">
        <x:v>Alimentos</x:v>
      </x:c>
      <x:c r="E147" s="28" t="str">
        <x:v>SKU-002</x:v>
      </x:c>
      <x:c r="F147" s="32" t="n">
        <x:v>5818</x:v>
      </x:c>
      <x:c r="G147" s="32" t="n">
        <x:v>5699</x:v>
      </x:c>
      <x:c r="H147" s="32" t="n">
        <x:v>5268</x:v>
      </x:c>
      <x:c r="I147" s="32" t="n">
        <x:v>5411</x:v>
      </x:c>
      <x:c r="J147" s="28" t="str">
        <x:v>Semanal</x:v>
      </x:c>
      <x:c r="K147" s="28" t="str">
        <x:v>2024-S25</x:v>
      </x:c>
    </x:row>
    <x:row r="148">
      <x:c r="A148" s="34" t="n">
        <x:v>45460</x:v>
      </x:c>
      <x:c r="B148" s="28" t="str">
        <x:v>Grupo Industrial S.A.</x:v>
      </x:c>
      <x:c r="C148" s="28" t="str">
        <x:v>Planta Campinas</x:v>
      </x:c>
      <x:c r="D148" s="28" t="str">
        <x:v>Higiene e Limpeza</x:v>
      </x:c>
      <x:c r="E148" s="28" t="str">
        <x:v>SKU-078</x:v>
      </x:c>
      <x:c r="F148" s="32" t="n">
        <x:v>4372</x:v>
      </x:c>
      <x:c r="G148" s="32" t="n">
        <x:v>4284</x:v>
      </x:c>
      <x:c r="H148" s="32" t="n">
        <x:v>3991</x:v>
      </x:c>
      <x:c r="I148" s="32" t="n">
        <x:v>4066</x:v>
      </x:c>
      <x:c r="J148" s="28" t="str">
        <x:v>Semanal</x:v>
      </x:c>
      <x:c r="K148" s="28" t="str">
        <x:v>2024-S25</x:v>
      </x:c>
    </x:row>
    <x:row r="149">
      <x:c r="A149" s="34" t="n">
        <x:v>45460</x:v>
      </x:c>
      <x:c r="B149" s="28" t="str">
        <x:v>Grupo Industrial S.A.</x:v>
      </x:c>
      <x:c r="C149" s="28" t="str">
        <x:v>Planta Campinas</x:v>
      </x:c>
      <x:c r="D149" s="28" t="str">
        <x:v>Embalagens</x:v>
      </x:c>
      <x:c r="E149" s="28" t="str">
        <x:v>SKU-105</x:v>
      </x:c>
      <x:c r="F149" s="32" t="n">
        <x:v>4062</x:v>
      </x:c>
      <x:c r="G149" s="32" t="n">
        <x:v>4002</x:v>
      </x:c>
      <x:c r="H149" s="32" t="n">
        <x:v>3700</x:v>
      </x:c>
      <x:c r="I149" s="32" t="n">
        <x:v>3778</x:v>
      </x:c>
      <x:c r="J149" s="28" t="str">
        <x:v>Semanal</x:v>
      </x:c>
      <x:c r="K149" s="28" t="str">
        <x:v>2024-S25</x:v>
      </x:c>
    </x:row>
    <x:row r="150">
      <x:c r="A150" s="34" t="n">
        <x:v>45460</x:v>
      </x:c>
      <x:c r="B150" s="28" t="str">
        <x:v>Grupo Industrial S.A.</x:v>
      </x:c>
      <x:c r="C150" s="28" t="str">
        <x:v>Planta Curitiba</x:v>
      </x:c>
      <x:c r="D150" s="28" t="str">
        <x:v>Bebidas</x:v>
      </x:c>
      <x:c r="E150" s="28" t="str">
        <x:v>SKU-223</x:v>
      </x:c>
      <x:c r="F150" s="32" t="n">
        <x:v>4515</x:v>
      </x:c>
      <x:c r="G150" s="32" t="n">
        <x:v>4617</x:v>
      </x:c>
      <x:c r="H150" s="32" t="n">
        <x:v>4433</x:v>
      </x:c>
      <x:c r="I150" s="32" t="n">
        <x:v>4199</x:v>
      </x:c>
      <x:c r="J150" s="28" t="str">
        <x:v>Semanal</x:v>
      </x:c>
      <x:c r="K150" s="28" t="str">
        <x:v>2024-S25</x:v>
      </x:c>
    </x:row>
    <x:row r="151">
      <x:c r="A151" s="34" t="n">
        <x:v>45460</x:v>
      </x:c>
      <x:c r="B151" s="28" t="str">
        <x:v>Grupo Industrial S.A.</x:v>
      </x:c>
      <x:c r="C151" s="28" t="str">
        <x:v>Planta Curitiba</x:v>
      </x:c>
      <x:c r="D151" s="28" t="str">
        <x:v>Alimentos</x:v>
      </x:c>
      <x:c r="E151" s="28" t="str">
        <x:v>SKU-432</x:v>
      </x:c>
      <x:c r="F151" s="32" t="n">
        <x:v>3972</x:v>
      </x:c>
      <x:c r="G151" s="32" t="n">
        <x:v>3916</x:v>
      </x:c>
      <x:c r="H151" s="32" t="n">
        <x:v>3762</x:v>
      </x:c>
      <x:c r="I151" s="32" t="n">
        <x:v>3694</x:v>
      </x:c>
      <x:c r="J151" s="28" t="str">
        <x:v>Semanal</x:v>
      </x:c>
      <x:c r="K151" s="28" t="str">
        <x:v>2024-S25</x:v>
      </x:c>
    </x:row>
    <x:row r="152">
      <x:c r="A152" s="34" t="n">
        <x:v>45467</x:v>
      </x:c>
      <x:c r="B152" s="28" t="str">
        <x:v>Grupo Industrial S.A.</x:v>
      </x:c>
      <x:c r="C152" s="28" t="str">
        <x:v>Planta São Paulo</x:v>
      </x:c>
      <x:c r="D152" s="28" t="str">
        <x:v>Alimentos</x:v>
      </x:c>
      <x:c r="E152" s="28" t="str">
        <x:v>SKU-001</x:v>
      </x:c>
      <x:c r="F152" s="32" t="n">
        <x:v>6618</x:v>
      </x:c>
      <x:c r="G152" s="32" t="n">
        <x:v>6380</x:v>
      </x:c>
      <x:c r="H152" s="32" t="n">
        <x:v>5937</x:v>
      </x:c>
      <x:c r="I152" s="32" t="n">
        <x:v>6155</x:v>
      </x:c>
      <x:c r="J152" s="28" t="str">
        <x:v>Semanal</x:v>
      </x:c>
      <x:c r="K152" s="28" t="str">
        <x:v>2024-S26</x:v>
      </x:c>
    </x:row>
    <x:row r="153">
      <x:c r="A153" s="34" t="n">
        <x:v>45467</x:v>
      </x:c>
      <x:c r="B153" s="28" t="str">
        <x:v>Grupo Industrial S.A.</x:v>
      </x:c>
      <x:c r="C153" s="28" t="str">
        <x:v>Planta São Paulo</x:v>
      </x:c>
      <x:c r="D153" s="28" t="str">
        <x:v>Alimentos</x:v>
      </x:c>
      <x:c r="E153" s="28" t="str">
        <x:v>SKU-002</x:v>
      </x:c>
      <x:c r="F153" s="32" t="n">
        <x:v>5821</x:v>
      </x:c>
      <x:c r="G153" s="32" t="n">
        <x:v>5732</x:v>
      </x:c>
      <x:c r="H153" s="32" t="n">
        <x:v>5382</x:v>
      </x:c>
      <x:c r="I153" s="32" t="n">
        <x:v>5414</x:v>
      </x:c>
      <x:c r="J153" s="28" t="str">
        <x:v>Semanal</x:v>
      </x:c>
      <x:c r="K153" s="28" t="str">
        <x:v>2024-S26</x:v>
      </x:c>
    </x:row>
    <x:row r="154">
      <x:c r="A154" s="34" t="n">
        <x:v>45467</x:v>
      </x:c>
      <x:c r="B154" s="28" t="str">
        <x:v>Grupo Industrial S.A.</x:v>
      </x:c>
      <x:c r="C154" s="28" t="str">
        <x:v>Planta Campinas</x:v>
      </x:c>
      <x:c r="D154" s="28" t="str">
        <x:v>Higiene e Limpeza</x:v>
      </x:c>
      <x:c r="E154" s="28" t="str">
        <x:v>SKU-078</x:v>
      </x:c>
      <x:c r="F154" s="32" t="n">
        <x:v>4358</x:v>
      </x:c>
      <x:c r="G154" s="32" t="n">
        <x:v>4120</x:v>
      </x:c>
      <x:c r="H154" s="32" t="n">
        <x:v>3904</x:v>
      </x:c>
      <x:c r="I154" s="32" t="n">
        <x:v>4053</x:v>
      </x:c>
      <x:c r="J154" s="28" t="str">
        <x:v>Semanal</x:v>
      </x:c>
      <x:c r="K154" s="28" t="str">
        <x:v>2024-S26</x:v>
      </x:c>
    </x:row>
    <x:row r="155">
      <x:c r="A155" s="34" t="n">
        <x:v>45467</x:v>
      </x:c>
      <x:c r="B155" s="28" t="str">
        <x:v>Grupo Industrial S.A.</x:v>
      </x:c>
      <x:c r="C155" s="28" t="str">
        <x:v>Planta Campinas</x:v>
      </x:c>
      <x:c r="D155" s="28" t="str">
        <x:v>Embalagens</x:v>
      </x:c>
      <x:c r="E155" s="28" t="str">
        <x:v>SKU-105</x:v>
      </x:c>
      <x:c r="F155" s="32" t="n">
        <x:v>3901</x:v>
      </x:c>
      <x:c r="G155" s="32" t="n">
        <x:v>3771</x:v>
      </x:c>
      <x:c r="H155" s="32" t="n">
        <x:v>3560</x:v>
      </x:c>
      <x:c r="I155" s="32" t="n">
        <x:v>3628</x:v>
      </x:c>
      <x:c r="J155" s="28" t="str">
        <x:v>Semanal</x:v>
      </x:c>
      <x:c r="K155" s="28" t="str">
        <x:v>2024-S26</x:v>
      </x:c>
    </x:row>
    <x:row r="156">
      <x:c r="A156" s="34" t="n">
        <x:v>45467</x:v>
      </x:c>
      <x:c r="B156" s="28" t="str">
        <x:v>Grupo Industrial S.A.</x:v>
      </x:c>
      <x:c r="C156" s="28" t="str">
        <x:v>Planta Curitiba</x:v>
      </x:c>
      <x:c r="D156" s="28" t="str">
        <x:v>Bebidas</x:v>
      </x:c>
      <x:c r="E156" s="28" t="str">
        <x:v>SKU-223</x:v>
      </x:c>
      <x:c r="F156" s="32" t="n">
        <x:v>4712</x:v>
      </x:c>
      <x:c r="G156" s="32" t="n">
        <x:v>4818</x:v>
      </x:c>
      <x:c r="H156" s="32" t="n">
        <x:v>4489</x:v>
      </x:c>
      <x:c r="I156" s="32" t="n">
        <x:v>4382</x:v>
      </x:c>
      <x:c r="J156" s="28" t="str">
        <x:v>Semanal</x:v>
      </x:c>
      <x:c r="K156" s="28" t="str">
        <x:v>2024-S26</x:v>
      </x:c>
    </x:row>
    <x:row r="157">
      <x:c r="A157" s="34" t="n">
        <x:v>45467</x:v>
      </x:c>
      <x:c r="B157" s="28" t="str">
        <x:v>Grupo Industrial S.A.</x:v>
      </x:c>
      <x:c r="C157" s="28" t="str">
        <x:v>Planta Curitiba</x:v>
      </x:c>
      <x:c r="D157" s="28" t="str">
        <x:v>Alimentos</x:v>
      </x:c>
      <x:c r="E157" s="28" t="str">
        <x:v>SKU-432</x:v>
      </x:c>
      <x:c r="F157" s="32" t="n">
        <x:v>4002</x:v>
      </x:c>
      <x:c r="G157" s="32" t="n">
        <x:v>4007</x:v>
      </x:c>
      <x:c r="H157" s="32" t="n">
        <x:v>3771</x:v>
      </x:c>
      <x:c r="I157" s="32" t="n">
        <x:v>3722</x:v>
      </x:c>
      <x:c r="J157" s="28" t="str">
        <x:v>Semanal</x:v>
      </x:c>
      <x:c r="K157" s="28" t="str">
        <x:v>2024-S26</x:v>
      </x:c>
    </x:row>
    <x:row r="158">
      <x:c r="A158" s="34" t="n">
        <x:v>45474</x:v>
      </x:c>
      <x:c r="B158" s="28" t="str">
        <x:v>Grupo Industrial S.A.</x:v>
      </x:c>
      <x:c r="C158" s="28" t="str">
        <x:v>Planta São Paulo</x:v>
      </x:c>
      <x:c r="D158" s="28" t="str">
        <x:v>Alimentos</x:v>
      </x:c>
      <x:c r="E158" s="28" t="str">
        <x:v>SKU-001</x:v>
      </x:c>
      <x:c r="F158" s="32" t="n">
        <x:v>6322</x:v>
      </x:c>
      <x:c r="G158" s="32" t="n">
        <x:v>6090</x:v>
      </x:c>
      <x:c r="H158" s="32" t="n">
        <x:v>5765</x:v>
      </x:c>
      <x:c r="I158" s="32" t="n">
        <x:v>5879</x:v>
      </x:c>
      <x:c r="J158" s="28" t="str">
        <x:v>Semanal</x:v>
      </x:c>
      <x:c r="K158" s="28" t="str">
        <x:v>2024-S27</x:v>
      </x:c>
    </x:row>
    <x:row r="159">
      <x:c r="A159" s="34" t="n">
        <x:v>45474</x:v>
      </x:c>
      <x:c r="B159" s="28" t="str">
        <x:v>Grupo Industrial S.A.</x:v>
      </x:c>
      <x:c r="C159" s="28" t="str">
        <x:v>Planta São Paulo</x:v>
      </x:c>
      <x:c r="D159" s="28" t="str">
        <x:v>Alimentos</x:v>
      </x:c>
      <x:c r="E159" s="28" t="str">
        <x:v>SKU-002</x:v>
      </x:c>
      <x:c r="F159" s="32" t="n">
        <x:v>5482</x:v>
      </x:c>
      <x:c r="G159" s="32" t="n">
        <x:v>5282</x:v>
      </x:c>
      <x:c r="H159" s="32" t="n">
        <x:v>5095</x:v>
      </x:c>
      <x:c r="I159" s="32" t="n">
        <x:v>5098</x:v>
      </x:c>
      <x:c r="J159" s="28" t="str">
        <x:v>Semanal</x:v>
      </x:c>
      <x:c r="K159" s="28" t="str">
        <x:v>2024-S27</x:v>
      </x:c>
    </x:row>
    <x:row r="160">
      <x:c r="A160" s="34" t="n">
        <x:v>45474</x:v>
      </x:c>
      <x:c r="B160" s="28" t="str">
        <x:v>Grupo Industrial S.A.</x:v>
      </x:c>
      <x:c r="C160" s="28" t="str">
        <x:v>Planta Campinas</x:v>
      </x:c>
      <x:c r="D160" s="28" t="str">
        <x:v>Higiene e Limpeza</x:v>
      </x:c>
      <x:c r="E160" s="28" t="str">
        <x:v>SKU-078</x:v>
      </x:c>
      <x:c r="F160" s="32" t="n">
        <x:v>4447</x:v>
      </x:c>
      <x:c r="G160" s="32" t="n">
        <x:v>4320</x:v>
      </x:c>
      <x:c r="H160" s="32" t="n">
        <x:v>3980</x:v>
      </x:c>
      <x:c r="I160" s="32" t="n">
        <x:v>4136</x:v>
      </x:c>
      <x:c r="J160" s="28" t="str">
        <x:v>Semanal</x:v>
      </x:c>
      <x:c r="K160" s="28" t="str">
        <x:v>2024-S27</x:v>
      </x:c>
    </x:row>
    <x:row r="161">
      <x:c r="A161" s="34" t="n">
        <x:v>45474</x:v>
      </x:c>
      <x:c r="B161" s="28" t="str">
        <x:v>Grupo Industrial S.A.</x:v>
      </x:c>
      <x:c r="C161" s="28" t="str">
        <x:v>Planta Campinas</x:v>
      </x:c>
      <x:c r="D161" s="28" t="str">
        <x:v>Embalagens</x:v>
      </x:c>
      <x:c r="E161" s="28" t="str">
        <x:v>SKU-105</x:v>
      </x:c>
      <x:c r="F161" s="32" t="n">
        <x:v>3772</x:v>
      </x:c>
      <x:c r="G161" s="32" t="n">
        <x:v>3646</x:v>
      </x:c>
      <x:c r="H161" s="32" t="n">
        <x:v>3317</x:v>
      </x:c>
      <x:c r="I161" s="32" t="n">
        <x:v>3508</x:v>
      </x:c>
      <x:c r="J161" s="28" t="str">
        <x:v>Semanal</x:v>
      </x:c>
      <x:c r="K161" s="28" t="str">
        <x:v>2024-S27</x:v>
      </x:c>
    </x:row>
    <x:row r="162">
      <x:c r="A162" s="34" t="n">
        <x:v>45474</x:v>
      </x:c>
      <x:c r="B162" s="28" t="str">
        <x:v>Grupo Industrial S.A.</x:v>
      </x:c>
      <x:c r="C162" s="28" t="str">
        <x:v>Planta Curitiba</x:v>
      </x:c>
      <x:c r="D162" s="28" t="str">
        <x:v>Bebidas</x:v>
      </x:c>
      <x:c r="E162" s="28" t="str">
        <x:v>SKU-223</x:v>
      </x:c>
      <x:c r="F162" s="32" t="n">
        <x:v>4139</x:v>
      </x:c>
      <x:c r="G162" s="32" t="n">
        <x:v>4247</x:v>
      </x:c>
      <x:c r="H162" s="32" t="n">
        <x:v>3866</x:v>
      </x:c>
      <x:c r="I162" s="32" t="n">
        <x:v>3849</x:v>
      </x:c>
      <x:c r="J162" s="28" t="str">
        <x:v>Semanal</x:v>
      </x:c>
      <x:c r="K162" s="28" t="str">
        <x:v>2024-S27</x:v>
      </x:c>
    </x:row>
    <x:row r="163">
      <x:c r="A163" s="34" t="n">
        <x:v>45474</x:v>
      </x:c>
      <x:c r="B163" s="28" t="str">
        <x:v>Grupo Industrial S.A.</x:v>
      </x:c>
      <x:c r="C163" s="28" t="str">
        <x:v>Planta Curitiba</x:v>
      </x:c>
      <x:c r="D163" s="28" t="str">
        <x:v>Alimentos</x:v>
      </x:c>
      <x:c r="E163" s="28" t="str">
        <x:v>SKU-432</x:v>
      </x:c>
      <x:c r="F163" s="32" t="n">
        <x:v>3828</x:v>
      </x:c>
      <x:c r="G163" s="32" t="n">
        <x:v>3806</x:v>
      </x:c>
      <x:c r="H163" s="32" t="n">
        <x:v>3585</x:v>
      </x:c>
      <x:c r="I163" s="32" t="n">
        <x:v>3560</x:v>
      </x:c>
      <x:c r="J163" s="28" t="str">
        <x:v>Semanal</x:v>
      </x:c>
      <x:c r="K163" s="28" t="str">
        <x:v>2024-S27</x:v>
      </x:c>
    </x:row>
    <x:row r="164">
      <x:c r="A164" s="34" t="n">
        <x:v>45481</x:v>
      </x:c>
      <x:c r="B164" s="28" t="str">
        <x:v>Grupo Industrial S.A.</x:v>
      </x:c>
      <x:c r="C164" s="28" t="str">
        <x:v>Planta São Paulo</x:v>
      </x:c>
      <x:c r="D164" s="28" t="str">
        <x:v>Alimentos</x:v>
      </x:c>
      <x:c r="E164" s="28" t="str">
        <x:v>SKU-001</x:v>
      </x:c>
      <x:c r="F164" s="32" t="n">
        <x:v>6352</x:v>
      </x:c>
      <x:c r="G164" s="32" t="n">
        <x:v>6398</x:v>
      </x:c>
      <x:c r="H164" s="32" t="n">
        <x:v>5973</x:v>
      </x:c>
      <x:c r="I164" s="32" t="n">
        <x:v>5907</x:v>
      </x:c>
      <x:c r="J164" s="28" t="str">
        <x:v>Semanal</x:v>
      </x:c>
      <x:c r="K164" s="28" t="str">
        <x:v>2024-S28</x:v>
      </x:c>
    </x:row>
    <x:row r="165">
      <x:c r="A165" s="34" t="n">
        <x:v>45481</x:v>
      </x:c>
      <x:c r="B165" s="28" t="str">
        <x:v>Grupo Industrial S.A.</x:v>
      </x:c>
      <x:c r="C165" s="28" t="str">
        <x:v>Planta São Paulo</x:v>
      </x:c>
      <x:c r="D165" s="28" t="str">
        <x:v>Alimentos</x:v>
      </x:c>
      <x:c r="E165" s="28" t="str">
        <x:v>SKU-002</x:v>
      </x:c>
      <x:c r="F165" s="32" t="n">
        <x:v>5433</x:v>
      </x:c>
      <x:c r="G165" s="32" t="n">
        <x:v>5249</x:v>
      </x:c>
      <x:c r="H165" s="32" t="n">
        <x:v>4904</x:v>
      </x:c>
      <x:c r="I165" s="32" t="n">
        <x:v>5053</x:v>
      </x:c>
      <x:c r="J165" s="28" t="str">
        <x:v>Semanal</x:v>
      </x:c>
      <x:c r="K165" s="28" t="str">
        <x:v>2024-S28</x:v>
      </x:c>
    </x:row>
    <x:row r="166">
      <x:c r="A166" s="34" t="n">
        <x:v>45481</x:v>
      </x:c>
      <x:c r="B166" s="28" t="str">
        <x:v>Grupo Industrial S.A.</x:v>
      </x:c>
      <x:c r="C166" s="28" t="str">
        <x:v>Planta Campinas</x:v>
      </x:c>
      <x:c r="D166" s="28" t="str">
        <x:v>Higiene e Limpeza</x:v>
      </x:c>
      <x:c r="E166" s="28" t="str">
        <x:v>SKU-078</x:v>
      </x:c>
      <x:c r="F166" s="32" t="n">
        <x:v>4120</x:v>
      </x:c>
      <x:c r="G166" s="32" t="n">
        <x:v>4020</x:v>
      </x:c>
      <x:c r="H166" s="32" t="n">
        <x:v>3789</x:v>
      </x:c>
      <x:c r="I166" s="32" t="n">
        <x:v>3832</x:v>
      </x:c>
      <x:c r="J166" s="28" t="str">
        <x:v>Semanal</x:v>
      </x:c>
      <x:c r="K166" s="28" t="str">
        <x:v>2024-S28</x:v>
      </x:c>
    </x:row>
    <x:row r="167">
      <x:c r="A167" s="34" t="n">
        <x:v>45481</x:v>
      </x:c>
      <x:c r="B167" s="28" t="str">
        <x:v>Grupo Industrial S.A.</x:v>
      </x:c>
      <x:c r="C167" s="28" t="str">
        <x:v>Planta Campinas</x:v>
      </x:c>
      <x:c r="D167" s="28" t="str">
        <x:v>Embalagens</x:v>
      </x:c>
      <x:c r="E167" s="28" t="str">
        <x:v>SKU-105</x:v>
      </x:c>
      <x:c r="F167" s="32" t="n">
        <x:v>3819</x:v>
      </x:c>
      <x:c r="G167" s="32" t="n">
        <x:v>3636</x:v>
      </x:c>
      <x:c r="H167" s="32" t="n">
        <x:v>3434</x:v>
      </x:c>
      <x:c r="I167" s="32" t="n">
        <x:v>3552</x:v>
      </x:c>
      <x:c r="J167" s="28" t="str">
        <x:v>Semanal</x:v>
      </x:c>
      <x:c r="K167" s="28" t="str">
        <x:v>2024-S28</x:v>
      </x:c>
    </x:row>
    <x:row r="168">
      <x:c r="A168" s="34" t="n">
        <x:v>45481</x:v>
      </x:c>
      <x:c r="B168" s="28" t="str">
        <x:v>Grupo Industrial S.A.</x:v>
      </x:c>
      <x:c r="C168" s="28" t="str">
        <x:v>Planta Curitiba</x:v>
      </x:c>
      <x:c r="D168" s="28" t="str">
        <x:v>Bebidas</x:v>
      </x:c>
      <x:c r="E168" s="28" t="str">
        <x:v>SKU-223</x:v>
      </x:c>
      <x:c r="F168" s="32" t="n">
        <x:v>4410</x:v>
      </x:c>
      <x:c r="G168" s="32" t="n">
        <x:v>4421</x:v>
      </x:c>
      <x:c r="H168" s="32" t="n">
        <x:v>4120</x:v>
      </x:c>
      <x:c r="I168" s="32" t="n">
        <x:v>4101</x:v>
      </x:c>
      <x:c r="J168" s="28" t="str">
        <x:v>Semanal</x:v>
      </x:c>
      <x:c r="K168" s="28" t="str">
        <x:v>2024-S28</x:v>
      </x:c>
    </x:row>
    <x:row r="169">
      <x:c r="A169" s="34" t="n">
        <x:v>45481</x:v>
      </x:c>
      <x:c r="B169" s="28" t="str">
        <x:v>Grupo Industrial S.A.</x:v>
      </x:c>
      <x:c r="C169" s="28" t="str">
        <x:v>Planta Curitiba</x:v>
      </x:c>
      <x:c r="D169" s="28" t="str">
        <x:v>Alimentos</x:v>
      </x:c>
      <x:c r="E169" s="28" t="str">
        <x:v>SKU-432</x:v>
      </x:c>
      <x:c r="F169" s="32" t="n">
        <x:v>3973</x:v>
      </x:c>
      <x:c r="G169" s="32" t="n">
        <x:v>4080</x:v>
      </x:c>
      <x:c r="H169" s="32" t="n">
        <x:v>3703</x:v>
      </x:c>
      <x:c r="I169" s="32" t="n">
        <x:v>3695</x:v>
      </x:c>
      <x:c r="J169" s="28" t="str">
        <x:v>Semanal</x:v>
      </x:c>
      <x:c r="K169" s="28" t="str">
        <x:v>2024-S28</x:v>
      </x:c>
    </x:row>
    <x:row r="170">
      <x:c r="A170" s="34" t="n">
        <x:v>45488</x:v>
      </x:c>
      <x:c r="B170" s="28" t="str">
        <x:v>Grupo Industrial S.A.</x:v>
      </x:c>
      <x:c r="C170" s="28" t="str">
        <x:v>Planta São Paulo</x:v>
      </x:c>
      <x:c r="D170" s="28" t="str">
        <x:v>Alimentos</x:v>
      </x:c>
      <x:c r="E170" s="28" t="str">
        <x:v>SKU-001</x:v>
      </x:c>
      <x:c r="F170" s="32" t="n">
        <x:v>6150</x:v>
      </x:c>
      <x:c r="G170" s="32" t="n">
        <x:v>6185</x:v>
      </x:c>
      <x:c r="H170" s="32" t="n">
        <x:v>5959</x:v>
      </x:c>
      <x:c r="I170" s="32" t="n">
        <x:v>5720</x:v>
      </x:c>
      <x:c r="J170" s="28" t="str">
        <x:v>Semanal</x:v>
      </x:c>
      <x:c r="K170" s="28" t="str">
        <x:v>2024-S29</x:v>
      </x:c>
    </x:row>
    <x:row r="171">
      <x:c r="A171" s="34" t="n">
        <x:v>45488</x:v>
      </x:c>
      <x:c r="B171" s="28" t="str">
        <x:v>Grupo Industrial S.A.</x:v>
      </x:c>
      <x:c r="C171" s="28" t="str">
        <x:v>Planta São Paulo</x:v>
      </x:c>
      <x:c r="D171" s="28" t="str">
        <x:v>Alimentos</x:v>
      </x:c>
      <x:c r="E171" s="28" t="str">
        <x:v>SKU-002</x:v>
      </x:c>
      <x:c r="F171" s="32" t="n">
        <x:v>5351</x:v>
      </x:c>
      <x:c r="G171" s="32" t="n">
        <x:v>5152</x:v>
      </x:c>
      <x:c r="H171" s="32" t="n">
        <x:v>4971</x:v>
      </x:c>
      <x:c r="I171" s="32" t="n">
        <x:v>4976</x:v>
      </x:c>
      <x:c r="J171" s="28" t="str">
        <x:v>Semanal</x:v>
      </x:c>
      <x:c r="K171" s="28" t="str">
        <x:v>2024-S29</x:v>
      </x:c>
    </x:row>
    <x:row r="172">
      <x:c r="A172" s="34" t="n">
        <x:v>45488</x:v>
      </x:c>
      <x:c r="B172" s="28" t="str">
        <x:v>Grupo Industrial S.A.</x:v>
      </x:c>
      <x:c r="C172" s="28" t="str">
        <x:v>Planta Campinas</x:v>
      </x:c>
      <x:c r="D172" s="28" t="str">
        <x:v>Higiene e Limpeza</x:v>
      </x:c>
      <x:c r="E172" s="28" t="str">
        <x:v>SKU-078</x:v>
      </x:c>
      <x:c r="F172" s="32" t="n">
        <x:v>4314</x:v>
      </x:c>
      <x:c r="G172" s="32" t="n">
        <x:v>4116</x:v>
      </x:c>
      <x:c r="H172" s="32" t="n">
        <x:v>3798</x:v>
      </x:c>
      <x:c r="I172" s="32" t="n">
        <x:v>4012</x:v>
      </x:c>
      <x:c r="J172" s="28" t="str">
        <x:v>Semanal</x:v>
      </x:c>
      <x:c r="K172" s="28" t="str">
        <x:v>2024-S29</x:v>
      </x:c>
    </x:row>
    <x:row r="173">
      <x:c r="A173" s="34" t="n">
        <x:v>45488</x:v>
      </x:c>
      <x:c r="B173" s="28" t="str">
        <x:v>Grupo Industrial S.A.</x:v>
      </x:c>
      <x:c r="C173" s="28" t="str">
        <x:v>Planta Campinas</x:v>
      </x:c>
      <x:c r="D173" s="28" t="str">
        <x:v>Embalagens</x:v>
      </x:c>
      <x:c r="E173" s="28" t="str">
        <x:v>SKU-105</x:v>
      </x:c>
      <x:c r="F173" s="32" t="n">
        <x:v>3784</x:v>
      </x:c>
      <x:c r="G173" s="32" t="n">
        <x:v>3732</x:v>
      </x:c>
      <x:c r="H173" s="32" t="n">
        <x:v>3458</x:v>
      </x:c>
      <x:c r="I173" s="32" t="n">
        <x:v>3519</x:v>
      </x:c>
      <x:c r="J173" s="28" t="str">
        <x:v>Semanal</x:v>
      </x:c>
      <x:c r="K173" s="28" t="str">
        <x:v>2024-S29</x:v>
      </x:c>
    </x:row>
    <x:row r="174">
      <x:c r="A174" s="34" t="n">
        <x:v>45488</x:v>
      </x:c>
      <x:c r="B174" s="28" t="str">
        <x:v>Grupo Industrial S.A.</x:v>
      </x:c>
      <x:c r="C174" s="28" t="str">
        <x:v>Planta Curitiba</x:v>
      </x:c>
      <x:c r="D174" s="28" t="str">
        <x:v>Bebidas</x:v>
      </x:c>
      <x:c r="E174" s="28" t="str">
        <x:v>SKU-223</x:v>
      </x:c>
      <x:c r="F174" s="32" t="n">
        <x:v>4303</x:v>
      </x:c>
      <x:c r="G174" s="32" t="n">
        <x:v>4334</x:v>
      </x:c>
      <x:c r="H174" s="32" t="n">
        <x:v>4131</x:v>
      </x:c>
      <x:c r="I174" s="32" t="n">
        <x:v>4002</x:v>
      </x:c>
      <x:c r="J174" s="28" t="str">
        <x:v>Semanal</x:v>
      </x:c>
      <x:c r="K174" s="28" t="str">
        <x:v>2024-S29</x:v>
      </x:c>
    </x:row>
    <x:row r="175">
      <x:c r="A175" s="34" t="n">
        <x:v>45488</x:v>
      </x:c>
      <x:c r="B175" s="28" t="str">
        <x:v>Grupo Industrial S.A.</x:v>
      </x:c>
      <x:c r="C175" s="28" t="str">
        <x:v>Planta Curitiba</x:v>
      </x:c>
      <x:c r="D175" s="28" t="str">
        <x:v>Alimentos</x:v>
      </x:c>
      <x:c r="E175" s="28" t="str">
        <x:v>SKU-432</x:v>
      </x:c>
      <x:c r="F175" s="32" t="n">
        <x:v>3760</x:v>
      </x:c>
      <x:c r="G175" s="32" t="n">
        <x:v>3828</x:v>
      </x:c>
      <x:c r="H175" s="32" t="n">
        <x:v>3571</x:v>
      </x:c>
      <x:c r="I175" s="32" t="n">
        <x:v>3497</x:v>
      </x:c>
      <x:c r="J175" s="28" t="str">
        <x:v>Semanal</x:v>
      </x:c>
      <x:c r="K175" s="28" t="str">
        <x:v>2024-S29</x:v>
      </x:c>
    </x:row>
    <x:row r="176">
      <x:c r="A176" s="34" t="n">
        <x:v>45495</x:v>
      </x:c>
      <x:c r="B176" s="28" t="str">
        <x:v>Grupo Industrial S.A.</x:v>
      </x:c>
      <x:c r="C176" s="28" t="str">
        <x:v>Planta São Paulo</x:v>
      </x:c>
      <x:c r="D176" s="28" t="str">
        <x:v>Alimentos</x:v>
      </x:c>
      <x:c r="E176" s="28" t="str">
        <x:v>SKU-001</x:v>
      </x:c>
      <x:c r="F176" s="32" t="n">
        <x:v>5924</x:v>
      </x:c>
      <x:c r="G176" s="32" t="n">
        <x:v>5705</x:v>
      </x:c>
      <x:c r="H176" s="32" t="n">
        <x:v>5379</x:v>
      </x:c>
      <x:c r="I176" s="32" t="n">
        <x:v>5509</x:v>
      </x:c>
      <x:c r="J176" s="28" t="str">
        <x:v>Semanal</x:v>
      </x:c>
      <x:c r="K176" s="28" t="str">
        <x:v>2024-S30</x:v>
      </x:c>
    </x:row>
    <x:row r="177">
      <x:c r="A177" s="34" t="n">
        <x:v>45495</x:v>
      </x:c>
      <x:c r="B177" s="28" t="str">
        <x:v>Grupo Industrial S.A.</x:v>
      </x:c>
      <x:c r="C177" s="28" t="str">
        <x:v>Planta São Paulo</x:v>
      </x:c>
      <x:c r="D177" s="28" t="str">
        <x:v>Alimentos</x:v>
      </x:c>
      <x:c r="E177" s="28" t="str">
        <x:v>SKU-002</x:v>
      </x:c>
      <x:c r="F177" s="32" t="n">
        <x:v>5470</x:v>
      </x:c>
      <x:c r="G177" s="32" t="n">
        <x:v>5311</x:v>
      </x:c>
      <x:c r="H177" s="32" t="n">
        <x:v>4902</x:v>
      </x:c>
      <x:c r="I177" s="32" t="n">
        <x:v>5087</x:v>
      </x:c>
      <x:c r="J177" s="28" t="str">
        <x:v>Semanal</x:v>
      </x:c>
      <x:c r="K177" s="28" t="str">
        <x:v>2024-S30</x:v>
      </x:c>
    </x:row>
    <x:row r="178">
      <x:c r="A178" s="34" t="n">
        <x:v>45495</x:v>
      </x:c>
      <x:c r="B178" s="28" t="str">
        <x:v>Grupo Industrial S.A.</x:v>
      </x:c>
      <x:c r="C178" s="28" t="str">
        <x:v>Planta Campinas</x:v>
      </x:c>
      <x:c r="D178" s="28" t="str">
        <x:v>Higiene e Limpeza</x:v>
      </x:c>
      <x:c r="E178" s="28" t="str">
        <x:v>SKU-078</x:v>
      </x:c>
      <x:c r="F178" s="32" t="n">
        <x:v>4397</x:v>
      </x:c>
      <x:c r="G178" s="32" t="n">
        <x:v>4349</x:v>
      </x:c>
      <x:c r="H178" s="32" t="n">
        <x:v>4138</x:v>
      </x:c>
      <x:c r="I178" s="32" t="n">
        <x:v>4089</x:v>
      </x:c>
      <x:c r="J178" s="28" t="str">
        <x:v>Semanal</x:v>
      </x:c>
      <x:c r="K178" s="28" t="str">
        <x:v>2024-S30</x:v>
      </x:c>
    </x:row>
    <x:row r="179">
      <x:c r="A179" s="34" t="n">
        <x:v>45495</x:v>
      </x:c>
      <x:c r="B179" s="28" t="str">
        <x:v>Grupo Industrial S.A.</x:v>
      </x:c>
      <x:c r="C179" s="28" t="str">
        <x:v>Planta Campinas</x:v>
      </x:c>
      <x:c r="D179" s="28" t="str">
        <x:v>Embalagens</x:v>
      </x:c>
      <x:c r="E179" s="28" t="str">
        <x:v>SKU-105</x:v>
      </x:c>
      <x:c r="F179" s="32" t="n">
        <x:v>3883</x:v>
      </x:c>
      <x:c r="G179" s="32" t="n">
        <x:v>3718</x:v>
      </x:c>
      <x:c r="H179" s="32" t="n">
        <x:v>3549</x:v>
      </x:c>
      <x:c r="I179" s="32" t="n">
        <x:v>3611</x:v>
      </x:c>
      <x:c r="J179" s="28" t="str">
        <x:v>Semanal</x:v>
      </x:c>
      <x:c r="K179" s="28" t="str">
        <x:v>2024-S30</x:v>
      </x:c>
    </x:row>
    <x:row r="180">
      <x:c r="A180" s="34" t="n">
        <x:v>45495</x:v>
      </x:c>
      <x:c r="B180" s="28" t="str">
        <x:v>Grupo Industrial S.A.</x:v>
      </x:c>
      <x:c r="C180" s="28" t="str">
        <x:v>Planta Curitiba</x:v>
      </x:c>
      <x:c r="D180" s="28" t="str">
        <x:v>Bebidas</x:v>
      </x:c>
      <x:c r="E180" s="28" t="str">
        <x:v>SKU-223</x:v>
      </x:c>
      <x:c r="F180" s="32" t="n">
        <x:v>4501</x:v>
      </x:c>
      <x:c r="G180" s="32" t="n">
        <x:v>4562</x:v>
      </x:c>
      <x:c r="H180" s="32" t="n">
        <x:v>4182</x:v>
      </x:c>
      <x:c r="I180" s="32" t="n">
        <x:v>4186</x:v>
      </x:c>
      <x:c r="J180" s="28" t="str">
        <x:v>Semanal</x:v>
      </x:c>
      <x:c r="K180" s="28" t="str">
        <x:v>2024-S30</x:v>
      </x:c>
    </x:row>
    <x:row r="181">
      <x:c r="A181" s="34" t="n">
        <x:v>45495</x:v>
      </x:c>
      <x:c r="B181" s="28" t="str">
        <x:v>Grupo Industrial S.A.</x:v>
      </x:c>
      <x:c r="C181" s="28" t="str">
        <x:v>Planta Curitiba</x:v>
      </x:c>
      <x:c r="D181" s="28" t="str">
        <x:v>Alimentos</x:v>
      </x:c>
      <x:c r="E181" s="28" t="str">
        <x:v>SKU-432</x:v>
      </x:c>
      <x:c r="F181" s="32" t="n">
        <x:v>3682</x:v>
      </x:c>
      <x:c r="G181" s="32" t="n">
        <x:v>3658</x:v>
      </x:c>
      <x:c r="H181" s="32" t="n">
        <x:v>3427</x:v>
      </x:c>
      <x:c r="I181" s="32" t="n">
        <x:v>3424</x:v>
      </x:c>
      <x:c r="J181" s="28" t="str">
        <x:v>Semanal</x:v>
      </x:c>
      <x:c r="K181" s="28" t="str">
        <x:v>2024-S30</x:v>
      </x:c>
    </x:row>
    <x:row r="182">
      <x:c r="A182" s="34" t="n">
        <x:v>45502</x:v>
      </x:c>
      <x:c r="B182" s="28" t="str">
        <x:v>Grupo Industrial S.A.</x:v>
      </x:c>
      <x:c r="C182" s="28" t="str">
        <x:v>Planta São Paulo</x:v>
      </x:c>
      <x:c r="D182" s="28" t="str">
        <x:v>Alimentos</x:v>
      </x:c>
      <x:c r="E182" s="28" t="str">
        <x:v>SKU-001</x:v>
      </x:c>
      <x:c r="F182" s="32" t="n">
        <x:v>5958</x:v>
      </x:c>
      <x:c r="G182" s="32" t="n">
        <x:v>5845</x:v>
      </x:c>
      <x:c r="H182" s="32" t="n">
        <x:v>5528</x:v>
      </x:c>
      <x:c r="I182" s="32" t="n">
        <x:v>5541</x:v>
      </x:c>
      <x:c r="J182" s="28" t="str">
        <x:v>Semanal</x:v>
      </x:c>
      <x:c r="K182" s="28" t="str">
        <x:v>2024-S31</x:v>
      </x:c>
    </x:row>
    <x:row r="183">
      <x:c r="A183" s="34" t="n">
        <x:v>45502</x:v>
      </x:c>
      <x:c r="B183" s="28" t="str">
        <x:v>Grupo Industrial S.A.</x:v>
      </x:c>
      <x:c r="C183" s="28" t="str">
        <x:v>Planta São Paulo</x:v>
      </x:c>
      <x:c r="D183" s="28" t="str">
        <x:v>Alimentos</x:v>
      </x:c>
      <x:c r="E183" s="28" t="str">
        <x:v>SKU-002</x:v>
      </x:c>
      <x:c r="F183" s="32" t="n">
        <x:v>5446</x:v>
      </x:c>
      <x:c r="G183" s="32" t="n">
        <x:v>5420</x:v>
      </x:c>
      <x:c r="H183" s="32" t="n">
        <x:v>5130</x:v>
      </x:c>
      <x:c r="I183" s="32" t="n">
        <x:v>5065</x:v>
      </x:c>
      <x:c r="J183" s="28" t="str">
        <x:v>Semanal</x:v>
      </x:c>
      <x:c r="K183" s="28" t="str">
        <x:v>2024-S31</x:v>
      </x:c>
    </x:row>
    <x:row r="184">
      <x:c r="A184" s="34" t="n">
        <x:v>45502</x:v>
      </x:c>
      <x:c r="B184" s="28" t="str">
        <x:v>Grupo Industrial S.A.</x:v>
      </x:c>
      <x:c r="C184" s="28" t="str">
        <x:v>Planta Campinas</x:v>
      </x:c>
      <x:c r="D184" s="28" t="str">
        <x:v>Higiene e Limpeza</x:v>
      </x:c>
      <x:c r="E184" s="28" t="str">
        <x:v>SKU-078</x:v>
      </x:c>
      <x:c r="F184" s="32" t="n">
        <x:v>4249</x:v>
      </x:c>
      <x:c r="G184" s="32" t="n">
        <x:v>4202</x:v>
      </x:c>
      <x:c r="H184" s="32" t="n">
        <x:v>3806</x:v>
      </x:c>
      <x:c r="I184" s="32" t="n">
        <x:v>3952</x:v>
      </x:c>
      <x:c r="J184" s="28" t="str">
        <x:v>Semanal</x:v>
      </x:c>
      <x:c r="K184" s="28" t="str">
        <x:v>2024-S31</x:v>
      </x:c>
    </x:row>
    <x:row r="185">
      <x:c r="A185" s="34" t="n">
        <x:v>45502</x:v>
      </x:c>
      <x:c r="B185" s="28" t="str">
        <x:v>Grupo Industrial S.A.</x:v>
      </x:c>
      <x:c r="C185" s="28" t="str">
        <x:v>Planta Campinas</x:v>
      </x:c>
      <x:c r="D185" s="28" t="str">
        <x:v>Embalagens</x:v>
      </x:c>
      <x:c r="E185" s="28" t="str">
        <x:v>SKU-105</x:v>
      </x:c>
      <x:c r="F185" s="32" t="n">
        <x:v>3789</x:v>
      </x:c>
      <x:c r="G185" s="32" t="n">
        <x:v>3676</x:v>
      </x:c>
      <x:c r="H185" s="32" t="n">
        <x:v>3374</x:v>
      </x:c>
      <x:c r="I185" s="32" t="n">
        <x:v>3524</x:v>
      </x:c>
      <x:c r="J185" s="28" t="str">
        <x:v>Semanal</x:v>
      </x:c>
      <x:c r="K185" s="28" t="str">
        <x:v>2024-S31</x:v>
      </x:c>
    </x:row>
    <x:row r="186">
      <x:c r="A186" s="34" t="n">
        <x:v>45502</x:v>
      </x:c>
      <x:c r="B186" s="28" t="str">
        <x:v>Grupo Industrial S.A.</x:v>
      </x:c>
      <x:c r="C186" s="28" t="str">
        <x:v>Planta Curitiba</x:v>
      </x:c>
      <x:c r="D186" s="28" t="str">
        <x:v>Bebidas</x:v>
      </x:c>
      <x:c r="E186" s="28" t="str">
        <x:v>SKU-223</x:v>
      </x:c>
      <x:c r="F186" s="32" t="n">
        <x:v>4427</x:v>
      </x:c>
      <x:c r="G186" s="32" t="n">
        <x:v>4407</x:v>
      </x:c>
      <x:c r="H186" s="32" t="n">
        <x:v>4082</x:v>
      </x:c>
      <x:c r="I186" s="32" t="n">
        <x:v>4117</x:v>
      </x:c>
      <x:c r="J186" s="28" t="str">
        <x:v>Semanal</x:v>
      </x:c>
      <x:c r="K186" s="28" t="str">
        <x:v>2024-S31</x:v>
      </x:c>
    </x:row>
    <x:row r="187">
      <x:c r="A187" s="34" t="n">
        <x:v>45502</x:v>
      </x:c>
      <x:c r="B187" s="28" t="str">
        <x:v>Grupo Industrial S.A.</x:v>
      </x:c>
      <x:c r="C187" s="28" t="str">
        <x:v>Planta Curitiba</x:v>
      </x:c>
      <x:c r="D187" s="28" t="str">
        <x:v>Alimentos</x:v>
      </x:c>
      <x:c r="E187" s="28" t="str">
        <x:v>SKU-432</x:v>
      </x:c>
      <x:c r="F187" s="32" t="n">
        <x:v>3948</x:v>
      </x:c>
      <x:c r="G187" s="32" t="n">
        <x:v>3969</x:v>
      </x:c>
      <x:c r="H187" s="32" t="n">
        <x:v>3657</x:v>
      </x:c>
      <x:c r="I187" s="32" t="n">
        <x:v>3672</x:v>
      </x:c>
      <x:c r="J187" s="28" t="str">
        <x:v>Semanal</x:v>
      </x:c>
      <x:c r="K187" s="28" t="str">
        <x:v>2024-S31</x:v>
      </x:c>
    </x:row>
    <x:row r="188">
      <x:c r="A188" s="34" t="n">
        <x:v>45509</x:v>
      </x:c>
      <x:c r="B188" s="28" t="str">
        <x:v>Grupo Industrial S.A.</x:v>
      </x:c>
      <x:c r="C188" s="28" t="str">
        <x:v>Planta São Paulo</x:v>
      </x:c>
      <x:c r="D188" s="28" t="str">
        <x:v>Alimentos</x:v>
      </x:c>
      <x:c r="E188" s="28" t="str">
        <x:v>SKU-001</x:v>
      </x:c>
      <x:c r="F188" s="32" t="n">
        <x:v>6493</x:v>
      </x:c>
      <x:c r="G188" s="32" t="n">
        <x:v>6313</x:v>
      </x:c>
      <x:c r="H188" s="32" t="n">
        <x:v>5797</x:v>
      </x:c>
      <x:c r="I188" s="32" t="n">
        <x:v>6038</x:v>
      </x:c>
      <x:c r="J188" s="28" t="str">
        <x:v>Semanal</x:v>
      </x:c>
      <x:c r="K188" s="28" t="str">
        <x:v>2024-S32</x:v>
      </x:c>
    </x:row>
    <x:row r="189">
      <x:c r="A189" s="34" t="n">
        <x:v>45509</x:v>
      </x:c>
      <x:c r="B189" s="28" t="str">
        <x:v>Grupo Industrial S.A.</x:v>
      </x:c>
      <x:c r="C189" s="28" t="str">
        <x:v>Planta São Paulo</x:v>
      </x:c>
      <x:c r="D189" s="28" t="str">
        <x:v>Alimentos</x:v>
      </x:c>
      <x:c r="E189" s="28" t="str">
        <x:v>SKU-002</x:v>
      </x:c>
      <x:c r="F189" s="32" t="n">
        <x:v>5778</x:v>
      </x:c>
      <x:c r="G189" s="32" t="n">
        <x:v>5633</x:v>
      </x:c>
      <x:c r="H189" s="32" t="n">
        <x:v>5165</x:v>
      </x:c>
      <x:c r="I189" s="32" t="n">
        <x:v>5374</x:v>
      </x:c>
      <x:c r="J189" s="28" t="str">
        <x:v>Semanal</x:v>
      </x:c>
      <x:c r="K189" s="28" t="str">
        <x:v>2024-S32</x:v>
      </x:c>
    </x:row>
    <x:row r="190">
      <x:c r="A190" s="34" t="n">
        <x:v>45509</x:v>
      </x:c>
      <x:c r="B190" s="28" t="str">
        <x:v>Grupo Industrial S.A.</x:v>
      </x:c>
      <x:c r="C190" s="28" t="str">
        <x:v>Planta Campinas</x:v>
      </x:c>
      <x:c r="D190" s="28" t="str">
        <x:v>Higiene e Limpeza</x:v>
      </x:c>
      <x:c r="E190" s="28" t="str">
        <x:v>SKU-078</x:v>
      </x:c>
      <x:c r="F190" s="32" t="n">
        <x:v>4458</x:v>
      </x:c>
      <x:c r="G190" s="32" t="n">
        <x:v>4341</x:v>
      </x:c>
      <x:c r="H190" s="32" t="n">
        <x:v>4094</x:v>
      </x:c>
      <x:c r="I190" s="32" t="n">
        <x:v>4146</x:v>
      </x:c>
      <x:c r="J190" s="28" t="str">
        <x:v>Semanal</x:v>
      </x:c>
      <x:c r="K190" s="28" t="str">
        <x:v>2024-S32</x:v>
      </x:c>
    </x:row>
    <x:row r="191">
      <x:c r="A191" s="34" t="n">
        <x:v>45509</x:v>
      </x:c>
      <x:c r="B191" s="28" t="str">
        <x:v>Grupo Industrial S.A.</x:v>
      </x:c>
      <x:c r="C191" s="28" t="str">
        <x:v>Planta Campinas</x:v>
      </x:c>
      <x:c r="D191" s="28" t="str">
        <x:v>Embalagens</x:v>
      </x:c>
      <x:c r="E191" s="28" t="str">
        <x:v>SKU-105</x:v>
      </x:c>
      <x:c r="F191" s="32" t="n">
        <x:v>3980</x:v>
      </x:c>
      <x:c r="G191" s="32" t="n">
        <x:v>3791</x:v>
      </x:c>
      <x:c r="H191" s="32" t="n">
        <x:v>3460</x:v>
      </x:c>
      <x:c r="I191" s="32" t="n">
        <x:v>3701</x:v>
      </x:c>
      <x:c r="J191" s="28" t="str">
        <x:v>Semanal</x:v>
      </x:c>
      <x:c r="K191" s="28" t="str">
        <x:v>2024-S32</x:v>
      </x:c>
    </x:row>
    <x:row r="192">
      <x:c r="A192" s="34" t="n">
        <x:v>45509</x:v>
      </x:c>
      <x:c r="B192" s="28" t="str">
        <x:v>Grupo Industrial S.A.</x:v>
      </x:c>
      <x:c r="C192" s="28" t="str">
        <x:v>Planta Curitiba</x:v>
      </x:c>
      <x:c r="D192" s="28" t="str">
        <x:v>Bebidas</x:v>
      </x:c>
      <x:c r="E192" s="28" t="str">
        <x:v>SKU-223</x:v>
      </x:c>
      <x:c r="F192" s="32" t="n">
        <x:v>4743</x:v>
      </x:c>
      <x:c r="G192" s="32" t="n">
        <x:v>4748</x:v>
      </x:c>
      <x:c r="H192" s="32" t="n">
        <x:v>4442</x:v>
      </x:c>
      <x:c r="I192" s="32" t="n">
        <x:v>4411</x:v>
      </x:c>
      <x:c r="J192" s="28" t="str">
        <x:v>Semanal</x:v>
      </x:c>
      <x:c r="K192" s="28" t="str">
        <x:v>2024-S32</x:v>
      </x:c>
    </x:row>
    <x:row r="193">
      <x:c r="A193" s="34" t="n">
        <x:v>45509</x:v>
      </x:c>
      <x:c r="B193" s="28" t="str">
        <x:v>Grupo Industrial S.A.</x:v>
      </x:c>
      <x:c r="C193" s="28" t="str">
        <x:v>Planta Curitiba</x:v>
      </x:c>
      <x:c r="D193" s="28" t="str">
        <x:v>Alimentos</x:v>
      </x:c>
      <x:c r="E193" s="28" t="str">
        <x:v>SKU-432</x:v>
      </x:c>
      <x:c r="F193" s="32" t="n">
        <x:v>4022</x:v>
      </x:c>
      <x:c r="G193" s="32" t="n">
        <x:v>4065</x:v>
      </x:c>
      <x:c r="H193" s="32" t="n">
        <x:v>3844</x:v>
      </x:c>
      <x:c r="I193" s="32" t="n">
        <x:v>3740</x:v>
      </x:c>
      <x:c r="J193" s="28" t="str">
        <x:v>Semanal</x:v>
      </x:c>
      <x:c r="K193" s="28" t="str">
        <x:v>2024-S32</x:v>
      </x:c>
    </x:row>
    <x:row r="194">
      <x:c r="A194" s="34" t="n">
        <x:v>45516</x:v>
      </x:c>
      <x:c r="B194" s="28" t="str">
        <x:v>Grupo Industrial S.A.</x:v>
      </x:c>
      <x:c r="C194" s="28" t="str">
        <x:v>Planta São Paulo</x:v>
      </x:c>
      <x:c r="D194" s="28" t="str">
        <x:v>Alimentos</x:v>
      </x:c>
      <x:c r="E194" s="28" t="str">
        <x:v>SKU-001</x:v>
      </x:c>
      <x:c r="F194" s="32" t="n">
        <x:v>6392</x:v>
      </x:c>
      <x:c r="G194" s="32" t="n">
        <x:v>6368</x:v>
      </x:c>
      <x:c r="H194" s="32" t="n">
        <x:v>5826</x:v>
      </x:c>
      <x:c r="I194" s="32" t="n">
        <x:v>5945</x:v>
      </x:c>
      <x:c r="J194" s="28" t="str">
        <x:v>Semanal</x:v>
      </x:c>
      <x:c r="K194" s="28" t="str">
        <x:v>2024-S33</x:v>
      </x:c>
    </x:row>
    <x:row r="195">
      <x:c r="A195" s="34" t="n">
        <x:v>45516</x:v>
      </x:c>
      <x:c r="B195" s="28" t="str">
        <x:v>Grupo Industrial S.A.</x:v>
      </x:c>
      <x:c r="C195" s="28" t="str">
        <x:v>Planta São Paulo</x:v>
      </x:c>
      <x:c r="D195" s="28" t="str">
        <x:v>Alimentos</x:v>
      </x:c>
      <x:c r="E195" s="28" t="str">
        <x:v>SKU-002</x:v>
      </x:c>
      <x:c r="F195" s="32" t="n">
        <x:v>5651</x:v>
      </x:c>
      <x:c r="G195" s="32" t="n">
        <x:v>5462</x:v>
      </x:c>
      <x:c r="H195" s="32" t="n">
        <x:v>5126</x:v>
      </x:c>
      <x:c r="I195" s="32" t="n">
        <x:v>5255</x:v>
      </x:c>
      <x:c r="J195" s="28" t="str">
        <x:v>Semanal</x:v>
      </x:c>
      <x:c r="K195" s="28" t="str">
        <x:v>2024-S33</x:v>
      </x:c>
    </x:row>
    <x:row r="196">
      <x:c r="A196" s="34" t="n">
        <x:v>45516</x:v>
      </x:c>
      <x:c r="B196" s="28" t="str">
        <x:v>Grupo Industrial S.A.</x:v>
      </x:c>
      <x:c r="C196" s="28" t="str">
        <x:v>Planta Campinas</x:v>
      </x:c>
      <x:c r="D196" s="28" t="str">
        <x:v>Higiene e Limpeza</x:v>
      </x:c>
      <x:c r="E196" s="28" t="str">
        <x:v>SKU-078</x:v>
      </x:c>
      <x:c r="F196" s="32" t="n">
        <x:v>4383</x:v>
      </x:c>
      <x:c r="G196" s="32" t="n">
        <x:v>4187</x:v>
      </x:c>
      <x:c r="H196" s="32" t="n">
        <x:v>3960</x:v>
      </x:c>
      <x:c r="I196" s="32" t="n">
        <x:v>4076</x:v>
      </x:c>
      <x:c r="J196" s="28" t="str">
        <x:v>Semanal</x:v>
      </x:c>
      <x:c r="K196" s="28" t="str">
        <x:v>2024-S33</x:v>
      </x:c>
    </x:row>
    <x:row r="197">
      <x:c r="A197" s="34" t="n">
        <x:v>45516</x:v>
      </x:c>
      <x:c r="B197" s="28" t="str">
        <x:v>Grupo Industrial S.A.</x:v>
      </x:c>
      <x:c r="C197" s="28" t="str">
        <x:v>Planta Campinas</x:v>
      </x:c>
      <x:c r="D197" s="28" t="str">
        <x:v>Embalagens</x:v>
      </x:c>
      <x:c r="E197" s="28" t="str">
        <x:v>SKU-105</x:v>
      </x:c>
      <x:c r="F197" s="32" t="n">
        <x:v>4228</x:v>
      </x:c>
      <x:c r="G197" s="32" t="n">
        <x:v>4115</x:v>
      </x:c>
      <x:c r="H197" s="32" t="n">
        <x:v>3758</x:v>
      </x:c>
      <x:c r="I197" s="32" t="n">
        <x:v>3932</x:v>
      </x:c>
      <x:c r="J197" s="28" t="str">
        <x:v>Semanal</x:v>
      </x:c>
      <x:c r="K197" s="28" t="str">
        <x:v>2024-S33</x:v>
      </x:c>
    </x:row>
    <x:row r="198">
      <x:c r="A198" s="34" t="n">
        <x:v>45516</x:v>
      </x:c>
      <x:c r="B198" s="28" t="str">
        <x:v>Grupo Industrial S.A.</x:v>
      </x:c>
      <x:c r="C198" s="28" t="str">
        <x:v>Planta Curitiba</x:v>
      </x:c>
      <x:c r="D198" s="28" t="str">
        <x:v>Bebidas</x:v>
      </x:c>
      <x:c r="E198" s="28" t="str">
        <x:v>SKU-223</x:v>
      </x:c>
      <x:c r="F198" s="32" t="n">
        <x:v>4397</x:v>
      </x:c>
      <x:c r="G198" s="32" t="n">
        <x:v>4402</x:v>
      </x:c>
      <x:c r="H198" s="32" t="n">
        <x:v>4113</x:v>
      </x:c>
      <x:c r="I198" s="32" t="n">
        <x:v>4089</x:v>
      </x:c>
      <x:c r="J198" s="28" t="str">
        <x:v>Semanal</x:v>
      </x:c>
      <x:c r="K198" s="28" t="str">
        <x:v>2024-S33</x:v>
      </x:c>
    </x:row>
    <x:row r="199">
      <x:c r="A199" s="34" t="n">
        <x:v>45516</x:v>
      </x:c>
      <x:c r="B199" s="28" t="str">
        <x:v>Grupo Industrial S.A.</x:v>
      </x:c>
      <x:c r="C199" s="28" t="str">
        <x:v>Planta Curitiba</x:v>
      </x:c>
      <x:c r="D199" s="28" t="str">
        <x:v>Alimentos</x:v>
      </x:c>
      <x:c r="E199" s="28" t="str">
        <x:v>SKU-432</x:v>
      </x:c>
      <x:c r="F199" s="32" t="n">
        <x:v>4076</x:v>
      </x:c>
      <x:c r="G199" s="32" t="n">
        <x:v>4042</x:v>
      </x:c>
      <x:c r="H199" s="32" t="n">
        <x:v>3734</x:v>
      </x:c>
      <x:c r="I199" s="32" t="n">
        <x:v>3791</x:v>
      </x:c>
      <x:c r="J199" s="28" t="str">
        <x:v>Semanal</x:v>
      </x:c>
      <x:c r="K199" s="28" t="str">
        <x:v>2024-S33</x:v>
      </x:c>
    </x:row>
    <x:row r="200">
      <x:c r="A200" s="34" t="n">
        <x:v>45523</x:v>
      </x:c>
      <x:c r="B200" s="28" t="str">
        <x:v>Grupo Industrial S.A.</x:v>
      </x:c>
      <x:c r="C200" s="28" t="str">
        <x:v>Planta São Paulo</x:v>
      </x:c>
      <x:c r="D200" s="28" t="str">
        <x:v>Alimentos</x:v>
      </x:c>
      <x:c r="E200" s="28" t="str">
        <x:v>SKU-001</x:v>
      </x:c>
      <x:c r="F200" s="32" t="n">
        <x:v>6252</x:v>
      </x:c>
      <x:c r="G200" s="32" t="n">
        <x:v>6302</x:v>
      </x:c>
      <x:c r="H200" s="32" t="n">
        <x:v>5925</x:v>
      </x:c>
      <x:c r="I200" s="32" t="n">
        <x:v>5814</x:v>
      </x:c>
      <x:c r="J200" s="28" t="str">
        <x:v>Semanal</x:v>
      </x:c>
      <x:c r="K200" s="28" t="str">
        <x:v>2024-S34</x:v>
      </x:c>
    </x:row>
    <x:row r="201">
      <x:c r="A201" s="34" t="n">
        <x:v>45523</x:v>
      </x:c>
      <x:c r="B201" s="28" t="str">
        <x:v>Grupo Industrial S.A.</x:v>
      </x:c>
      <x:c r="C201" s="28" t="str">
        <x:v>Planta São Paulo</x:v>
      </x:c>
      <x:c r="D201" s="28" t="str">
        <x:v>Alimentos</x:v>
      </x:c>
      <x:c r="E201" s="28" t="str">
        <x:v>SKU-002</x:v>
      </x:c>
      <x:c r="F201" s="32" t="n">
        <x:v>5497</x:v>
      </x:c>
      <x:c r="G201" s="32" t="n">
        <x:v>5309</x:v>
      </x:c>
      <x:c r="H201" s="32" t="n">
        <x:v>4980</x:v>
      </x:c>
      <x:c r="I201" s="32" t="n">
        <x:v>5112</x:v>
      </x:c>
      <x:c r="J201" s="28" t="str">
        <x:v>Semanal</x:v>
      </x:c>
      <x:c r="K201" s="28" t="str">
        <x:v>2024-S34</x:v>
      </x:c>
    </x:row>
    <x:row r="202">
      <x:c r="A202" s="34" t="n">
        <x:v>45523</x:v>
      </x:c>
      <x:c r="B202" s="28" t="str">
        <x:v>Grupo Industrial S.A.</x:v>
      </x:c>
      <x:c r="C202" s="28" t="str">
        <x:v>Planta Campinas</x:v>
      </x:c>
      <x:c r="D202" s="28" t="str">
        <x:v>Higiene e Limpeza</x:v>
      </x:c>
      <x:c r="E202" s="28" t="str">
        <x:v>SKU-078</x:v>
      </x:c>
      <x:c r="F202" s="32" t="n">
        <x:v>4404</x:v>
      </x:c>
      <x:c r="G202" s="32" t="n">
        <x:v>4248</x:v>
      </x:c>
      <x:c r="H202" s="32" t="n">
        <x:v>4095</x:v>
      </x:c>
      <x:c r="I202" s="32" t="n">
        <x:v>4096</x:v>
      </x:c>
      <x:c r="J202" s="28" t="str">
        <x:v>Semanal</x:v>
      </x:c>
      <x:c r="K202" s="28" t="str">
        <x:v>2024-S34</x:v>
      </x:c>
    </x:row>
    <x:row r="203">
      <x:c r="A203" s="34" t="n">
        <x:v>45523</x:v>
      </x:c>
      <x:c r="B203" s="28" t="str">
        <x:v>Grupo Industrial S.A.</x:v>
      </x:c>
      <x:c r="C203" s="28" t="str">
        <x:v>Planta Campinas</x:v>
      </x:c>
      <x:c r="D203" s="28" t="str">
        <x:v>Embalagens</x:v>
      </x:c>
      <x:c r="E203" s="28" t="str">
        <x:v>SKU-105</x:v>
      </x:c>
      <x:c r="F203" s="32" t="n">
        <x:v>4057</x:v>
      </x:c>
      <x:c r="G203" s="32" t="n">
        <x:v>4009</x:v>
      </x:c>
      <x:c r="H203" s="32" t="n">
        <x:v>3732</x:v>
      </x:c>
      <x:c r="I203" s="32" t="n">
        <x:v>3773</x:v>
      </x:c>
      <x:c r="J203" s="28" t="str">
        <x:v>Semanal</x:v>
      </x:c>
      <x:c r="K203" s="28" t="str">
        <x:v>2024-S34</x:v>
      </x:c>
    </x:row>
    <x:row r="204">
      <x:c r="A204" s="34" t="n">
        <x:v>45523</x:v>
      </x:c>
      <x:c r="B204" s="28" t="str">
        <x:v>Grupo Industrial S.A.</x:v>
      </x:c>
      <x:c r="C204" s="28" t="str">
        <x:v>Planta Curitiba</x:v>
      </x:c>
      <x:c r="D204" s="28" t="str">
        <x:v>Bebidas</x:v>
      </x:c>
      <x:c r="E204" s="28" t="str">
        <x:v>SKU-223</x:v>
      </x:c>
      <x:c r="F204" s="32" t="n">
        <x:v>4551</x:v>
      </x:c>
      <x:c r="G204" s="32" t="n">
        <x:v>4513</x:v>
      </x:c>
      <x:c r="H204" s="32" t="n">
        <x:v>4308</x:v>
      </x:c>
      <x:c r="I204" s="32" t="n">
        <x:v>4232</x:v>
      </x:c>
      <x:c r="J204" s="28" t="str">
        <x:v>Semanal</x:v>
      </x:c>
      <x:c r="K204" s="28" t="str">
        <x:v>2024-S34</x:v>
      </x:c>
    </x:row>
    <x:row r="205">
      <x:c r="A205" s="34" t="n">
        <x:v>45523</x:v>
      </x:c>
      <x:c r="B205" s="28" t="str">
        <x:v>Grupo Industrial S.A.</x:v>
      </x:c>
      <x:c r="C205" s="28" t="str">
        <x:v>Planta Curitiba</x:v>
      </x:c>
      <x:c r="D205" s="28" t="str">
        <x:v>Alimentos</x:v>
      </x:c>
      <x:c r="E205" s="28" t="str">
        <x:v>SKU-432</x:v>
      </x:c>
      <x:c r="F205" s="32" t="n">
        <x:v>4143</x:v>
      </x:c>
      <x:c r="G205" s="32" t="n">
        <x:v>4089</x:v>
      </x:c>
      <x:c r="H205" s="32" t="n">
        <x:v>3823</x:v>
      </x:c>
      <x:c r="I205" s="32" t="n">
        <x:v>3853</x:v>
      </x:c>
      <x:c r="J205" s="28" t="str">
        <x:v>Semanal</x:v>
      </x:c>
      <x:c r="K205" s="28" t="str">
        <x:v>2024-S34</x:v>
      </x:c>
    </x:row>
    <x:row r="206">
      <x:c r="A206" s="34" t="n">
        <x:v>45530</x:v>
      </x:c>
      <x:c r="B206" s="28" t="str">
        <x:v>Grupo Industrial S.A.</x:v>
      </x:c>
      <x:c r="C206" s="28" t="str">
        <x:v>Planta São Paulo</x:v>
      </x:c>
      <x:c r="D206" s="28" t="str">
        <x:v>Alimentos</x:v>
      </x:c>
      <x:c r="E206" s="28" t="str">
        <x:v>SKU-001</x:v>
      </x:c>
      <x:c r="F206" s="32" t="n">
        <x:v>6455</x:v>
      </x:c>
      <x:c r="G206" s="32" t="n">
        <x:v>6231</x:v>
      </x:c>
      <x:c r="H206" s="32" t="n">
        <x:v>5849</x:v>
      </x:c>
      <x:c r="I206" s="32" t="n">
        <x:v>6003</x:v>
      </x:c>
      <x:c r="J206" s="28" t="str">
        <x:v>Semanal</x:v>
      </x:c>
      <x:c r="K206" s="28" t="str">
        <x:v>2024-S35</x:v>
      </x:c>
    </x:row>
    <x:row r="207">
      <x:c r="A207" s="34" t="n">
        <x:v>45530</x:v>
      </x:c>
      <x:c r="B207" s="28" t="str">
        <x:v>Grupo Industrial S.A.</x:v>
      </x:c>
      <x:c r="C207" s="28" t="str">
        <x:v>Planta São Paulo</x:v>
      </x:c>
      <x:c r="D207" s="28" t="str">
        <x:v>Alimentos</x:v>
      </x:c>
      <x:c r="E207" s="28" t="str">
        <x:v>SKU-002</x:v>
      </x:c>
      <x:c r="F207" s="32" t="n">
        <x:v>5403</x:v>
      </x:c>
      <x:c r="G207" s="32" t="n">
        <x:v>5201</x:v>
      </x:c>
      <x:c r="H207" s="32" t="n">
        <x:v>4709</x:v>
      </x:c>
      <x:c r="I207" s="32" t="n">
        <x:v>5025</x:v>
      </x:c>
      <x:c r="J207" s="28" t="str">
        <x:v>Semanal</x:v>
      </x:c>
      <x:c r="K207" s="28" t="str">
        <x:v>2024-S35</x:v>
      </x:c>
    </x:row>
    <x:row r="208">
      <x:c r="A208" s="34" t="n">
        <x:v>45530</x:v>
      </x:c>
      <x:c r="B208" s="28" t="str">
        <x:v>Grupo Industrial S.A.</x:v>
      </x:c>
      <x:c r="C208" s="28" t="str">
        <x:v>Planta Campinas</x:v>
      </x:c>
      <x:c r="D208" s="28" t="str">
        <x:v>Higiene e Limpeza</x:v>
      </x:c>
      <x:c r="E208" s="28" t="str">
        <x:v>SKU-078</x:v>
      </x:c>
      <x:c r="F208" s="32" t="n">
        <x:v>4371</x:v>
      </x:c>
      <x:c r="G208" s="32" t="n">
        <x:v>4194</x:v>
      </x:c>
      <x:c r="H208" s="32" t="n">
        <x:v>3811</x:v>
      </x:c>
      <x:c r="I208" s="32" t="n">
        <x:v>4065</x:v>
      </x:c>
      <x:c r="J208" s="28" t="str">
        <x:v>Semanal</x:v>
      </x:c>
      <x:c r="K208" s="28" t="str">
        <x:v>2024-S35</x:v>
      </x:c>
    </x:row>
    <x:row r="209">
      <x:c r="A209" s="34" t="n">
        <x:v>45530</x:v>
      </x:c>
      <x:c r="B209" s="28" t="str">
        <x:v>Grupo Industrial S.A.</x:v>
      </x:c>
      <x:c r="C209" s="28" t="str">
        <x:v>Planta Campinas</x:v>
      </x:c>
      <x:c r="D209" s="28" t="str">
        <x:v>Embalagens</x:v>
      </x:c>
      <x:c r="E209" s="28" t="str">
        <x:v>SKU-105</x:v>
      </x:c>
      <x:c r="F209" s="32" t="n">
        <x:v>4104</x:v>
      </x:c>
      <x:c r="G209" s="32" t="n">
        <x:v>3873</x:v>
      </x:c>
      <x:c r="H209" s="32" t="n">
        <x:v>3540</x:v>
      </x:c>
      <x:c r="I209" s="32" t="n">
        <x:v>3817</x:v>
      </x:c>
      <x:c r="J209" s="28" t="str">
        <x:v>Semanal</x:v>
      </x:c>
      <x:c r="K209" s="28" t="str">
        <x:v>2024-S35</x:v>
      </x:c>
    </x:row>
    <x:row r="210">
      <x:c r="A210" s="34" t="n">
        <x:v>45530</x:v>
      </x:c>
      <x:c r="B210" s="28" t="str">
        <x:v>Grupo Industrial S.A.</x:v>
      </x:c>
      <x:c r="C210" s="28" t="str">
        <x:v>Planta Curitiba</x:v>
      </x:c>
      <x:c r="D210" s="28" t="str">
        <x:v>Bebidas</x:v>
      </x:c>
      <x:c r="E210" s="28" t="str">
        <x:v>SKU-223</x:v>
      </x:c>
      <x:c r="F210" s="32" t="n">
        <x:v>4505</x:v>
      </x:c>
      <x:c r="G210" s="32" t="n">
        <x:v>4600</x:v>
      </x:c>
      <x:c r="H210" s="32" t="n">
        <x:v>4214</x:v>
      </x:c>
      <x:c r="I210" s="32" t="n">
        <x:v>4190</x:v>
      </x:c>
      <x:c r="J210" s="28" t="str">
        <x:v>Semanal</x:v>
      </x:c>
      <x:c r="K210" s="28" t="str">
        <x:v>2024-S35</x:v>
      </x:c>
    </x:row>
    <x:row r="211">
      <x:c r="A211" s="34" t="n">
        <x:v>45530</x:v>
      </x:c>
      <x:c r="B211" s="28" t="str">
        <x:v>Grupo Industrial S.A.</x:v>
      </x:c>
      <x:c r="C211" s="28" t="str">
        <x:v>Planta Curitiba</x:v>
      </x:c>
      <x:c r="D211" s="28" t="str">
        <x:v>Alimentos</x:v>
      </x:c>
      <x:c r="E211" s="28" t="str">
        <x:v>SKU-432</x:v>
      </x:c>
      <x:c r="F211" s="32" t="n">
        <x:v>3939</x:v>
      </x:c>
      <x:c r="G211" s="32" t="n">
        <x:v>3928</x:v>
      </x:c>
      <x:c r="H211" s="32" t="n">
        <x:v>3762</x:v>
      </x:c>
      <x:c r="I211" s="32" t="n">
        <x:v>3663</x:v>
      </x:c>
      <x:c r="J211" s="28" t="str">
        <x:v>Semanal</x:v>
      </x:c>
      <x:c r="K211" s="28" t="str">
        <x:v>2024-S35</x:v>
      </x:c>
    </x:row>
    <x:row r="212">
      <x:c r="A212" s="34" t="n">
        <x:v>45537</x:v>
      </x:c>
      <x:c r="B212" s="28" t="str">
        <x:v>Grupo Industrial S.A.</x:v>
      </x:c>
      <x:c r="C212" s="28" t="str">
        <x:v>Planta São Paulo</x:v>
      </x:c>
      <x:c r="D212" s="28" t="str">
        <x:v>Alimentos</x:v>
      </x:c>
      <x:c r="E212" s="28" t="str">
        <x:v>SKU-001</x:v>
      </x:c>
      <x:c r="F212" s="32" t="n">
        <x:v>6273</x:v>
      </x:c>
      <x:c r="G212" s="32" t="n">
        <x:v>6284</x:v>
      </x:c>
      <x:c r="H212" s="32" t="n">
        <x:v>5953</x:v>
      </x:c>
      <x:c r="I212" s="32" t="n">
        <x:v>5834</x:v>
      </x:c>
      <x:c r="J212" s="28" t="str">
        <x:v>Semanal</x:v>
      </x:c>
      <x:c r="K212" s="28" t="str">
        <x:v>2024-S36</x:v>
      </x:c>
    </x:row>
    <x:row r="213">
      <x:c r="A213" s="34" t="n">
        <x:v>45537</x:v>
      </x:c>
      <x:c r="B213" s="28" t="str">
        <x:v>Grupo Industrial S.A.</x:v>
      </x:c>
      <x:c r="C213" s="28" t="str">
        <x:v>Planta São Paulo</x:v>
      </x:c>
      <x:c r="D213" s="28" t="str">
        <x:v>Alimentos</x:v>
      </x:c>
      <x:c r="E213" s="28" t="str">
        <x:v>SKU-002</x:v>
      </x:c>
      <x:c r="F213" s="32" t="n">
        <x:v>5225</x:v>
      </x:c>
      <x:c r="G213" s="32" t="n">
        <x:v>5193</x:v>
      </x:c>
      <x:c r="H213" s="32" t="n">
        <x:v>4954</x:v>
      </x:c>
      <x:c r="I213" s="32" t="n">
        <x:v>4859</x:v>
      </x:c>
      <x:c r="J213" s="28" t="str">
        <x:v>Semanal</x:v>
      </x:c>
      <x:c r="K213" s="28" t="str">
        <x:v>2024-S36</x:v>
      </x:c>
    </x:row>
    <x:row r="214">
      <x:c r="A214" s="34" t="n">
        <x:v>45537</x:v>
      </x:c>
      <x:c r="B214" s="28" t="str">
        <x:v>Grupo Industrial S.A.</x:v>
      </x:c>
      <x:c r="C214" s="28" t="str">
        <x:v>Planta Campinas</x:v>
      </x:c>
      <x:c r="D214" s="28" t="str">
        <x:v>Higiene e Limpeza</x:v>
      </x:c>
      <x:c r="E214" s="28" t="str">
        <x:v>SKU-078</x:v>
      </x:c>
      <x:c r="F214" s="32" t="n">
        <x:v>4306</x:v>
      </x:c>
      <x:c r="G214" s="32" t="n">
        <x:v>4135</x:v>
      </x:c>
      <x:c r="H214" s="32" t="n">
        <x:v>3948</x:v>
      </x:c>
      <x:c r="I214" s="32" t="n">
        <x:v>4005</x:v>
      </x:c>
      <x:c r="J214" s="28" t="str">
        <x:v>Semanal</x:v>
      </x:c>
      <x:c r="K214" s="28" t="str">
        <x:v>2024-S36</x:v>
      </x:c>
    </x:row>
    <x:row r="215">
      <x:c r="A215" s="34" t="n">
        <x:v>45537</x:v>
      </x:c>
      <x:c r="B215" s="28" t="str">
        <x:v>Grupo Industrial S.A.</x:v>
      </x:c>
      <x:c r="C215" s="28" t="str">
        <x:v>Planta Campinas</x:v>
      </x:c>
      <x:c r="D215" s="28" t="str">
        <x:v>Embalagens</x:v>
      </x:c>
      <x:c r="E215" s="28" t="str">
        <x:v>SKU-105</x:v>
      </x:c>
      <x:c r="F215" s="32" t="n">
        <x:v>4063</x:v>
      </x:c>
      <x:c r="G215" s="32" t="n">
        <x:v>3860</x:v>
      </x:c>
      <x:c r="H215" s="32" t="n">
        <x:v>3591</x:v>
      </x:c>
      <x:c r="I215" s="32" t="n">
        <x:v>3779</x:v>
      </x:c>
      <x:c r="J215" s="28" t="str">
        <x:v>Semanal</x:v>
      </x:c>
      <x:c r="K215" s="28" t="str">
        <x:v>2024-S36</x:v>
      </x:c>
    </x:row>
    <x:row r="216">
      <x:c r="A216" s="34" t="n">
        <x:v>45537</x:v>
      </x:c>
      <x:c r="B216" s="28" t="str">
        <x:v>Grupo Industrial S.A.</x:v>
      </x:c>
      <x:c r="C216" s="28" t="str">
        <x:v>Planta Curitiba</x:v>
      </x:c>
      <x:c r="D216" s="28" t="str">
        <x:v>Bebidas</x:v>
      </x:c>
      <x:c r="E216" s="28" t="str">
        <x:v>SKU-223</x:v>
      </x:c>
      <x:c r="F216" s="32" t="n">
        <x:v>4538</x:v>
      </x:c>
      <x:c r="G216" s="32" t="n">
        <x:v>4629</x:v>
      </x:c>
      <x:c r="H216" s="32" t="n">
        <x:v>4235</x:v>
      </x:c>
      <x:c r="I216" s="32" t="n">
        <x:v>4220</x:v>
      </x:c>
      <x:c r="J216" s="28" t="str">
        <x:v>Semanal</x:v>
      </x:c>
      <x:c r="K216" s="28" t="str">
        <x:v>2024-S36</x:v>
      </x:c>
    </x:row>
    <x:row r="217">
      <x:c r="A217" s="34" t="n">
        <x:v>45537</x:v>
      </x:c>
      <x:c r="B217" s="28" t="str">
        <x:v>Grupo Industrial S.A.</x:v>
      </x:c>
      <x:c r="C217" s="28" t="str">
        <x:v>Planta Curitiba</x:v>
      </x:c>
      <x:c r="D217" s="28" t="str">
        <x:v>Alimentos</x:v>
      </x:c>
      <x:c r="E217" s="28" t="str">
        <x:v>SKU-432</x:v>
      </x:c>
      <x:c r="F217" s="32" t="n">
        <x:v>4015</x:v>
      </x:c>
      <x:c r="G217" s="32" t="n">
        <x:v>4070</x:v>
      </x:c>
      <x:c r="H217" s="32" t="n">
        <x:v>3755</x:v>
      </x:c>
      <x:c r="I217" s="32" t="n">
        <x:v>3734</x:v>
      </x:c>
      <x:c r="J217" s="28" t="str">
        <x:v>Semanal</x:v>
      </x:c>
      <x:c r="K217" s="28" t="str">
        <x:v>2024-S36</x:v>
      </x:c>
    </x:row>
    <x:row r="218">
      <x:c r="A218" s="34" t="n">
        <x:v>45544</x:v>
      </x:c>
      <x:c r="B218" s="28" t="str">
        <x:v>Grupo Industrial S.A.</x:v>
      </x:c>
      <x:c r="C218" s="28" t="str">
        <x:v>Planta São Paulo</x:v>
      </x:c>
      <x:c r="D218" s="28" t="str">
        <x:v>Alimentos</x:v>
      </x:c>
      <x:c r="E218" s="28" t="str">
        <x:v>SKU-001</x:v>
      </x:c>
      <x:c r="F218" s="32" t="n">
        <x:v>6305</x:v>
      </x:c>
      <x:c r="G218" s="32" t="n">
        <x:v>6314</x:v>
      </x:c>
      <x:c r="H218" s="32" t="n">
        <x:v>5968</x:v>
      </x:c>
      <x:c r="I218" s="32" t="n">
        <x:v>5864</x:v>
      </x:c>
      <x:c r="J218" s="28" t="str">
        <x:v>Semanal</x:v>
      </x:c>
      <x:c r="K218" s="28" t="str">
        <x:v>2024-S37</x:v>
      </x:c>
    </x:row>
    <x:row r="219">
      <x:c r="A219" s="34" t="n">
        <x:v>45544</x:v>
      </x:c>
      <x:c r="B219" s="28" t="str">
        <x:v>Grupo Industrial S.A.</x:v>
      </x:c>
      <x:c r="C219" s="28" t="str">
        <x:v>Planta São Paulo</x:v>
      </x:c>
      <x:c r="D219" s="28" t="str">
        <x:v>Alimentos</x:v>
      </x:c>
      <x:c r="E219" s="28" t="str">
        <x:v>SKU-002</x:v>
      </x:c>
      <x:c r="F219" s="32" t="n">
        <x:v>5504</x:v>
      </x:c>
      <x:c r="G219" s="32" t="n">
        <x:v>5376</x:v>
      </x:c>
      <x:c r="H219" s="32" t="n">
        <x:v>5081</x:v>
      </x:c>
      <x:c r="I219" s="32" t="n">
        <x:v>5119</x:v>
      </x:c>
      <x:c r="J219" s="28" t="str">
        <x:v>Semanal</x:v>
      </x:c>
      <x:c r="K219" s="28" t="str">
        <x:v>2024-S37</x:v>
      </x:c>
    </x:row>
    <x:row r="220">
      <x:c r="A220" s="34" t="n">
        <x:v>45544</x:v>
      </x:c>
      <x:c r="B220" s="28" t="str">
        <x:v>Grupo Industrial S.A.</x:v>
      </x:c>
      <x:c r="C220" s="28" t="str">
        <x:v>Planta Campinas</x:v>
      </x:c>
      <x:c r="D220" s="28" t="str">
        <x:v>Higiene e Limpeza</x:v>
      </x:c>
      <x:c r="E220" s="28" t="str">
        <x:v>SKU-078</x:v>
      </x:c>
      <x:c r="F220" s="32" t="n">
        <x:v>4425</x:v>
      </x:c>
      <x:c r="G220" s="32" t="n">
        <x:v>4244</x:v>
      </x:c>
      <x:c r="H220" s="32" t="n">
        <x:v>4017</x:v>
      </x:c>
      <x:c r="I220" s="32" t="n">
        <x:v>4115</x:v>
      </x:c>
      <x:c r="J220" s="28" t="str">
        <x:v>Semanal</x:v>
      </x:c>
      <x:c r="K220" s="28" t="str">
        <x:v>2024-S37</x:v>
      </x:c>
    </x:row>
    <x:row r="221">
      <x:c r="A221" s="34" t="n">
        <x:v>45544</x:v>
      </x:c>
      <x:c r="B221" s="28" t="str">
        <x:v>Grupo Industrial S.A.</x:v>
      </x:c>
      <x:c r="C221" s="28" t="str">
        <x:v>Planta Campinas</x:v>
      </x:c>
      <x:c r="D221" s="28" t="str">
        <x:v>Embalagens</x:v>
      </x:c>
      <x:c r="E221" s="28" t="str">
        <x:v>SKU-105</x:v>
      </x:c>
      <x:c r="F221" s="32" t="n">
        <x:v>3791</x:v>
      </x:c>
      <x:c r="G221" s="32" t="n">
        <x:v>3743</x:v>
      </x:c>
      <x:c r="H221" s="32" t="n">
        <x:v>3579</x:v>
      </x:c>
      <x:c r="I221" s="32" t="n">
        <x:v>3526</x:v>
      </x:c>
      <x:c r="J221" s="28" t="str">
        <x:v>Semanal</x:v>
      </x:c>
      <x:c r="K221" s="28" t="str">
        <x:v>2024-S37</x:v>
      </x:c>
    </x:row>
    <x:row r="222">
      <x:c r="A222" s="34" t="n">
        <x:v>45544</x:v>
      </x:c>
      <x:c r="B222" s="28" t="str">
        <x:v>Grupo Industrial S.A.</x:v>
      </x:c>
      <x:c r="C222" s="28" t="str">
        <x:v>Planta Curitiba</x:v>
      </x:c>
      <x:c r="D222" s="28" t="str">
        <x:v>Bebidas</x:v>
      </x:c>
      <x:c r="E222" s="28" t="str">
        <x:v>SKU-223</x:v>
      </x:c>
      <x:c r="F222" s="32" t="n">
        <x:v>4384</x:v>
      </x:c>
      <x:c r="G222" s="32" t="n">
        <x:v>4409</x:v>
      </x:c>
      <x:c r="H222" s="32" t="n">
        <x:v>4193</x:v>
      </x:c>
      <x:c r="I222" s="32" t="n">
        <x:v>4077</x:v>
      </x:c>
      <x:c r="J222" s="28" t="str">
        <x:v>Semanal</x:v>
      </x:c>
      <x:c r="K222" s="28" t="str">
        <x:v>2024-S37</x:v>
      </x:c>
    </x:row>
    <x:row r="223">
      <x:c r="A223" s="34" t="n">
        <x:v>45544</x:v>
      </x:c>
      <x:c r="B223" s="28" t="str">
        <x:v>Grupo Industrial S.A.</x:v>
      </x:c>
      <x:c r="C223" s="28" t="str">
        <x:v>Planta Curitiba</x:v>
      </x:c>
      <x:c r="D223" s="28" t="str">
        <x:v>Alimentos</x:v>
      </x:c>
      <x:c r="E223" s="28" t="str">
        <x:v>SKU-432</x:v>
      </x:c>
      <x:c r="F223" s="32" t="n">
        <x:v>4111</x:v>
      </x:c>
      <x:c r="G223" s="32" t="n">
        <x:v>4216</x:v>
      </x:c>
      <x:c r="H223" s="32" t="n">
        <x:v>3985</x:v>
      </x:c>
      <x:c r="I223" s="32" t="n">
        <x:v>3823</x:v>
      </x:c>
      <x:c r="J223" s="28" t="str">
        <x:v>Semanal</x:v>
      </x:c>
      <x:c r="K223" s="28" t="str">
        <x:v>2024-S37</x:v>
      </x:c>
    </x:row>
    <x:row r="224">
      <x:c r="A224" s="34" t="n">
        <x:v>45551</x:v>
      </x:c>
      <x:c r="B224" s="28" t="str">
        <x:v>Grupo Industrial S.A.</x:v>
      </x:c>
      <x:c r="C224" s="28" t="str">
        <x:v>Planta São Paulo</x:v>
      </x:c>
      <x:c r="D224" s="28" t="str">
        <x:v>Alimentos</x:v>
      </x:c>
      <x:c r="E224" s="28" t="str">
        <x:v>SKU-001</x:v>
      </x:c>
      <x:c r="F224" s="32" t="n">
        <x:v>6210</x:v>
      </x:c>
      <x:c r="G224" s="32" t="n">
        <x:v>6036</x:v>
      </x:c>
      <x:c r="H224" s="32" t="n">
        <x:v>5520</x:v>
      </x:c>
      <x:c r="I224" s="32" t="n">
        <x:v>5775</x:v>
      </x:c>
      <x:c r="J224" s="28" t="str">
        <x:v>Semanal</x:v>
      </x:c>
      <x:c r="K224" s="28" t="str">
        <x:v>2024-S38</x:v>
      </x:c>
    </x:row>
    <x:row r="225">
      <x:c r="A225" s="34" t="n">
        <x:v>45551</x:v>
      </x:c>
      <x:c r="B225" s="28" t="str">
        <x:v>Grupo Industrial S.A.</x:v>
      </x:c>
      <x:c r="C225" s="28" t="str">
        <x:v>Planta São Paulo</x:v>
      </x:c>
      <x:c r="D225" s="28" t="str">
        <x:v>Alimentos</x:v>
      </x:c>
      <x:c r="E225" s="28" t="str">
        <x:v>SKU-002</x:v>
      </x:c>
      <x:c r="F225" s="32" t="n">
        <x:v>5337</x:v>
      </x:c>
      <x:c r="G225" s="32" t="n">
        <x:v>5279</x:v>
      </x:c>
      <x:c r="H225" s="32" t="n">
        <x:v>4922</x:v>
      </x:c>
      <x:c r="I225" s="32" t="n">
        <x:v>4963</x:v>
      </x:c>
      <x:c r="J225" s="28" t="str">
        <x:v>Semanal</x:v>
      </x:c>
      <x:c r="K225" s="28" t="str">
        <x:v>2024-S38</x:v>
      </x:c>
    </x:row>
    <x:row r="226">
      <x:c r="A226" s="34" t="n">
        <x:v>45551</x:v>
      </x:c>
      <x:c r="B226" s="28" t="str">
        <x:v>Grupo Industrial S.A.</x:v>
      </x:c>
      <x:c r="C226" s="28" t="str">
        <x:v>Planta Campinas</x:v>
      </x:c>
      <x:c r="D226" s="28" t="str">
        <x:v>Higiene e Limpeza</x:v>
      </x:c>
      <x:c r="E226" s="28" t="str">
        <x:v>SKU-078</x:v>
      </x:c>
      <x:c r="F226" s="32" t="n">
        <x:v>4241</x:v>
      </x:c>
      <x:c r="G226" s="32" t="n">
        <x:v>4060</x:v>
      </x:c>
      <x:c r="H226" s="32" t="n">
        <x:v>3808</x:v>
      </x:c>
      <x:c r="I226" s="32" t="n">
        <x:v>3944</x:v>
      </x:c>
      <x:c r="J226" s="28" t="str">
        <x:v>Semanal</x:v>
      </x:c>
      <x:c r="K226" s="28" t="str">
        <x:v>2024-S38</x:v>
      </x:c>
    </x:row>
    <x:row r="227">
      <x:c r="A227" s="34" t="n">
        <x:v>45551</x:v>
      </x:c>
      <x:c r="B227" s="28" t="str">
        <x:v>Grupo Industrial S.A.</x:v>
      </x:c>
      <x:c r="C227" s="28" t="str">
        <x:v>Planta Campinas</x:v>
      </x:c>
      <x:c r="D227" s="28" t="str">
        <x:v>Embalagens</x:v>
      </x:c>
      <x:c r="E227" s="28" t="str">
        <x:v>SKU-105</x:v>
      </x:c>
      <x:c r="F227" s="32" t="n">
        <x:v>3965</x:v>
      </x:c>
      <x:c r="G227" s="32" t="n">
        <x:v>3772</x:v>
      </x:c>
      <x:c r="H227" s="32" t="n">
        <x:v>3567</x:v>
      </x:c>
      <x:c r="I227" s="32" t="n">
        <x:v>3687</x:v>
      </x:c>
      <x:c r="J227" s="28" t="str">
        <x:v>Semanal</x:v>
      </x:c>
      <x:c r="K227" s="28" t="str">
        <x:v>2024-S38</x:v>
      </x:c>
    </x:row>
    <x:row r="228">
      <x:c r="A228" s="34" t="n">
        <x:v>45551</x:v>
      </x:c>
      <x:c r="B228" s="28" t="str">
        <x:v>Grupo Industrial S.A.</x:v>
      </x:c>
      <x:c r="C228" s="28" t="str">
        <x:v>Planta Curitiba</x:v>
      </x:c>
      <x:c r="D228" s="28" t="str">
        <x:v>Bebidas</x:v>
      </x:c>
      <x:c r="E228" s="28" t="str">
        <x:v>SKU-223</x:v>
      </x:c>
      <x:c r="F228" s="32" t="n">
        <x:v>4508</x:v>
      </x:c>
      <x:c r="G228" s="32" t="n">
        <x:v>4468</x:v>
      </x:c>
      <x:c r="H228" s="32" t="n">
        <x:v>4092</x:v>
      </x:c>
      <x:c r="I228" s="32" t="n">
        <x:v>4192</x:v>
      </x:c>
      <x:c r="J228" s="28" t="str">
        <x:v>Semanal</x:v>
      </x:c>
      <x:c r="K228" s="28" t="str">
        <x:v>2024-S38</x:v>
      </x:c>
    </x:row>
    <x:row r="229">
      <x:c r="A229" s="34" t="n">
        <x:v>45551</x:v>
      </x:c>
      <x:c r="B229" s="28" t="str">
        <x:v>Grupo Industrial S.A.</x:v>
      </x:c>
      <x:c r="C229" s="28" t="str">
        <x:v>Planta Curitiba</x:v>
      </x:c>
      <x:c r="D229" s="28" t="str">
        <x:v>Alimentos</x:v>
      </x:c>
      <x:c r="E229" s="28" t="str">
        <x:v>SKU-432</x:v>
      </x:c>
      <x:c r="F229" s="32" t="n">
        <x:v>4123</x:v>
      </x:c>
      <x:c r="G229" s="32" t="n">
        <x:v>4147</x:v>
      </x:c>
      <x:c r="H229" s="32" t="n">
        <x:v>3824</x:v>
      </x:c>
      <x:c r="I229" s="32" t="n">
        <x:v>3834</x:v>
      </x:c>
      <x:c r="J229" s="28" t="str">
        <x:v>Semanal</x:v>
      </x:c>
      <x:c r="K229" s="28" t="str">
        <x:v>2024-S38</x:v>
      </x:c>
    </x:row>
    <x:row r="230">
      <x:c r="A230" s="34" t="n">
        <x:v>45558</x:v>
      </x:c>
      <x:c r="B230" s="28" t="str">
        <x:v>Grupo Industrial S.A.</x:v>
      </x:c>
      <x:c r="C230" s="28" t="str">
        <x:v>Planta São Paulo</x:v>
      </x:c>
      <x:c r="D230" s="28" t="str">
        <x:v>Alimentos</x:v>
      </x:c>
      <x:c r="E230" s="28" t="str">
        <x:v>SKU-001</x:v>
      </x:c>
      <x:c r="F230" s="32" t="n">
        <x:v>6001</x:v>
      </x:c>
      <x:c r="G230" s="32" t="n">
        <x:v>5852</x:v>
      </x:c>
      <x:c r="H230" s="32" t="n">
        <x:v>5321</x:v>
      </x:c>
      <x:c r="I230" s="32" t="n">
        <x:v>5581</x:v>
      </x:c>
      <x:c r="J230" s="28" t="str">
        <x:v>Semanal</x:v>
      </x:c>
      <x:c r="K230" s="28" t="str">
        <x:v>2024-S39</x:v>
      </x:c>
    </x:row>
    <x:row r="231">
      <x:c r="A231" s="34" t="n">
        <x:v>45558</x:v>
      </x:c>
      <x:c r="B231" s="28" t="str">
        <x:v>Grupo Industrial S.A.</x:v>
      </x:c>
      <x:c r="C231" s="28" t="str">
        <x:v>Planta São Paulo</x:v>
      </x:c>
      <x:c r="D231" s="28" t="str">
        <x:v>Alimentos</x:v>
      </x:c>
      <x:c r="E231" s="28" t="str">
        <x:v>SKU-002</x:v>
      </x:c>
      <x:c r="F231" s="32" t="n">
        <x:v>5474</x:v>
      </x:c>
      <x:c r="G231" s="32" t="n">
        <x:v>5498</x:v>
      </x:c>
      <x:c r="H231" s="32" t="n">
        <x:v>5019</x:v>
      </x:c>
      <x:c r="I231" s="32" t="n">
        <x:v>5091</x:v>
      </x:c>
      <x:c r="J231" s="28" t="str">
        <x:v>Semanal</x:v>
      </x:c>
      <x:c r="K231" s="28" t="str">
        <x:v>2024-S39</x:v>
      </x:c>
    </x:row>
    <x:row r="232">
      <x:c r="A232" s="34" t="n">
        <x:v>45558</x:v>
      </x:c>
      <x:c r="B232" s="28" t="str">
        <x:v>Grupo Industrial S.A.</x:v>
      </x:c>
      <x:c r="C232" s="28" t="str">
        <x:v>Planta Campinas</x:v>
      </x:c>
      <x:c r="D232" s="28" t="str">
        <x:v>Higiene e Limpeza</x:v>
      </x:c>
      <x:c r="E232" s="28" t="str">
        <x:v>SKU-078</x:v>
      </x:c>
      <x:c r="F232" s="32" t="n">
        <x:v>4496</x:v>
      </x:c>
      <x:c r="G232" s="32" t="n">
        <x:v>4231</x:v>
      </x:c>
      <x:c r="H232" s="32" t="n">
        <x:v>3834</x:v>
      </x:c>
      <x:c r="I232" s="32" t="n">
        <x:v>4181</x:v>
      </x:c>
      <x:c r="J232" s="28" t="str">
        <x:v>Semanal</x:v>
      </x:c>
      <x:c r="K232" s="28" t="str">
        <x:v>2024-S39</x:v>
      </x:c>
    </x:row>
    <x:row r="233">
      <x:c r="A233" s="34" t="n">
        <x:v>45558</x:v>
      </x:c>
      <x:c r="B233" s="28" t="str">
        <x:v>Grupo Industrial S.A.</x:v>
      </x:c>
      <x:c r="C233" s="28" t="str">
        <x:v>Planta Campinas</x:v>
      </x:c>
      <x:c r="D233" s="28" t="str">
        <x:v>Embalagens</x:v>
      </x:c>
      <x:c r="E233" s="28" t="str">
        <x:v>SKU-105</x:v>
      </x:c>
      <x:c r="F233" s="32" t="n">
        <x:v>3744</x:v>
      </x:c>
      <x:c r="G233" s="32" t="n">
        <x:v>3546</x:v>
      </x:c>
      <x:c r="H233" s="32" t="n">
        <x:v>3269</x:v>
      </x:c>
      <x:c r="I233" s="32" t="n">
        <x:v>3482</x:v>
      </x:c>
      <x:c r="J233" s="28" t="str">
        <x:v>Semanal</x:v>
      </x:c>
      <x:c r="K233" s="28" t="str">
        <x:v>2024-S39</x:v>
      </x:c>
    </x:row>
    <x:row r="234">
      <x:c r="A234" s="34" t="n">
        <x:v>45558</x:v>
      </x:c>
      <x:c r="B234" s="28" t="str">
        <x:v>Grupo Industrial S.A.</x:v>
      </x:c>
      <x:c r="C234" s="28" t="str">
        <x:v>Planta Curitiba</x:v>
      </x:c>
      <x:c r="D234" s="28" t="str">
        <x:v>Bebidas</x:v>
      </x:c>
      <x:c r="E234" s="28" t="str">
        <x:v>SKU-223</x:v>
      </x:c>
      <x:c r="F234" s="32" t="n">
        <x:v>4606</x:v>
      </x:c>
      <x:c r="G234" s="32" t="n">
        <x:v>4596</x:v>
      </x:c>
      <x:c r="H234" s="32" t="n">
        <x:v>4413</x:v>
      </x:c>
      <x:c r="I234" s="32" t="n">
        <x:v>4284</x:v>
      </x:c>
      <x:c r="J234" s="28" t="str">
        <x:v>Semanal</x:v>
      </x:c>
      <x:c r="K234" s="28" t="str">
        <x:v>2024-S39</x:v>
      </x:c>
    </x:row>
    <x:row r="235">
      <x:c r="A235" s="34" t="n">
        <x:v>45558</x:v>
      </x:c>
      <x:c r="B235" s="28" t="str">
        <x:v>Grupo Industrial S.A.</x:v>
      </x:c>
      <x:c r="C235" s="28" t="str">
        <x:v>Planta Curitiba</x:v>
      </x:c>
      <x:c r="D235" s="28" t="str">
        <x:v>Alimentos</x:v>
      </x:c>
      <x:c r="E235" s="28" t="str">
        <x:v>SKU-432</x:v>
      </x:c>
      <x:c r="F235" s="32" t="n">
        <x:v>4059</x:v>
      </x:c>
      <x:c r="G235" s="32" t="n">
        <x:v>4160</x:v>
      </x:c>
      <x:c r="H235" s="32" t="n">
        <x:v>3836</x:v>
      </x:c>
      <x:c r="I235" s="32" t="n">
        <x:v>3775</x:v>
      </x:c>
      <x:c r="J235" s="28" t="str">
        <x:v>Semanal</x:v>
      </x:c>
      <x:c r="K235" s="28" t="str">
        <x:v>2024-S39</x:v>
      </x:c>
    </x:row>
    <x:row r="236">
      <x:c r="A236" s="34" t="n">
        <x:v>45565</x:v>
      </x:c>
      <x:c r="B236" s="28" t="str">
        <x:v>Grupo Industrial S.A.</x:v>
      </x:c>
      <x:c r="C236" s="28" t="str">
        <x:v>Planta São Paulo</x:v>
      </x:c>
      <x:c r="D236" s="28" t="str">
        <x:v>Alimentos</x:v>
      </x:c>
      <x:c r="E236" s="28" t="str">
        <x:v>SKU-001</x:v>
      </x:c>
      <x:c r="F236" s="32" t="n">
        <x:v>6109</x:v>
      </x:c>
      <x:c r="G236" s="32" t="n">
        <x:v>5939</x:v>
      </x:c>
      <x:c r="H236" s="32" t="n">
        <x:v>5584</x:v>
      </x:c>
      <x:c r="I236" s="32" t="n">
        <x:v>5681</x:v>
      </x:c>
      <x:c r="J236" s="28" t="str">
        <x:v>Semanal</x:v>
      </x:c>
      <x:c r="K236" s="28" t="str">
        <x:v>2024-S40</x:v>
      </x:c>
    </x:row>
    <x:row r="237">
      <x:c r="A237" s="34" t="n">
        <x:v>45565</x:v>
      </x:c>
      <x:c r="B237" s="28" t="str">
        <x:v>Grupo Industrial S.A.</x:v>
      </x:c>
      <x:c r="C237" s="28" t="str">
        <x:v>Planta São Paulo</x:v>
      </x:c>
      <x:c r="D237" s="28" t="str">
        <x:v>Alimentos</x:v>
      </x:c>
      <x:c r="E237" s="28" t="str">
        <x:v>SKU-002</x:v>
      </x:c>
      <x:c r="F237" s="32" t="n">
        <x:v>5241</x:v>
      </x:c>
      <x:c r="G237" s="32" t="n">
        <x:v>5208</x:v>
      </x:c>
      <x:c r="H237" s="32" t="n">
        <x:v>4950</x:v>
      </x:c>
      <x:c r="I237" s="32" t="n">
        <x:v>4874</x:v>
      </x:c>
      <x:c r="J237" s="28" t="str">
        <x:v>Semanal</x:v>
      </x:c>
      <x:c r="K237" s="28" t="str">
        <x:v>2024-S40</x:v>
      </x:c>
    </x:row>
    <x:row r="238">
      <x:c r="A238" s="34" t="n">
        <x:v>45565</x:v>
      </x:c>
      <x:c r="B238" s="28" t="str">
        <x:v>Grupo Industrial S.A.</x:v>
      </x:c>
      <x:c r="C238" s="28" t="str">
        <x:v>Planta Campinas</x:v>
      </x:c>
      <x:c r="D238" s="28" t="str">
        <x:v>Higiene e Limpeza</x:v>
      </x:c>
      <x:c r="E238" s="28" t="str">
        <x:v>SKU-078</x:v>
      </x:c>
      <x:c r="F238" s="32" t="n">
        <x:v>4602</x:v>
      </x:c>
      <x:c r="G238" s="32" t="n">
        <x:v>4369</x:v>
      </x:c>
      <x:c r="H238" s="32" t="n">
        <x:v>4027</x:v>
      </x:c>
      <x:c r="I238" s="32" t="n">
        <x:v>4280</x:v>
      </x:c>
      <x:c r="J238" s="28" t="str">
        <x:v>Semanal</x:v>
      </x:c>
      <x:c r="K238" s="28" t="str">
        <x:v>2024-S40</x:v>
      </x:c>
    </x:row>
    <x:row r="239">
      <x:c r="A239" s="34" t="n">
        <x:v>45565</x:v>
      </x:c>
      <x:c r="B239" s="28" t="str">
        <x:v>Grupo Industrial S.A.</x:v>
      </x:c>
      <x:c r="C239" s="28" t="str">
        <x:v>Planta Campinas</x:v>
      </x:c>
      <x:c r="D239" s="28" t="str">
        <x:v>Embalagens</x:v>
      </x:c>
      <x:c r="E239" s="28" t="str">
        <x:v>SKU-105</x:v>
      </x:c>
      <x:c r="F239" s="32" t="n">
        <x:v>3830</x:v>
      </x:c>
      <x:c r="G239" s="32" t="n">
        <x:v>3634</x:v>
      </x:c>
      <x:c r="H239" s="32" t="n">
        <x:v>3348</x:v>
      </x:c>
      <x:c r="I239" s="32" t="n">
        <x:v>3562</x:v>
      </x:c>
      <x:c r="J239" s="28" t="str">
        <x:v>Semanal</x:v>
      </x:c>
      <x:c r="K239" s="28" t="str">
        <x:v>2024-S40</x:v>
      </x:c>
    </x:row>
    <x:row r="240">
      <x:c r="A240" s="34" t="n">
        <x:v>45565</x:v>
      </x:c>
      <x:c r="B240" s="28" t="str">
        <x:v>Grupo Industrial S.A.</x:v>
      </x:c>
      <x:c r="C240" s="28" t="str">
        <x:v>Planta Curitiba</x:v>
      </x:c>
      <x:c r="D240" s="28" t="str">
        <x:v>Bebidas</x:v>
      </x:c>
      <x:c r="E240" s="28" t="str">
        <x:v>SKU-223</x:v>
      </x:c>
      <x:c r="F240" s="32" t="n">
        <x:v>4516</x:v>
      </x:c>
      <x:c r="G240" s="32" t="n">
        <x:v>4634</x:v>
      </x:c>
      <x:c r="H240" s="32" t="n">
        <x:v>4385</x:v>
      </x:c>
      <x:c r="I240" s="32" t="n">
        <x:v>4200</x:v>
      </x:c>
      <x:c r="J240" s="28" t="str">
        <x:v>Semanal</x:v>
      </x:c>
      <x:c r="K240" s="28" t="str">
        <x:v>2024-S40</x:v>
      </x:c>
    </x:row>
    <x:row r="241">
      <x:c r="A241" s="34" t="n">
        <x:v>45565</x:v>
      </x:c>
      <x:c r="B241" s="28" t="str">
        <x:v>Grupo Industrial S.A.</x:v>
      </x:c>
      <x:c r="C241" s="28" t="str">
        <x:v>Planta Curitiba</x:v>
      </x:c>
      <x:c r="D241" s="28" t="str">
        <x:v>Alimentos</x:v>
      </x:c>
      <x:c r="E241" s="28" t="str">
        <x:v>SKU-432</x:v>
      </x:c>
      <x:c r="F241" s="32" t="n">
        <x:v>3950</x:v>
      </x:c>
      <x:c r="G241" s="32" t="n">
        <x:v>3888</x:v>
      </x:c>
      <x:c r="H241" s="32" t="n">
        <x:v>3716</x:v>
      </x:c>
      <x:c r="I241" s="32" t="n">
        <x:v>3674</x:v>
      </x:c>
      <x:c r="J241" s="28" t="str">
        <x:v>Semanal</x:v>
      </x:c>
      <x:c r="K241" s="28" t="str">
        <x:v>2024-S40</x:v>
      </x:c>
    </x:row>
    <x:row r="242">
      <x:c r="A242" s="34" t="n">
        <x:v>45572</x:v>
      </x:c>
      <x:c r="B242" s="28" t="str">
        <x:v>Grupo Industrial S.A.</x:v>
      </x:c>
      <x:c r="C242" s="28" t="str">
        <x:v>Planta São Paulo</x:v>
      </x:c>
      <x:c r="D242" s="28" t="str">
        <x:v>Alimentos</x:v>
      </x:c>
      <x:c r="E242" s="28" t="str">
        <x:v>SKU-001</x:v>
      </x:c>
      <x:c r="F242" s="32" t="n">
        <x:v>7031</x:v>
      </x:c>
      <x:c r="G242" s="32" t="n">
        <x:v>7035</x:v>
      </x:c>
      <x:c r="H242" s="32" t="n">
        <x:v>5786</x:v>
      </x:c>
      <x:c r="I242" s="32" t="n">
        <x:v>6539</x:v>
      </x:c>
      <x:c r="J242" s="28" t="str">
        <x:v>Semanal</x:v>
      </x:c>
      <x:c r="K242" s="28" t="str">
        <x:v>2024-S41</x:v>
      </x:c>
    </x:row>
    <x:row r="243">
      <x:c r="A243" s="34" t="n">
        <x:v>45572</x:v>
      </x:c>
      <x:c r="B243" s="28" t="str">
        <x:v>Grupo Industrial S.A.</x:v>
      </x:c>
      <x:c r="C243" s="28" t="str">
        <x:v>Planta São Paulo</x:v>
      </x:c>
      <x:c r="D243" s="28" t="str">
        <x:v>Alimentos</x:v>
      </x:c>
      <x:c r="E243" s="28" t="str">
        <x:v>SKU-002</x:v>
      </x:c>
      <x:c r="F243" s="32" t="n">
        <x:v>5909</x:v>
      </x:c>
      <x:c r="G243" s="32" t="n">
        <x:v>5872</x:v>
      </x:c>
      <x:c r="H243" s="32" t="n">
        <x:v>5590</x:v>
      </x:c>
      <x:c r="I243" s="32" t="n">
        <x:v>5495</x:v>
      </x:c>
      <x:c r="J243" s="28" t="str">
        <x:v>Semanal</x:v>
      </x:c>
      <x:c r="K243" s="28" t="str">
        <x:v>2024-S41</x:v>
      </x:c>
    </x:row>
    <x:row r="244">
      <x:c r="A244" s="34" t="n">
        <x:v>45572</x:v>
      </x:c>
      <x:c r="B244" s="28" t="str">
        <x:v>Grupo Industrial S.A.</x:v>
      </x:c>
      <x:c r="C244" s="28" t="str">
        <x:v>Planta Campinas</x:v>
      </x:c>
      <x:c r="D244" s="28" t="str">
        <x:v>Higiene e Limpeza</x:v>
      </x:c>
      <x:c r="E244" s="28" t="str">
        <x:v>SKU-078</x:v>
      </x:c>
      <x:c r="F244" s="32" t="n">
        <x:v>4580</x:v>
      </x:c>
      <x:c r="G244" s="32" t="n">
        <x:v>4363</x:v>
      </x:c>
      <x:c r="H244" s="32" t="n">
        <x:v>4108</x:v>
      </x:c>
      <x:c r="I244" s="32" t="n">
        <x:v>4259</x:v>
      </x:c>
      <x:c r="J244" s="28" t="str">
        <x:v>Semanal</x:v>
      </x:c>
      <x:c r="K244" s="28" t="str">
        <x:v>2024-S41</x:v>
      </x:c>
    </x:row>
    <x:row r="245">
      <x:c r="A245" s="34" t="n">
        <x:v>45572</x:v>
      </x:c>
      <x:c r="B245" s="28" t="str">
        <x:v>Grupo Industrial S.A.</x:v>
      </x:c>
      <x:c r="C245" s="28" t="str">
        <x:v>Planta Campinas</x:v>
      </x:c>
      <x:c r="D245" s="28" t="str">
        <x:v>Embalagens</x:v>
      </x:c>
      <x:c r="E245" s="28" t="str">
        <x:v>SKU-105</x:v>
      </x:c>
      <x:c r="F245" s="32" t="n">
        <x:v>4354</x:v>
      </x:c>
      <x:c r="G245" s="32" t="n">
        <x:v>4213</x:v>
      </x:c>
      <x:c r="H245" s="32" t="n">
        <x:v>3838</x:v>
      </x:c>
      <x:c r="I245" s="32" t="n">
        <x:v>4049</x:v>
      </x:c>
      <x:c r="J245" s="28" t="str">
        <x:v>Semanal</x:v>
      </x:c>
      <x:c r="K245" s="28" t="str">
        <x:v>2024-S41</x:v>
      </x:c>
    </x:row>
    <x:row r="246">
      <x:c r="A246" s="34" t="n">
        <x:v>45572</x:v>
      </x:c>
      <x:c r="B246" s="28" t="str">
        <x:v>Grupo Industrial S.A.</x:v>
      </x:c>
      <x:c r="C246" s="28" t="str">
        <x:v>Planta Curitiba</x:v>
      </x:c>
      <x:c r="D246" s="28" t="str">
        <x:v>Bebidas</x:v>
      </x:c>
      <x:c r="E246" s="28" t="str">
        <x:v>SKU-223</x:v>
      </x:c>
      <x:c r="F246" s="32" t="n">
        <x:v>4639</x:v>
      </x:c>
      <x:c r="G246" s="32" t="n">
        <x:v>4707</x:v>
      </x:c>
      <x:c r="H246" s="32" t="n">
        <x:v>4391</x:v>
      </x:c>
      <x:c r="I246" s="32" t="n">
        <x:v>4314</x:v>
      </x:c>
      <x:c r="J246" s="28" t="str">
        <x:v>Semanal</x:v>
      </x:c>
      <x:c r="K246" s="28" t="str">
        <x:v>2024-S41</x:v>
      </x:c>
    </x:row>
    <x:row r="247">
      <x:c r="A247" s="34" t="n">
        <x:v>45572</x:v>
      </x:c>
      <x:c r="B247" s="28" t="str">
        <x:v>Grupo Industrial S.A.</x:v>
      </x:c>
      <x:c r="C247" s="28" t="str">
        <x:v>Planta Curitiba</x:v>
      </x:c>
      <x:c r="D247" s="28" t="str">
        <x:v>Alimentos</x:v>
      </x:c>
      <x:c r="E247" s="28" t="str">
        <x:v>SKU-432</x:v>
      </x:c>
      <x:c r="F247" s="32" t="n">
        <x:v>4082</x:v>
      </x:c>
      <x:c r="G247" s="32" t="n">
        <x:v>4134</x:v>
      </x:c>
      <x:c r="H247" s="32" t="n">
        <x:v>3959</x:v>
      </x:c>
      <x:c r="I247" s="32" t="n">
        <x:v>3796</x:v>
      </x:c>
      <x:c r="J247" s="28" t="str">
        <x:v>Semanal</x:v>
      </x:c>
      <x:c r="K247" s="28" t="str">
        <x:v>2024-S41</x:v>
      </x:c>
    </x:row>
    <x:row r="248">
      <x:c r="A248" s="34" t="n">
        <x:v>45579</x:v>
      </x:c>
      <x:c r="B248" s="28" t="str">
        <x:v>Grupo Industrial S.A.</x:v>
      </x:c>
      <x:c r="C248" s="28" t="str">
        <x:v>Planta São Paulo</x:v>
      </x:c>
      <x:c r="D248" s="28" t="str">
        <x:v>Alimentos</x:v>
      </x:c>
      <x:c r="E248" s="28" t="str">
        <x:v>SKU-001</x:v>
      </x:c>
      <x:c r="F248" s="32" t="n">
        <x:v>6509</x:v>
      </x:c>
      <x:c r="G248" s="32" t="n">
        <x:v>6416</x:v>
      </x:c>
      <x:c r="H248" s="32" t="n">
        <x:v>6013</x:v>
      </x:c>
      <x:c r="I248" s="32" t="n">
        <x:v>6053</x:v>
      </x:c>
      <x:c r="J248" s="28" t="str">
        <x:v>Semanal</x:v>
      </x:c>
      <x:c r="K248" s="28" t="str">
        <x:v>2024-S42</x:v>
      </x:c>
    </x:row>
    <x:row r="249">
      <x:c r="A249" s="34" t="n">
        <x:v>45579</x:v>
      </x:c>
      <x:c r="B249" s="28" t="str">
        <x:v>Grupo Industrial S.A.</x:v>
      </x:c>
      <x:c r="C249" s="28" t="str">
        <x:v>Planta São Paulo</x:v>
      </x:c>
      <x:c r="D249" s="28" t="str">
        <x:v>Alimentos</x:v>
      </x:c>
      <x:c r="E249" s="28" t="str">
        <x:v>SKU-002</x:v>
      </x:c>
      <x:c r="F249" s="32" t="n">
        <x:v>5770</x:v>
      </x:c>
      <x:c r="G249" s="32" t="n">
        <x:v>5639</x:v>
      </x:c>
      <x:c r="H249" s="32" t="n">
        <x:v>5274</x:v>
      </x:c>
      <x:c r="I249" s="32" t="n">
        <x:v>5366</x:v>
      </x:c>
      <x:c r="J249" s="28" t="str">
        <x:v>Semanal</x:v>
      </x:c>
      <x:c r="K249" s="28" t="str">
        <x:v>2024-S42</x:v>
      </x:c>
    </x:row>
    <x:row r="250">
      <x:c r="A250" s="34" t="n">
        <x:v>45579</x:v>
      </x:c>
      <x:c r="B250" s="28" t="str">
        <x:v>Grupo Industrial S.A.</x:v>
      </x:c>
      <x:c r="C250" s="28" t="str">
        <x:v>Planta Campinas</x:v>
      </x:c>
      <x:c r="D250" s="28" t="str">
        <x:v>Higiene e Limpeza</x:v>
      </x:c>
      <x:c r="E250" s="28" t="str">
        <x:v>SKU-078</x:v>
      </x:c>
      <x:c r="F250" s="32" t="n">
        <x:v>4792</x:v>
      </x:c>
      <x:c r="G250" s="32" t="n">
        <x:v>4539</x:v>
      </x:c>
      <x:c r="H250" s="32" t="n">
        <x:v>4178</x:v>
      </x:c>
      <x:c r="I250" s="32" t="n">
        <x:v>4457</x:v>
      </x:c>
      <x:c r="J250" s="28" t="str">
        <x:v>Semanal</x:v>
      </x:c>
      <x:c r="K250" s="28" t="str">
        <x:v>2024-S42</x:v>
      </x:c>
    </x:row>
    <x:row r="251">
      <x:c r="A251" s="34" t="n">
        <x:v>45579</x:v>
      </x:c>
      <x:c r="B251" s="28" t="str">
        <x:v>Grupo Industrial S.A.</x:v>
      </x:c>
      <x:c r="C251" s="28" t="str">
        <x:v>Planta Campinas</x:v>
      </x:c>
      <x:c r="D251" s="28" t="str">
        <x:v>Embalagens</x:v>
      </x:c>
      <x:c r="E251" s="28" t="str">
        <x:v>SKU-105</x:v>
      </x:c>
      <x:c r="F251" s="32" t="n">
        <x:v>4402</x:v>
      </x:c>
      <x:c r="G251" s="32" t="n">
        <x:v>4239</x:v>
      </x:c>
      <x:c r="H251" s="32" t="n">
        <x:v>3901</x:v>
      </x:c>
      <x:c r="I251" s="32" t="n">
        <x:v>4094</x:v>
      </x:c>
      <x:c r="J251" s="28" t="str">
        <x:v>Semanal</x:v>
      </x:c>
      <x:c r="K251" s="28" t="str">
        <x:v>2024-S42</x:v>
      </x:c>
    </x:row>
    <x:row r="252">
      <x:c r="A252" s="34" t="n">
        <x:v>45579</x:v>
      </x:c>
      <x:c r="B252" s="28" t="str">
        <x:v>Grupo Industrial S.A.</x:v>
      </x:c>
      <x:c r="C252" s="28" t="str">
        <x:v>Planta Curitiba</x:v>
      </x:c>
      <x:c r="D252" s="28" t="str">
        <x:v>Bebidas</x:v>
      </x:c>
      <x:c r="E252" s="28" t="str">
        <x:v>SKU-223</x:v>
      </x:c>
      <x:c r="F252" s="32" t="n">
        <x:v>4699</x:v>
      </x:c>
      <x:c r="G252" s="32" t="n">
        <x:v>4631</x:v>
      </x:c>
      <x:c r="H252" s="32" t="n">
        <x:v>4195</x:v>
      </x:c>
      <x:c r="I252" s="32" t="n">
        <x:v>4370</x:v>
      </x:c>
      <x:c r="J252" s="28" t="str">
        <x:v>Semanal</x:v>
      </x:c>
      <x:c r="K252" s="28" t="str">
        <x:v>2024-S42</x:v>
      </x:c>
    </x:row>
    <x:row r="253">
      <x:c r="A253" s="34" t="n">
        <x:v>45579</x:v>
      </x:c>
      <x:c r="B253" s="28" t="str">
        <x:v>Grupo Industrial S.A.</x:v>
      </x:c>
      <x:c r="C253" s="28" t="str">
        <x:v>Planta Curitiba</x:v>
      </x:c>
      <x:c r="D253" s="28" t="str">
        <x:v>Alimentos</x:v>
      </x:c>
      <x:c r="E253" s="28" t="str">
        <x:v>SKU-432</x:v>
      </x:c>
      <x:c r="F253" s="32" t="n">
        <x:v>4190</x:v>
      </x:c>
      <x:c r="G253" s="32" t="n">
        <x:v>4228</x:v>
      </x:c>
      <x:c r="H253" s="32" t="n">
        <x:v>3864</x:v>
      </x:c>
      <x:c r="I253" s="32" t="n">
        <x:v>3897</x:v>
      </x:c>
      <x:c r="J253" s="28" t="str">
        <x:v>Semanal</x:v>
      </x:c>
      <x:c r="K253" s="28" t="str">
        <x:v>2024-S42</x:v>
      </x:c>
    </x:row>
    <x:row r="254">
      <x:c r="A254" s="34" t="n">
        <x:v>45586</x:v>
      </x:c>
      <x:c r="B254" s="28" t="str">
        <x:v>Grupo Industrial S.A.</x:v>
      </x:c>
      <x:c r="C254" s="28" t="str">
        <x:v>Planta São Paulo</x:v>
      </x:c>
      <x:c r="D254" s="28" t="str">
        <x:v>Alimentos</x:v>
      </x:c>
      <x:c r="E254" s="28" t="str">
        <x:v>SKU-001</x:v>
      </x:c>
      <x:c r="F254" s="32" t="n">
        <x:v>6499</x:v>
      </x:c>
      <x:c r="G254" s="32" t="n">
        <x:v>6241</x:v>
      </x:c>
      <x:c r="H254" s="32" t="n">
        <x:v>5662</x:v>
      </x:c>
      <x:c r="I254" s="32" t="n">
        <x:v>6044</x:v>
      </x:c>
      <x:c r="J254" s="28" t="str">
        <x:v>Semanal</x:v>
      </x:c>
      <x:c r="K254" s="28" t="str">
        <x:v>2024-S43</x:v>
      </x:c>
    </x:row>
    <x:row r="255">
      <x:c r="A255" s="34" t="n">
        <x:v>45586</x:v>
      </x:c>
      <x:c r="B255" s="28" t="str">
        <x:v>Grupo Industrial S.A.</x:v>
      </x:c>
      <x:c r="C255" s="28" t="str">
        <x:v>Planta São Paulo</x:v>
      </x:c>
      <x:c r="D255" s="28" t="str">
        <x:v>Alimentos</x:v>
      </x:c>
      <x:c r="E255" s="28" t="str">
        <x:v>SKU-002</x:v>
      </x:c>
      <x:c r="F255" s="32" t="n">
        <x:v>6221</x:v>
      </x:c>
      <x:c r="G255" s="32" t="n">
        <x:v>6244</x:v>
      </x:c>
      <x:c r="H255" s="32" t="n">
        <x:v>5528</x:v>
      </x:c>
      <x:c r="I255" s="32" t="n">
        <x:v>5786</x:v>
      </x:c>
      <x:c r="J255" s="28" t="str">
        <x:v>Semanal</x:v>
      </x:c>
      <x:c r="K255" s="28" t="str">
        <x:v>2024-S43</x:v>
      </x:c>
    </x:row>
    <x:row r="256">
      <x:c r="A256" s="34" t="n">
        <x:v>45586</x:v>
      </x:c>
      <x:c r="B256" s="28" t="str">
        <x:v>Grupo Industrial S.A.</x:v>
      </x:c>
      <x:c r="C256" s="28" t="str">
        <x:v>Planta Campinas</x:v>
      </x:c>
      <x:c r="D256" s="28" t="str">
        <x:v>Higiene e Limpeza</x:v>
      </x:c>
      <x:c r="E256" s="28" t="str">
        <x:v>SKU-078</x:v>
      </x:c>
      <x:c r="F256" s="32" t="n">
        <x:v>4905</x:v>
      </x:c>
      <x:c r="G256" s="32" t="n">
        <x:v>4631</x:v>
      </x:c>
      <x:c r="H256" s="32" t="n">
        <x:v>4318</x:v>
      </x:c>
      <x:c r="I256" s="32" t="n">
        <x:v>4562</x:v>
      </x:c>
      <x:c r="J256" s="28" t="str">
        <x:v>Semanal</x:v>
      </x:c>
      <x:c r="K256" s="28" t="str">
        <x:v>2024-S43</x:v>
      </x:c>
    </x:row>
    <x:row r="257">
      <x:c r="A257" s="34" t="n">
        <x:v>45586</x:v>
      </x:c>
      <x:c r="B257" s="28" t="str">
        <x:v>Grupo Industrial S.A.</x:v>
      </x:c>
      <x:c r="C257" s="28" t="str">
        <x:v>Planta Campinas</x:v>
      </x:c>
      <x:c r="D257" s="28" t="str">
        <x:v>Embalagens</x:v>
      </x:c>
      <x:c r="E257" s="28" t="str">
        <x:v>SKU-105</x:v>
      </x:c>
      <x:c r="F257" s="32" t="n">
        <x:v>4198</x:v>
      </x:c>
      <x:c r="G257" s="32" t="n">
        <x:v>3952</x:v>
      </x:c>
      <x:c r="H257" s="32" t="n">
        <x:v>3730</x:v>
      </x:c>
      <x:c r="I257" s="32" t="n">
        <x:v>3904</x:v>
      </x:c>
      <x:c r="J257" s="28" t="str">
        <x:v>Semanal</x:v>
      </x:c>
      <x:c r="K257" s="28" t="str">
        <x:v>2024-S43</x:v>
      </x:c>
    </x:row>
    <x:row r="258">
      <x:c r="A258" s="34" t="n">
        <x:v>45586</x:v>
      </x:c>
      <x:c r="B258" s="28" t="str">
        <x:v>Grupo Industrial S.A.</x:v>
      </x:c>
      <x:c r="C258" s="28" t="str">
        <x:v>Planta Curitiba</x:v>
      </x:c>
      <x:c r="D258" s="28" t="str">
        <x:v>Bebidas</x:v>
      </x:c>
      <x:c r="E258" s="28" t="str">
        <x:v>SKU-223</x:v>
      </x:c>
      <x:c r="F258" s="32" t="n">
        <x:v>4739</x:v>
      </x:c>
      <x:c r="G258" s="32" t="n">
        <x:v>4779</x:v>
      </x:c>
      <x:c r="H258" s="32" t="n">
        <x:v>4557</x:v>
      </x:c>
      <x:c r="I258" s="32" t="n">
        <x:v>4407</x:v>
      </x:c>
      <x:c r="J258" s="28" t="str">
        <x:v>Semanal</x:v>
      </x:c>
      <x:c r="K258" s="28" t="str">
        <x:v>2024-S43</x:v>
      </x:c>
    </x:row>
    <x:row r="259">
      <x:c r="A259" s="34" t="n">
        <x:v>45586</x:v>
      </x:c>
      <x:c r="B259" s="28" t="str">
        <x:v>Grupo Industrial S.A.</x:v>
      </x:c>
      <x:c r="C259" s="28" t="str">
        <x:v>Planta Curitiba</x:v>
      </x:c>
      <x:c r="D259" s="28" t="str">
        <x:v>Alimentos</x:v>
      </x:c>
      <x:c r="E259" s="28" t="str">
        <x:v>SKU-432</x:v>
      </x:c>
      <x:c r="F259" s="32" t="n">
        <x:v>4410</x:v>
      </x:c>
      <x:c r="G259" s="32" t="n">
        <x:v>4537</x:v>
      </x:c>
      <x:c r="H259" s="32" t="n">
        <x:v>4347</x:v>
      </x:c>
      <x:c r="I259" s="32" t="n">
        <x:v>4101</x:v>
      </x:c>
      <x:c r="J259" s="28" t="str">
        <x:v>Semanal</x:v>
      </x:c>
      <x:c r="K259" s="28" t="str">
        <x:v>2024-S43</x:v>
      </x:c>
    </x:row>
    <x:row r="260">
      <x:c r="A260" s="34" t="n">
        <x:v>45593</x:v>
      </x:c>
      <x:c r="B260" s="28" t="str">
        <x:v>Grupo Industrial S.A.</x:v>
      </x:c>
      <x:c r="C260" s="28" t="str">
        <x:v>Planta São Paulo</x:v>
      </x:c>
      <x:c r="D260" s="28" t="str">
        <x:v>Alimentos</x:v>
      </x:c>
      <x:c r="E260" s="28" t="str">
        <x:v>SKU-001</x:v>
      </x:c>
      <x:c r="F260" s="32" t="n">
        <x:v>6969</x:v>
      </x:c>
      <x:c r="G260" s="32" t="n">
        <x:v>6770</x:v>
      </x:c>
      <x:c r="H260" s="32" t="n">
        <x:v>5883</x:v>
      </x:c>
      <x:c r="I260" s="32" t="n">
        <x:v>6481</x:v>
      </x:c>
      <x:c r="J260" s="28" t="str">
        <x:v>Semanal</x:v>
      </x:c>
      <x:c r="K260" s="28" t="str">
        <x:v>2024-S44</x:v>
      </x:c>
    </x:row>
    <x:row r="261">
      <x:c r="A261" s="34" t="n">
        <x:v>45593</x:v>
      </x:c>
      <x:c r="B261" s="28" t="str">
        <x:v>Grupo Industrial S.A.</x:v>
      </x:c>
      <x:c r="C261" s="28" t="str">
        <x:v>Planta São Paulo</x:v>
      </x:c>
      <x:c r="D261" s="28" t="str">
        <x:v>Alimentos</x:v>
      </x:c>
      <x:c r="E261" s="28" t="str">
        <x:v>SKU-002</x:v>
      </x:c>
      <x:c r="F261" s="32" t="n">
        <x:v>5976</x:v>
      </x:c>
      <x:c r="G261" s="32" t="n">
        <x:v>5797</x:v>
      </x:c>
      <x:c r="H261" s="32" t="n">
        <x:v>5564</x:v>
      </x:c>
      <x:c r="I261" s="32" t="n">
        <x:v>5558</x:v>
      </x:c>
      <x:c r="J261" s="28" t="str">
        <x:v>Semanal</x:v>
      </x:c>
      <x:c r="K261" s="28" t="str">
        <x:v>2024-S44</x:v>
      </x:c>
    </x:row>
    <x:row r="262">
      <x:c r="A262" s="34" t="n">
        <x:v>45593</x:v>
      </x:c>
      <x:c r="B262" s="28" t="str">
        <x:v>Grupo Industrial S.A.</x:v>
      </x:c>
      <x:c r="C262" s="28" t="str">
        <x:v>Planta Campinas</x:v>
      </x:c>
      <x:c r="D262" s="28" t="str">
        <x:v>Higiene e Limpeza</x:v>
      </x:c>
      <x:c r="E262" s="28" t="str">
        <x:v>SKU-078</x:v>
      </x:c>
      <x:c r="F262" s="32" t="n">
        <x:v>4526</x:v>
      </x:c>
      <x:c r="G262" s="32" t="n">
        <x:v>4376</x:v>
      </x:c>
      <x:c r="H262" s="32" t="n">
        <x:v>4207</x:v>
      </x:c>
      <x:c r="I262" s="32" t="n">
        <x:v>4209</x:v>
      </x:c>
      <x:c r="J262" s="28" t="str">
        <x:v>Semanal</x:v>
      </x:c>
      <x:c r="K262" s="28" t="str">
        <x:v>2024-S44</x:v>
      </x:c>
    </x:row>
    <x:row r="263">
      <x:c r="A263" s="34" t="n">
        <x:v>45593</x:v>
      </x:c>
      <x:c r="B263" s="28" t="str">
        <x:v>Grupo Industrial S.A.</x:v>
      </x:c>
      <x:c r="C263" s="28" t="str">
        <x:v>Planta Campinas</x:v>
      </x:c>
      <x:c r="D263" s="28" t="str">
        <x:v>Embalagens</x:v>
      </x:c>
      <x:c r="E263" s="28" t="str">
        <x:v>SKU-105</x:v>
      </x:c>
      <x:c r="F263" s="32" t="n">
        <x:v>4052</x:v>
      </x:c>
      <x:c r="G263" s="32" t="n">
        <x:v>3845</x:v>
      </x:c>
      <x:c r="H263" s="32" t="n">
        <x:v>3649</x:v>
      </x:c>
      <x:c r="I263" s="32" t="n">
        <x:v>3768</x:v>
      </x:c>
      <x:c r="J263" s="28" t="str">
        <x:v>Semanal</x:v>
      </x:c>
      <x:c r="K263" s="28" t="str">
        <x:v>2024-S44</x:v>
      </x:c>
    </x:row>
    <x:row r="264">
      <x:c r="A264" s="34" t="n">
        <x:v>45593</x:v>
      </x:c>
      <x:c r="B264" s="28" t="str">
        <x:v>Grupo Industrial S.A.</x:v>
      </x:c>
      <x:c r="C264" s="28" t="str">
        <x:v>Planta Curitiba</x:v>
      </x:c>
      <x:c r="D264" s="28" t="str">
        <x:v>Bebidas</x:v>
      </x:c>
      <x:c r="E264" s="28" t="str">
        <x:v>SKU-223</x:v>
      </x:c>
      <x:c r="F264" s="32" t="n">
        <x:v>5082</x:v>
      </x:c>
      <x:c r="G264" s="32" t="n">
        <x:v>5100</x:v>
      </x:c>
      <x:c r="H264" s="32" t="n">
        <x:v>4850</x:v>
      </x:c>
      <x:c r="I264" s="32" t="n">
        <x:v>4726</x:v>
      </x:c>
      <x:c r="J264" s="28" t="str">
        <x:v>Semanal</x:v>
      </x:c>
      <x:c r="K264" s="28" t="str">
        <x:v>2024-S44</x:v>
      </x:c>
    </x:row>
    <x:row r="265">
      <x:c r="A265" s="34" t="n">
        <x:v>45593</x:v>
      </x:c>
      <x:c r="B265" s="28" t="str">
        <x:v>Grupo Industrial S.A.</x:v>
      </x:c>
      <x:c r="C265" s="28" t="str">
        <x:v>Planta Curitiba</x:v>
      </x:c>
      <x:c r="D265" s="28" t="str">
        <x:v>Alimentos</x:v>
      </x:c>
      <x:c r="E265" s="28" t="str">
        <x:v>SKU-432</x:v>
      </x:c>
      <x:c r="F265" s="32" t="n">
        <x:v>4352</x:v>
      </x:c>
      <x:c r="G265" s="32" t="n">
        <x:v>4410</x:v>
      </x:c>
      <x:c r="H265" s="32" t="n">
        <x:v>4045</x:v>
      </x:c>
      <x:c r="I265" s="32" t="n">
        <x:v>4047</x:v>
      </x:c>
      <x:c r="J265" s="28" t="str">
        <x:v>Semanal</x:v>
      </x:c>
      <x:c r="K265" s="28" t="str">
        <x:v>2024-S44</x:v>
      </x:c>
    </x:row>
    <x:row r="266">
      <x:c r="A266" s="34" t="n">
        <x:v>45600</x:v>
      </x:c>
      <x:c r="B266" s="28" t="str">
        <x:v>Grupo Industrial S.A.</x:v>
      </x:c>
      <x:c r="C266" s="28" t="str">
        <x:v>Planta São Paulo</x:v>
      </x:c>
      <x:c r="D266" s="28" t="str">
        <x:v>Alimentos</x:v>
      </x:c>
      <x:c r="E266" s="28" t="str">
        <x:v>SKU-001</x:v>
      </x:c>
      <x:c r="F266" s="32" t="n">
        <x:v>6575</x:v>
      </x:c>
      <x:c r="G266" s="32" t="n">
        <x:v>6577</x:v>
      </x:c>
      <x:c r="H266" s="32" t="n">
        <x:v>6010</x:v>
      </x:c>
      <x:c r="I266" s="32" t="n">
        <x:v>6115</x:v>
      </x:c>
      <x:c r="J266" s="28" t="str">
        <x:v>Semanal</x:v>
      </x:c>
      <x:c r="K266" s="28" t="str">
        <x:v>2024-S45</x:v>
      </x:c>
    </x:row>
    <x:row r="267">
      <x:c r="A267" s="34" t="n">
        <x:v>45600</x:v>
      </x:c>
      <x:c r="B267" s="28" t="str">
        <x:v>Grupo Industrial S.A.</x:v>
      </x:c>
      <x:c r="C267" s="28" t="str">
        <x:v>Planta São Paulo</x:v>
      </x:c>
      <x:c r="D267" s="28" t="str">
        <x:v>Alimentos</x:v>
      </x:c>
      <x:c r="E267" s="28" t="str">
        <x:v>SKU-002</x:v>
      </x:c>
      <x:c r="F267" s="32" t="n">
        <x:v>5485</x:v>
      </x:c>
      <x:c r="G267" s="32" t="n">
        <x:v>5299</x:v>
      </x:c>
      <x:c r="H267" s="32" t="n">
        <x:v>4879</x:v>
      </x:c>
      <x:c r="I267" s="32" t="n">
        <x:v>5101</x:v>
      </x:c>
      <x:c r="J267" s="28" t="str">
        <x:v>Semanal</x:v>
      </x:c>
      <x:c r="K267" s="28" t="str">
        <x:v>2024-S45</x:v>
      </x:c>
    </x:row>
    <x:row r="268">
      <x:c r="A268" s="34" t="n">
        <x:v>45600</x:v>
      </x:c>
      <x:c r="B268" s="28" t="str">
        <x:v>Grupo Industrial S.A.</x:v>
      </x:c>
      <x:c r="C268" s="28" t="str">
        <x:v>Planta Campinas</x:v>
      </x:c>
      <x:c r="D268" s="28" t="str">
        <x:v>Higiene e Limpeza</x:v>
      </x:c>
      <x:c r="E268" s="28" t="str">
        <x:v>SKU-078</x:v>
      </x:c>
      <x:c r="F268" s="32" t="n">
        <x:v>4697</x:v>
      </x:c>
      <x:c r="G268" s="32" t="n">
        <x:v>4441</x:v>
      </x:c>
      <x:c r="H268" s="32" t="n">
        <x:v>4252</x:v>
      </x:c>
      <x:c r="I268" s="32" t="n">
        <x:v>4368</x:v>
      </x:c>
      <x:c r="J268" s="28" t="str">
        <x:v>Semanal</x:v>
      </x:c>
      <x:c r="K268" s="28" t="str">
        <x:v>2024-S45</x:v>
      </x:c>
    </x:row>
    <x:row r="269">
      <x:c r="A269" s="34" t="n">
        <x:v>45600</x:v>
      </x:c>
      <x:c r="B269" s="28" t="str">
        <x:v>Grupo Industrial S.A.</x:v>
      </x:c>
      <x:c r="C269" s="28" t="str">
        <x:v>Planta Campinas</x:v>
      </x:c>
      <x:c r="D269" s="28" t="str">
        <x:v>Embalagens</x:v>
      </x:c>
      <x:c r="E269" s="28" t="str">
        <x:v>SKU-105</x:v>
      </x:c>
      <x:c r="F269" s="32" t="n">
        <x:v>4115</x:v>
      </x:c>
      <x:c r="G269" s="32" t="n">
        <x:v>3891</x:v>
      </x:c>
      <x:c r="H269" s="32" t="n">
        <x:v>3703</x:v>
      </x:c>
      <x:c r="I269" s="32" t="n">
        <x:v>3827</x:v>
      </x:c>
      <x:c r="J269" s="28" t="str">
        <x:v>Semanal</x:v>
      </x:c>
      <x:c r="K269" s="28" t="str">
        <x:v>2024-S45</x:v>
      </x:c>
    </x:row>
    <x:row r="270">
      <x:c r="A270" s="34" t="n">
        <x:v>45600</x:v>
      </x:c>
      <x:c r="B270" s="28" t="str">
        <x:v>Grupo Industrial S.A.</x:v>
      </x:c>
      <x:c r="C270" s="28" t="str">
        <x:v>Planta Curitiba</x:v>
      </x:c>
      <x:c r="D270" s="28" t="str">
        <x:v>Bebidas</x:v>
      </x:c>
      <x:c r="E270" s="28" t="str">
        <x:v>SKU-223</x:v>
      </x:c>
      <x:c r="F270" s="32" t="n">
        <x:v>4535</x:v>
      </x:c>
      <x:c r="G270" s="32" t="n">
        <x:v>4619</x:v>
      </x:c>
      <x:c r="H270" s="32" t="n">
        <x:v>4245</x:v>
      </x:c>
      <x:c r="I270" s="32" t="n">
        <x:v>4218</x:v>
      </x:c>
      <x:c r="J270" s="28" t="str">
        <x:v>Semanal</x:v>
      </x:c>
      <x:c r="K270" s="28" t="str">
        <x:v>2024-S45</x:v>
      </x:c>
    </x:row>
    <x:row r="271">
      <x:c r="A271" s="34" t="n">
        <x:v>45600</x:v>
      </x:c>
      <x:c r="B271" s="28" t="str">
        <x:v>Grupo Industrial S.A.</x:v>
      </x:c>
      <x:c r="C271" s="28" t="str">
        <x:v>Planta Curitiba</x:v>
      </x:c>
      <x:c r="D271" s="28" t="str">
        <x:v>Alimentos</x:v>
      </x:c>
      <x:c r="E271" s="28" t="str">
        <x:v>SKU-432</x:v>
      </x:c>
      <x:c r="F271" s="32" t="n">
        <x:v>4199</x:v>
      </x:c>
      <x:c r="G271" s="32" t="n">
        <x:v>4299</x:v>
      </x:c>
      <x:c r="H271" s="32" t="n">
        <x:v>3990</x:v>
      </x:c>
      <x:c r="I271" s="32" t="n">
        <x:v>3905</x:v>
      </x:c>
      <x:c r="J271" s="28" t="str">
        <x:v>Semanal</x:v>
      </x:c>
      <x:c r="K271" s="28" t="str">
        <x:v>2024-S45</x:v>
      </x:c>
    </x:row>
    <x:row r="272">
      <x:c r="A272" s="34" t="n">
        <x:v>45607</x:v>
      </x:c>
      <x:c r="B272" s="28" t="str">
        <x:v>Grupo Industrial S.A.</x:v>
      </x:c>
      <x:c r="C272" s="28" t="str">
        <x:v>Planta São Paulo</x:v>
      </x:c>
      <x:c r="D272" s="28" t="str">
        <x:v>Alimentos</x:v>
      </x:c>
      <x:c r="E272" s="28" t="str">
        <x:v>SKU-001</x:v>
      </x:c>
      <x:c r="F272" s="32" t="n">
        <x:v>6371</x:v>
      </x:c>
      <x:c r="G272" s="32" t="n">
        <x:v>6422</x:v>
      </x:c>
      <x:c r="H272" s="32" t="n">
        <x:v>5848</x:v>
      </x:c>
      <x:c r="I272" s="32" t="n">
        <x:v>5925</x:v>
      </x:c>
      <x:c r="J272" s="28" t="str">
        <x:v>Semanal</x:v>
      </x:c>
      <x:c r="K272" s="28" t="str">
        <x:v>2024-S46</x:v>
      </x:c>
    </x:row>
    <x:row r="273">
      <x:c r="A273" s="34" t="n">
        <x:v>45607</x:v>
      </x:c>
      <x:c r="B273" s="28" t="str">
        <x:v>Grupo Industrial S.A.</x:v>
      </x:c>
      <x:c r="C273" s="28" t="str">
        <x:v>Planta São Paulo</x:v>
      </x:c>
      <x:c r="D273" s="28" t="str">
        <x:v>Alimentos</x:v>
      </x:c>
      <x:c r="E273" s="28" t="str">
        <x:v>SKU-002</x:v>
      </x:c>
      <x:c r="F273" s="32" t="n">
        <x:v>5514</x:v>
      </x:c>
      <x:c r="G273" s="32" t="n">
        <x:v>5490</x:v>
      </x:c>
      <x:c r="H273" s="32" t="n">
        <x:v>5226</x:v>
      </x:c>
      <x:c r="I273" s="32" t="n">
        <x:v>5128</x:v>
      </x:c>
      <x:c r="J273" s="28" t="str">
        <x:v>Semanal</x:v>
      </x:c>
      <x:c r="K273" s="28" t="str">
        <x:v>2024-S46</x:v>
      </x:c>
    </x:row>
    <x:row r="274">
      <x:c r="A274" s="34" t="n">
        <x:v>45607</x:v>
      </x:c>
      <x:c r="B274" s="28" t="str">
        <x:v>Grupo Industrial S.A.</x:v>
      </x:c>
      <x:c r="C274" s="28" t="str">
        <x:v>Planta Campinas</x:v>
      </x:c>
      <x:c r="D274" s="28" t="str">
        <x:v>Higiene e Limpeza</x:v>
      </x:c>
      <x:c r="E274" s="28" t="str">
        <x:v>SKU-078</x:v>
      </x:c>
      <x:c r="F274" s="32" t="n">
        <x:v>4826</x:v>
      </x:c>
      <x:c r="G274" s="32" t="n">
        <x:v>4607</x:v>
      </x:c>
      <x:c r="H274" s="32" t="n">
        <x:v>4314</x:v>
      </x:c>
      <x:c r="I274" s="32" t="n">
        <x:v>4488</x:v>
      </x:c>
      <x:c r="J274" s="28" t="str">
        <x:v>Semanal</x:v>
      </x:c>
      <x:c r="K274" s="28" t="str">
        <x:v>2024-S46</x:v>
      </x:c>
    </x:row>
    <x:row r="275">
      <x:c r="A275" s="34" t="n">
        <x:v>45607</x:v>
      </x:c>
      <x:c r="B275" s="28" t="str">
        <x:v>Grupo Industrial S.A.</x:v>
      </x:c>
      <x:c r="C275" s="28" t="str">
        <x:v>Planta Campinas</x:v>
      </x:c>
      <x:c r="D275" s="28" t="str">
        <x:v>Embalagens</x:v>
      </x:c>
      <x:c r="E275" s="28" t="str">
        <x:v>SKU-105</x:v>
      </x:c>
      <x:c r="F275" s="32" t="n">
        <x:v>4247</x:v>
      </x:c>
      <x:c r="G275" s="32" t="n">
        <x:v>4195</x:v>
      </x:c>
      <x:c r="H275" s="32" t="n">
        <x:v>3844</x:v>
      </x:c>
      <x:c r="I275" s="32" t="n">
        <x:v>3950</x:v>
      </x:c>
      <x:c r="J275" s="28" t="str">
        <x:v>Semanal</x:v>
      </x:c>
      <x:c r="K275" s="28" t="str">
        <x:v>2024-S46</x:v>
      </x:c>
    </x:row>
    <x:row r="276">
      <x:c r="A276" s="34" t="n">
        <x:v>45607</x:v>
      </x:c>
      <x:c r="B276" s="28" t="str">
        <x:v>Grupo Industrial S.A.</x:v>
      </x:c>
      <x:c r="C276" s="28" t="str">
        <x:v>Planta Curitiba</x:v>
      </x:c>
      <x:c r="D276" s="28" t="str">
        <x:v>Bebidas</x:v>
      </x:c>
      <x:c r="E276" s="28" t="str">
        <x:v>SKU-223</x:v>
      </x:c>
      <x:c r="F276" s="32" t="n">
        <x:v>4602</x:v>
      </x:c>
      <x:c r="G276" s="32" t="n">
        <x:v>4587</x:v>
      </x:c>
      <x:c r="H276" s="32" t="n">
        <x:v>4372</x:v>
      </x:c>
      <x:c r="I276" s="32" t="n">
        <x:v>4280</x:v>
      </x:c>
      <x:c r="J276" s="28" t="str">
        <x:v>Semanal</x:v>
      </x:c>
      <x:c r="K276" s="28" t="str">
        <x:v>2024-S46</x:v>
      </x:c>
    </x:row>
    <x:row r="277">
      <x:c r="A277" s="34" t="n">
        <x:v>45607</x:v>
      </x:c>
      <x:c r="B277" s="28" t="str">
        <x:v>Grupo Industrial S.A.</x:v>
      </x:c>
      <x:c r="C277" s="28" t="str">
        <x:v>Planta Curitiba</x:v>
      </x:c>
      <x:c r="D277" s="28" t="str">
        <x:v>Alimentos</x:v>
      </x:c>
      <x:c r="E277" s="28" t="str">
        <x:v>SKU-432</x:v>
      </x:c>
      <x:c r="F277" s="32" t="n">
        <x:v>4294</x:v>
      </x:c>
      <x:c r="G277" s="32" t="n">
        <x:v>4242</x:v>
      </x:c>
      <x:c r="H277" s="32" t="n">
        <x:v>3928</x:v>
      </x:c>
      <x:c r="I277" s="32" t="n">
        <x:v>3993</x:v>
      </x:c>
      <x:c r="J277" s="28" t="str">
        <x:v>Semanal</x:v>
      </x:c>
      <x:c r="K277" s="28" t="str">
        <x:v>2024-S46</x:v>
      </x:c>
    </x:row>
    <x:row r="278">
      <x:c r="A278" s="34" t="n">
        <x:v>45614</x:v>
      </x:c>
      <x:c r="B278" s="28" t="str">
        <x:v>Grupo Industrial S.A.</x:v>
      </x:c>
      <x:c r="C278" s="28" t="str">
        <x:v>Planta São Paulo</x:v>
      </x:c>
      <x:c r="D278" s="28" t="str">
        <x:v>Alimentos</x:v>
      </x:c>
      <x:c r="E278" s="28" t="str">
        <x:v>SKU-001</x:v>
      </x:c>
      <x:c r="F278" s="32" t="n">
        <x:v>6577</x:v>
      </x:c>
      <x:c r="G278" s="32" t="n">
        <x:v>6571</x:v>
      </x:c>
      <x:c r="H278" s="32" t="n">
        <x:v>6133</x:v>
      </x:c>
      <x:c r="I278" s="32" t="n">
        <x:v>6117</x:v>
      </x:c>
      <x:c r="J278" s="28" t="str">
        <x:v>Semanal</x:v>
      </x:c>
      <x:c r="K278" s="28" t="str">
        <x:v>2024-S47</x:v>
      </x:c>
    </x:row>
    <x:row r="279">
      <x:c r="A279" s="34" t="n">
        <x:v>45614</x:v>
      </x:c>
      <x:c r="B279" s="28" t="str">
        <x:v>Grupo Industrial S.A.</x:v>
      </x:c>
      <x:c r="C279" s="28" t="str">
        <x:v>Planta São Paulo</x:v>
      </x:c>
      <x:c r="D279" s="28" t="str">
        <x:v>Alimentos</x:v>
      </x:c>
      <x:c r="E279" s="28" t="str">
        <x:v>SKU-002</x:v>
      </x:c>
      <x:c r="F279" s="32" t="n">
        <x:v>6039</x:v>
      </x:c>
      <x:c r="G279" s="32" t="n">
        <x:v>5878</x:v>
      </x:c>
      <x:c r="H279" s="32" t="n">
        <x:v>5631</x:v>
      </x:c>
      <x:c r="I279" s="32" t="n">
        <x:v>5616</x:v>
      </x:c>
      <x:c r="J279" s="28" t="str">
        <x:v>Semanal</x:v>
      </x:c>
      <x:c r="K279" s="28" t="str">
        <x:v>2024-S47</x:v>
      </x:c>
    </x:row>
    <x:row r="280">
      <x:c r="A280" s="34" t="n">
        <x:v>45614</x:v>
      </x:c>
      <x:c r="B280" s="28" t="str">
        <x:v>Grupo Industrial S.A.</x:v>
      </x:c>
      <x:c r="C280" s="28" t="str">
        <x:v>Planta Campinas</x:v>
      </x:c>
      <x:c r="D280" s="28" t="str">
        <x:v>Higiene e Limpeza</x:v>
      </x:c>
      <x:c r="E280" s="28" t="str">
        <x:v>SKU-078</x:v>
      </x:c>
      <x:c r="F280" s="32" t="n">
        <x:v>4712</x:v>
      </x:c>
      <x:c r="G280" s="32" t="n">
        <x:v>4624</x:v>
      </x:c>
      <x:c r="H280" s="32" t="n">
        <x:v>4185</x:v>
      </x:c>
      <x:c r="I280" s="32" t="n">
        <x:v>4382</x:v>
      </x:c>
      <x:c r="J280" s="28" t="str">
        <x:v>Semanal</x:v>
      </x:c>
      <x:c r="K280" s="28" t="str">
        <x:v>2024-S47</x:v>
      </x:c>
    </x:row>
    <x:row r="281">
      <x:c r="A281" s="34" t="n">
        <x:v>45614</x:v>
      </x:c>
      <x:c r="B281" s="28" t="str">
        <x:v>Grupo Industrial S.A.</x:v>
      </x:c>
      <x:c r="C281" s="28" t="str">
        <x:v>Planta Campinas</x:v>
      </x:c>
      <x:c r="D281" s="28" t="str">
        <x:v>Embalagens</x:v>
      </x:c>
      <x:c r="E281" s="28" t="str">
        <x:v>SKU-105</x:v>
      </x:c>
      <x:c r="F281" s="32" t="n">
        <x:v>4172</x:v>
      </x:c>
      <x:c r="G281" s="32" t="n">
        <x:v>4008</x:v>
      </x:c>
      <x:c r="H281" s="32" t="n">
        <x:v>3855</x:v>
      </x:c>
      <x:c r="I281" s="32" t="n">
        <x:v>3880</x:v>
      </x:c>
      <x:c r="J281" s="28" t="str">
        <x:v>Semanal</x:v>
      </x:c>
      <x:c r="K281" s="28" t="str">
        <x:v>2024-S47</x:v>
      </x:c>
    </x:row>
    <x:row r="282">
      <x:c r="A282" s="34" t="n">
        <x:v>45614</x:v>
      </x:c>
      <x:c r="B282" s="28" t="str">
        <x:v>Grupo Industrial S.A.</x:v>
      </x:c>
      <x:c r="C282" s="28" t="str">
        <x:v>Planta Curitiba</x:v>
      </x:c>
      <x:c r="D282" s="28" t="str">
        <x:v>Bebidas</x:v>
      </x:c>
      <x:c r="E282" s="28" t="str">
        <x:v>SKU-223</x:v>
      </x:c>
      <x:c r="F282" s="32" t="n">
        <x:v>4475</x:v>
      </x:c>
      <x:c r="G282" s="32" t="n">
        <x:v>4464</x:v>
      </x:c>
      <x:c r="H282" s="32" t="n">
        <x:v>4142</x:v>
      </x:c>
      <x:c r="I282" s="32" t="n">
        <x:v>4162</x:v>
      </x:c>
      <x:c r="J282" s="28" t="str">
        <x:v>Semanal</x:v>
      </x:c>
      <x:c r="K282" s="28" t="str">
        <x:v>2024-S47</x:v>
      </x:c>
    </x:row>
    <x:row r="283">
      <x:c r="A283" s="34" t="n">
        <x:v>45614</x:v>
      </x:c>
      <x:c r="B283" s="28" t="str">
        <x:v>Grupo Industrial S.A.</x:v>
      </x:c>
      <x:c r="C283" s="28" t="str">
        <x:v>Planta Curitiba</x:v>
      </x:c>
      <x:c r="D283" s="28" t="str">
        <x:v>Alimentos</x:v>
      </x:c>
      <x:c r="E283" s="28" t="str">
        <x:v>SKU-432</x:v>
      </x:c>
      <x:c r="F283" s="32" t="n">
        <x:v>3978</x:v>
      </x:c>
      <x:c r="G283" s="32" t="n">
        <x:v>3943</x:v>
      </x:c>
      <x:c r="H283" s="32" t="n">
        <x:v>3699</x:v>
      </x:c>
      <x:c r="I283" s="32" t="n">
        <x:v>3700</x:v>
      </x:c>
      <x:c r="J283" s="28" t="str">
        <x:v>Semanal</x:v>
      </x:c>
      <x:c r="K283" s="28" t="str">
        <x:v>2024-S47</x:v>
      </x:c>
    </x:row>
    <x:row r="284">
      <x:c r="A284" s="34" t="n">
        <x:v>45621</x:v>
      </x:c>
      <x:c r="B284" s="28" t="str">
        <x:v>Grupo Industrial S.A.</x:v>
      </x:c>
      <x:c r="C284" s="28" t="str">
        <x:v>Planta São Paulo</x:v>
      </x:c>
      <x:c r="D284" s="28" t="str">
        <x:v>Alimentos</x:v>
      </x:c>
      <x:c r="E284" s="28" t="str">
        <x:v>SKU-001</x:v>
      </x:c>
      <x:c r="F284" s="32" t="n">
        <x:v>6444</x:v>
      </x:c>
      <x:c r="G284" s="32" t="n">
        <x:v>6396</x:v>
      </x:c>
      <x:c r="H284" s="32" t="n">
        <x:v>5992</x:v>
      </x:c>
      <x:c r="I284" s="32" t="n">
        <x:v>5993</x:v>
      </x:c>
      <x:c r="J284" s="28" t="str">
        <x:v>Semanal</x:v>
      </x:c>
      <x:c r="K284" s="28" t="str">
        <x:v>2024-S48</x:v>
      </x:c>
    </x:row>
    <x:row r="285">
      <x:c r="A285" s="34" t="n">
        <x:v>45621</x:v>
      </x:c>
      <x:c r="B285" s="28" t="str">
        <x:v>Grupo Industrial S.A.</x:v>
      </x:c>
      <x:c r="C285" s="28" t="str">
        <x:v>Planta São Paulo</x:v>
      </x:c>
      <x:c r="D285" s="28" t="str">
        <x:v>Alimentos</x:v>
      </x:c>
      <x:c r="E285" s="28" t="str">
        <x:v>SKU-002</x:v>
      </x:c>
      <x:c r="F285" s="32" t="n">
        <x:v>5570</x:v>
      </x:c>
      <x:c r="G285" s="32" t="n">
        <x:v>5558</x:v>
      </x:c>
      <x:c r="H285" s="32" t="n">
        <x:v>5030</x:v>
      </x:c>
      <x:c r="I285" s="32" t="n">
        <x:v>5180</x:v>
      </x:c>
      <x:c r="J285" s="28" t="str">
        <x:v>Semanal</x:v>
      </x:c>
      <x:c r="K285" s="28" t="str">
        <x:v>2024-S48</x:v>
      </x:c>
    </x:row>
    <x:row r="286">
      <x:c r="A286" s="34" t="n">
        <x:v>45621</x:v>
      </x:c>
      <x:c r="B286" s="28" t="str">
        <x:v>Grupo Industrial S.A.</x:v>
      </x:c>
      <x:c r="C286" s="28" t="str">
        <x:v>Planta Campinas</x:v>
      </x:c>
      <x:c r="D286" s="28" t="str">
        <x:v>Higiene e Limpeza</x:v>
      </x:c>
      <x:c r="E286" s="28" t="str">
        <x:v>SKU-078</x:v>
      </x:c>
      <x:c r="F286" s="32" t="n">
        <x:v>4606</x:v>
      </x:c>
      <x:c r="G286" s="32" t="n">
        <x:v>4343</x:v>
      </x:c>
      <x:c r="H286" s="32" t="n">
        <x:v>4186</x:v>
      </x:c>
      <x:c r="I286" s="32" t="n">
        <x:v>4284</x:v>
      </x:c>
      <x:c r="J286" s="28" t="str">
        <x:v>Semanal</x:v>
      </x:c>
      <x:c r="K286" s="28" t="str">
        <x:v>2024-S48</x:v>
      </x:c>
    </x:row>
    <x:row r="287">
      <x:c r="A287" s="34" t="n">
        <x:v>45621</x:v>
      </x:c>
      <x:c r="B287" s="28" t="str">
        <x:v>Grupo Industrial S.A.</x:v>
      </x:c>
      <x:c r="C287" s="28" t="str">
        <x:v>Planta Campinas</x:v>
      </x:c>
      <x:c r="D287" s="28" t="str">
        <x:v>Embalagens</x:v>
      </x:c>
      <x:c r="E287" s="28" t="str">
        <x:v>SKU-105</x:v>
      </x:c>
      <x:c r="F287" s="32" t="n">
        <x:v>4261</x:v>
      </x:c>
      <x:c r="G287" s="32" t="n">
        <x:v>4097</x:v>
      </x:c>
      <x:c r="H287" s="32" t="n">
        <x:v>3938</x:v>
      </x:c>
      <x:c r="I287" s="32" t="n">
        <x:v>3963</x:v>
      </x:c>
      <x:c r="J287" s="28" t="str">
        <x:v>Semanal</x:v>
      </x:c>
      <x:c r="K287" s="28" t="str">
        <x:v>2024-S48</x:v>
      </x:c>
    </x:row>
    <x:row r="288">
      <x:c r="A288" s="34" t="n">
        <x:v>45621</x:v>
      </x:c>
      <x:c r="B288" s="28" t="str">
        <x:v>Grupo Industrial S.A.</x:v>
      </x:c>
      <x:c r="C288" s="28" t="str">
        <x:v>Planta Curitiba</x:v>
      </x:c>
      <x:c r="D288" s="28" t="str">
        <x:v>Bebidas</x:v>
      </x:c>
      <x:c r="E288" s="28" t="str">
        <x:v>SKU-223</x:v>
      </x:c>
      <x:c r="F288" s="32" t="n">
        <x:v>4485</x:v>
      </x:c>
      <x:c r="G288" s="32" t="n">
        <x:v>4430</x:v>
      </x:c>
      <x:c r="H288" s="32" t="n">
        <x:v>4114</x:v>
      </x:c>
      <x:c r="I288" s="32" t="n">
        <x:v>4171</x:v>
      </x:c>
      <x:c r="J288" s="28" t="str">
        <x:v>Semanal</x:v>
      </x:c>
      <x:c r="K288" s="28" t="str">
        <x:v>2024-S48</x:v>
      </x:c>
    </x:row>
    <x:row r="289">
      <x:c r="A289" s="34" t="n">
        <x:v>45621</x:v>
      </x:c>
      <x:c r="B289" s="28" t="str">
        <x:v>Grupo Industrial S.A.</x:v>
      </x:c>
      <x:c r="C289" s="28" t="str">
        <x:v>Planta Curitiba</x:v>
      </x:c>
      <x:c r="D289" s="28" t="str">
        <x:v>Alimentos</x:v>
      </x:c>
      <x:c r="E289" s="28" t="str">
        <x:v>SKU-432</x:v>
      </x:c>
      <x:c r="F289" s="32" t="n">
        <x:v>4009</x:v>
      </x:c>
      <x:c r="G289" s="32" t="n">
        <x:v>4050</x:v>
      </x:c>
      <x:c r="H289" s="32" t="n">
        <x:v>3689</x:v>
      </x:c>
      <x:c r="I289" s="32" t="n">
        <x:v>3728</x:v>
      </x:c>
      <x:c r="J289" s="28" t="str">
        <x:v>Semanal</x:v>
      </x:c>
      <x:c r="K289" s="28" t="str">
        <x:v>2024-S48</x:v>
      </x:c>
    </x:row>
    <x:row r="290">
      <x:c r="A290" s="34" t="n">
        <x:v>45628</x:v>
      </x:c>
      <x:c r="B290" s="28" t="str">
        <x:v>Grupo Industrial S.A.</x:v>
      </x:c>
      <x:c r="C290" s="28" t="str">
        <x:v>Planta São Paulo</x:v>
      </x:c>
      <x:c r="D290" s="28" t="str">
        <x:v>Alimentos</x:v>
      </x:c>
      <x:c r="E290" s="28" t="str">
        <x:v>SKU-001</x:v>
      </x:c>
      <x:c r="F290" s="32" t="n">
        <x:v>6131</x:v>
      </x:c>
      <x:c r="G290" s="32" t="n">
        <x:v>5933</x:v>
      </x:c>
      <x:c r="H290" s="32" t="n">
        <x:v>5386</x:v>
      </x:c>
      <x:c r="I290" s="32" t="n">
        <x:v>5702</x:v>
      </x:c>
      <x:c r="J290" s="28" t="str">
        <x:v>Semanal</x:v>
      </x:c>
      <x:c r="K290" s="28" t="str">
        <x:v>2024-S49</x:v>
      </x:c>
    </x:row>
    <x:row r="291">
      <x:c r="A291" s="34" t="n">
        <x:v>45628</x:v>
      </x:c>
      <x:c r="B291" s="28" t="str">
        <x:v>Grupo Industrial S.A.</x:v>
      </x:c>
      <x:c r="C291" s="28" t="str">
        <x:v>Planta São Paulo</x:v>
      </x:c>
      <x:c r="D291" s="28" t="str">
        <x:v>Alimentos</x:v>
      </x:c>
      <x:c r="E291" s="28" t="str">
        <x:v>SKU-002</x:v>
      </x:c>
      <x:c r="F291" s="32" t="n">
        <x:v>5069</x:v>
      </x:c>
      <x:c r="G291" s="32" t="n">
        <x:v>4888</x:v>
      </x:c>
      <x:c r="H291" s="32" t="n">
        <x:v>4504</x:v>
      </x:c>
      <x:c r="I291" s="32" t="n">
        <x:v>4714</x:v>
      </x:c>
      <x:c r="J291" s="28" t="str">
        <x:v>Semanal</x:v>
      </x:c>
      <x:c r="K291" s="28" t="str">
        <x:v>2024-S49</x:v>
      </x:c>
    </x:row>
    <x:row r="292">
      <x:c r="A292" s="34" t="n">
        <x:v>45628</x:v>
      </x:c>
      <x:c r="B292" s="28" t="str">
        <x:v>Grupo Industrial S.A.</x:v>
      </x:c>
      <x:c r="C292" s="28" t="str">
        <x:v>Planta Campinas</x:v>
      </x:c>
      <x:c r="D292" s="28" t="str">
        <x:v>Higiene e Limpeza</x:v>
      </x:c>
      <x:c r="E292" s="28" t="str">
        <x:v>SKU-078</x:v>
      </x:c>
      <x:c r="F292" s="32" t="n">
        <x:v>4108</x:v>
      </x:c>
      <x:c r="G292" s="32" t="n">
        <x:v>4057</x:v>
      </x:c>
      <x:c r="H292" s="32" t="n">
        <x:v>3694</x:v>
      </x:c>
      <x:c r="I292" s="32" t="n">
        <x:v>3820</x:v>
      </x:c>
      <x:c r="J292" s="28" t="str">
        <x:v>Semanal</x:v>
      </x:c>
      <x:c r="K292" s="28" t="str">
        <x:v>2024-S49</x:v>
      </x:c>
    </x:row>
    <x:row r="293">
      <x:c r="A293" s="34" t="n">
        <x:v>45628</x:v>
      </x:c>
      <x:c r="B293" s="28" t="str">
        <x:v>Grupo Industrial S.A.</x:v>
      </x:c>
      <x:c r="C293" s="28" t="str">
        <x:v>Planta Campinas</x:v>
      </x:c>
      <x:c r="D293" s="28" t="str">
        <x:v>Embalagens</x:v>
      </x:c>
      <x:c r="E293" s="28" t="str">
        <x:v>SKU-105</x:v>
      </x:c>
      <x:c r="F293" s="32" t="n">
        <x:v>3815</x:v>
      </x:c>
      <x:c r="G293" s="32" t="n">
        <x:v>3690</x:v>
      </x:c>
      <x:c r="H293" s="32" t="n">
        <x:v>3527</x:v>
      </x:c>
      <x:c r="I293" s="32" t="n">
        <x:v>3548</x:v>
      </x:c>
      <x:c r="J293" s="28" t="str">
        <x:v>Semanal</x:v>
      </x:c>
      <x:c r="K293" s="28" t="str">
        <x:v>2024-S49</x:v>
      </x:c>
    </x:row>
    <x:row r="294">
      <x:c r="A294" s="34" t="n">
        <x:v>45628</x:v>
      </x:c>
      <x:c r="B294" s="28" t="str">
        <x:v>Grupo Industrial S.A.</x:v>
      </x:c>
      <x:c r="C294" s="28" t="str">
        <x:v>Planta Curitiba</x:v>
      </x:c>
      <x:c r="D294" s="28" t="str">
        <x:v>Bebidas</x:v>
      </x:c>
      <x:c r="E294" s="28" t="str">
        <x:v>SKU-223</x:v>
      </x:c>
      <x:c r="F294" s="32" t="n">
        <x:v>4046</x:v>
      </x:c>
      <x:c r="G294" s="32" t="n">
        <x:v>4027</x:v>
      </x:c>
      <x:c r="H294" s="32" t="n">
        <x:v>3837</x:v>
      </x:c>
      <x:c r="I294" s="32" t="n">
        <x:v>3763</x:v>
      </x:c>
      <x:c r="J294" s="28" t="str">
        <x:v>Semanal</x:v>
      </x:c>
      <x:c r="K294" s="28" t="str">
        <x:v>2024-S49</x:v>
      </x:c>
    </x:row>
    <x:row r="295">
      <x:c r="A295" s="34" t="n">
        <x:v>45628</x:v>
      </x:c>
      <x:c r="B295" s="28" t="str">
        <x:v>Grupo Industrial S.A.</x:v>
      </x:c>
      <x:c r="C295" s="28" t="str">
        <x:v>Planta Curitiba</x:v>
      </x:c>
      <x:c r="D295" s="28" t="str">
        <x:v>Alimentos</x:v>
      </x:c>
      <x:c r="E295" s="28" t="str">
        <x:v>SKU-432</x:v>
      </x:c>
      <x:c r="F295" s="32" t="n">
        <x:v>3870</x:v>
      </x:c>
      <x:c r="G295" s="32" t="n">
        <x:v>3818</x:v>
      </x:c>
      <x:c r="H295" s="32" t="n">
        <x:v>3623</x:v>
      </x:c>
      <x:c r="I295" s="32" t="n">
        <x:v>3599</x:v>
      </x:c>
      <x:c r="J295" s="28" t="str">
        <x:v>Semanal</x:v>
      </x:c>
      <x:c r="K295" s="28" t="str">
        <x:v>2024-S49</x:v>
      </x:c>
    </x:row>
    <x:row r="296">
      <x:c r="A296" s="34" t="n">
        <x:v>45635</x:v>
      </x:c>
      <x:c r="B296" s="28" t="str">
        <x:v>Grupo Industrial S.A.</x:v>
      </x:c>
      <x:c r="C296" s="28" t="str">
        <x:v>Planta São Paulo</x:v>
      </x:c>
      <x:c r="D296" s="28" t="str">
        <x:v>Alimentos</x:v>
      </x:c>
      <x:c r="E296" s="28" t="str">
        <x:v>SKU-001</x:v>
      </x:c>
      <x:c r="F296" s="32" t="n">
        <x:v>6082</x:v>
      </x:c>
      <x:c r="G296" s="32" t="n">
        <x:v>5955</x:v>
      </x:c>
      <x:c r="H296" s="32" t="n">
        <x:v>5517</x:v>
      </x:c>
      <x:c r="I296" s="32" t="n">
        <x:v>5656</x:v>
      </x:c>
      <x:c r="J296" s="28" t="str">
        <x:v>Semanal</x:v>
      </x:c>
      <x:c r="K296" s="28" t="str">
        <x:v>2024-S50</x:v>
      </x:c>
    </x:row>
    <x:row r="297">
      <x:c r="A297" s="34" t="n">
        <x:v>45635</x:v>
      </x:c>
      <x:c r="B297" s="28" t="str">
        <x:v>Grupo Industrial S.A.</x:v>
      </x:c>
      <x:c r="C297" s="28" t="str">
        <x:v>Planta São Paulo</x:v>
      </x:c>
      <x:c r="D297" s="28" t="str">
        <x:v>Alimentos</x:v>
      </x:c>
      <x:c r="E297" s="28" t="str">
        <x:v>SKU-002</x:v>
      </x:c>
      <x:c r="F297" s="32" t="n">
        <x:v>5215</x:v>
      </x:c>
      <x:c r="G297" s="32" t="n">
        <x:v>5077</x:v>
      </x:c>
      <x:c r="H297" s="32" t="n">
        <x:v>4729</x:v>
      </x:c>
      <x:c r="I297" s="32" t="n">
        <x:v>4850</x:v>
      </x:c>
      <x:c r="J297" s="28" t="str">
        <x:v>Semanal</x:v>
      </x:c>
      <x:c r="K297" s="28" t="str">
        <x:v>2024-S50</x:v>
      </x:c>
    </x:row>
    <x:row r="298">
      <x:c r="A298" s="34" t="n">
        <x:v>45635</x:v>
      </x:c>
      <x:c r="B298" s="28" t="str">
        <x:v>Grupo Industrial S.A.</x:v>
      </x:c>
      <x:c r="C298" s="28" t="str">
        <x:v>Planta Campinas</x:v>
      </x:c>
      <x:c r="D298" s="28" t="str">
        <x:v>Higiene e Limpeza</x:v>
      </x:c>
      <x:c r="E298" s="28" t="str">
        <x:v>SKU-078</x:v>
      </x:c>
      <x:c r="F298" s="32" t="n">
        <x:v>4252</x:v>
      </x:c>
      <x:c r="G298" s="32" t="n">
        <x:v>4006</x:v>
      </x:c>
      <x:c r="H298" s="32" t="n">
        <x:v>3797</x:v>
      </x:c>
      <x:c r="I298" s="32" t="n">
        <x:v>3954</x:v>
      </x:c>
      <x:c r="J298" s="28" t="str">
        <x:v>Semanal</x:v>
      </x:c>
      <x:c r="K298" s="28" t="str">
        <x:v>2024-S50</x:v>
      </x:c>
    </x:row>
    <x:row r="299">
      <x:c r="A299" s="34" t="n">
        <x:v>45635</x:v>
      </x:c>
      <x:c r="B299" s="28" t="str">
        <x:v>Grupo Industrial S.A.</x:v>
      </x:c>
      <x:c r="C299" s="28" t="str">
        <x:v>Planta Campinas</x:v>
      </x:c>
      <x:c r="D299" s="28" t="str">
        <x:v>Embalagens</x:v>
      </x:c>
      <x:c r="E299" s="28" t="str">
        <x:v>SKU-105</x:v>
      </x:c>
      <x:c r="F299" s="32" t="n">
        <x:v>3527</x:v>
      </x:c>
      <x:c r="G299" s="32" t="n">
        <x:v>3372</x:v>
      </x:c>
      <x:c r="H299" s="32" t="n">
        <x:v>3097</x:v>
      </x:c>
      <x:c r="I299" s="32" t="n">
        <x:v>3280</x:v>
      </x:c>
      <x:c r="J299" s="28" t="str">
        <x:v>Semanal</x:v>
      </x:c>
      <x:c r="K299" s="28" t="str">
        <x:v>2024-S50</x:v>
      </x:c>
    </x:row>
    <x:row r="300">
      <x:c r="A300" s="34" t="n">
        <x:v>45635</x:v>
      </x:c>
      <x:c r="B300" s="28" t="str">
        <x:v>Grupo Industrial S.A.</x:v>
      </x:c>
      <x:c r="C300" s="28" t="str">
        <x:v>Planta Curitiba</x:v>
      </x:c>
      <x:c r="D300" s="28" t="str">
        <x:v>Bebidas</x:v>
      </x:c>
      <x:c r="E300" s="28" t="str">
        <x:v>SKU-223</x:v>
      </x:c>
      <x:c r="F300" s="32" t="n">
        <x:v>4298</x:v>
      </x:c>
      <x:c r="G300" s="32" t="n">
        <x:v>4399</x:v>
      </x:c>
      <x:c r="H300" s="32" t="n">
        <x:v>4051</x:v>
      </x:c>
      <x:c r="I300" s="32" t="n">
        <x:v>3997</x:v>
      </x:c>
      <x:c r="J300" s="28" t="str">
        <x:v>Semanal</x:v>
      </x:c>
      <x:c r="K300" s="28" t="str">
        <x:v>2024-S50</x:v>
      </x:c>
    </x:row>
    <x:row r="301">
      <x:c r="A301" s="34" t="n">
        <x:v>45635</x:v>
      </x:c>
      <x:c r="B301" s="28" t="str">
        <x:v>Grupo Industrial S.A.</x:v>
      </x:c>
      <x:c r="C301" s="28" t="str">
        <x:v>Planta Curitiba</x:v>
      </x:c>
      <x:c r="D301" s="28" t="str">
        <x:v>Alimentos</x:v>
      </x:c>
      <x:c r="E301" s="28" t="str">
        <x:v>SKU-432</x:v>
      </x:c>
      <x:c r="F301" s="32" t="n">
        <x:v>3692</x:v>
      </x:c>
      <x:c r="G301" s="32" t="n">
        <x:v>3742</x:v>
      </x:c>
      <x:c r="H301" s="32" t="n">
        <x:v>3407</x:v>
      </x:c>
      <x:c r="I301" s="32" t="n">
        <x:v>3434</x:v>
      </x:c>
      <x:c r="J301" s="28" t="str">
        <x:v>Semanal</x:v>
      </x:c>
      <x:c r="K301" s="28" t="str">
        <x:v>2024-S50</x:v>
      </x:c>
    </x:row>
    <x:row r="302">
      <x:c r="A302" s="34" t="n">
        <x:v>45642</x:v>
      </x:c>
      <x:c r="B302" s="28" t="str">
        <x:v>Grupo Industrial S.A.</x:v>
      </x:c>
      <x:c r="C302" s="28" t="str">
        <x:v>Planta São Paulo</x:v>
      </x:c>
      <x:c r="D302" s="28" t="str">
        <x:v>Alimentos</x:v>
      </x:c>
      <x:c r="E302" s="28" t="str">
        <x:v>SKU-001</x:v>
      </x:c>
      <x:c r="F302" s="32" t="n">
        <x:v>6089</x:v>
      </x:c>
      <x:c r="G302" s="32" t="n">
        <x:v>6030</x:v>
      </x:c>
      <x:c r="H302" s="32" t="n">
        <x:v>5614</x:v>
      </x:c>
      <x:c r="I302" s="32" t="n">
        <x:v>5663</x:v>
      </x:c>
      <x:c r="J302" s="28" t="str">
        <x:v>Semanal</x:v>
      </x:c>
      <x:c r="K302" s="28" t="str">
        <x:v>2024-S51</x:v>
      </x:c>
    </x:row>
    <x:row r="303">
      <x:c r="A303" s="34" t="n">
        <x:v>45642</x:v>
      </x:c>
      <x:c r="B303" s="28" t="str">
        <x:v>Grupo Industrial S.A.</x:v>
      </x:c>
      <x:c r="C303" s="28" t="str">
        <x:v>Planta São Paulo</x:v>
      </x:c>
      <x:c r="D303" s="28" t="str">
        <x:v>Alimentos</x:v>
      </x:c>
      <x:c r="E303" s="28" t="str">
        <x:v>SKU-002</x:v>
      </x:c>
      <x:c r="F303" s="32" t="n">
        <x:v>4945</x:v>
      </x:c>
      <x:c r="G303" s="32" t="n">
        <x:v>4766</x:v>
      </x:c>
      <x:c r="H303" s="32" t="n">
        <x:v>4388</x:v>
      </x:c>
      <x:c r="I303" s="32" t="n">
        <x:v>4599</x:v>
      </x:c>
      <x:c r="J303" s="28" t="str">
        <x:v>Semanal</x:v>
      </x:c>
      <x:c r="K303" s="28" t="str">
        <x:v>2024-S51</x:v>
      </x:c>
    </x:row>
    <x:row r="304">
      <x:c r="A304" s="34" t="n">
        <x:v>45642</x:v>
      </x:c>
      <x:c r="B304" s="28" t="str">
        <x:v>Grupo Industrial S.A.</x:v>
      </x:c>
      <x:c r="C304" s="28" t="str">
        <x:v>Planta Campinas</x:v>
      </x:c>
      <x:c r="D304" s="28" t="str">
        <x:v>Higiene e Limpeza</x:v>
      </x:c>
      <x:c r="E304" s="28" t="str">
        <x:v>SKU-078</x:v>
      </x:c>
      <x:c r="F304" s="32" t="n">
        <x:v>4171</x:v>
      </x:c>
      <x:c r="G304" s="32" t="n">
        <x:v>3937</x:v>
      </x:c>
      <x:c r="H304" s="32" t="n">
        <x:v>3717</x:v>
      </x:c>
      <x:c r="I304" s="32" t="n">
        <x:v>3879</x:v>
      </x:c>
      <x:c r="J304" s="28" t="str">
        <x:v>Semanal</x:v>
      </x:c>
      <x:c r="K304" s="28" t="str">
        <x:v>2024-S51</x:v>
      </x:c>
    </x:row>
    <x:row r="305">
      <x:c r="A305" s="34" t="n">
        <x:v>45642</x:v>
      </x:c>
      <x:c r="B305" s="28" t="str">
        <x:v>Grupo Industrial S.A.</x:v>
      </x:c>
      <x:c r="C305" s="28" t="str">
        <x:v>Planta Campinas</x:v>
      </x:c>
      <x:c r="D305" s="28" t="str">
        <x:v>Embalagens</x:v>
      </x:c>
      <x:c r="E305" s="28" t="str">
        <x:v>SKU-105</x:v>
      </x:c>
      <x:c r="F305" s="32" t="n">
        <x:v>3509</x:v>
      </x:c>
      <x:c r="G305" s="32" t="n">
        <x:v>3430</x:v>
      </x:c>
      <x:c r="H305" s="32" t="n">
        <x:v>3245</x:v>
      </x:c>
      <x:c r="I305" s="32" t="n">
        <x:v>3263</x:v>
      </x:c>
      <x:c r="J305" s="28" t="str">
        <x:v>Semanal</x:v>
      </x:c>
      <x:c r="K305" s="28" t="str">
        <x:v>2024-S51</x:v>
      </x:c>
    </x:row>
    <x:row r="306">
      <x:c r="A306" s="34" t="n">
        <x:v>45642</x:v>
      </x:c>
      <x:c r="B306" s="28" t="str">
        <x:v>Grupo Industrial S.A.</x:v>
      </x:c>
      <x:c r="C306" s="28" t="str">
        <x:v>Planta Curitiba</x:v>
      </x:c>
      <x:c r="D306" s="28" t="str">
        <x:v>Bebidas</x:v>
      </x:c>
      <x:c r="E306" s="28" t="str">
        <x:v>SKU-223</x:v>
      </x:c>
      <x:c r="F306" s="32" t="n">
        <x:v>4236</x:v>
      </x:c>
      <x:c r="G306" s="32" t="n">
        <x:v>4202</x:v>
      </x:c>
      <x:c r="H306" s="32" t="n">
        <x:v>4043</x:v>
      </x:c>
      <x:c r="I306" s="32" t="n">
        <x:v>3939</x:v>
      </x:c>
      <x:c r="J306" s="28" t="str">
        <x:v>Semanal</x:v>
      </x:c>
      <x:c r="K306" s="28" t="str">
        <x:v>2024-S51</x:v>
      </x:c>
    </x:row>
    <x:row r="307">
      <x:c r="A307" s="34" t="n">
        <x:v>45642</x:v>
      </x:c>
      <x:c r="B307" s="28" t="str">
        <x:v>Grupo Industrial S.A.</x:v>
      </x:c>
      <x:c r="C307" s="28" t="str">
        <x:v>Planta Curitiba</x:v>
      </x:c>
      <x:c r="D307" s="28" t="str">
        <x:v>Alimentos</x:v>
      </x:c>
      <x:c r="E307" s="28" t="str">
        <x:v>SKU-432</x:v>
      </x:c>
      <x:c r="F307" s="32" t="n">
        <x:v>3709</x:v>
      </x:c>
      <x:c r="G307" s="32" t="n">
        <x:v>3645</x:v>
      </x:c>
      <x:c r="H307" s="32" t="n">
        <x:v>3484</x:v>
      </x:c>
      <x:c r="I307" s="32" t="n">
        <x:v>3449</x:v>
      </x:c>
      <x:c r="J307" s="28" t="str">
        <x:v>Semanal</x:v>
      </x:c>
      <x:c r="K307" s="28" t="str">
        <x:v>2024-S51</x:v>
      </x:c>
    </x:row>
    <x:row r="308">
      <x:c r="A308" s="34" t="n">
        <x:v>45649</x:v>
      </x:c>
      <x:c r="B308" s="28" t="str">
        <x:v>Grupo Industrial S.A.</x:v>
      </x:c>
      <x:c r="C308" s="28" t="str">
        <x:v>Planta São Paulo</x:v>
      </x:c>
      <x:c r="D308" s="28" t="str">
        <x:v>Alimentos</x:v>
      </x:c>
      <x:c r="E308" s="28" t="str">
        <x:v>SKU-001</x:v>
      </x:c>
      <x:c r="F308" s="32" t="n">
        <x:v>5675</x:v>
      </x:c>
      <x:c r="G308" s="32" t="n">
        <x:v>5725</x:v>
      </x:c>
      <x:c r="H308" s="32" t="n">
        <x:v>5378</x:v>
      </x:c>
      <x:c r="I308" s="32" t="n">
        <x:v>5278</x:v>
      </x:c>
      <x:c r="J308" s="28" t="str">
        <x:v>Semanal</x:v>
      </x:c>
      <x:c r="K308" s="28" t="str">
        <x:v>2024-S52</x:v>
      </x:c>
    </x:row>
    <x:row r="309">
      <x:c r="A309" s="34" t="n">
        <x:v>45649</x:v>
      </x:c>
      <x:c r="B309" s="28" t="str">
        <x:v>Grupo Industrial S.A.</x:v>
      </x:c>
      <x:c r="C309" s="28" t="str">
        <x:v>Planta São Paulo</x:v>
      </x:c>
      <x:c r="D309" s="28" t="str">
        <x:v>Alimentos</x:v>
      </x:c>
      <x:c r="E309" s="28" t="str">
        <x:v>SKU-002</x:v>
      </x:c>
      <x:c r="F309" s="32" t="n">
        <x:v>5291</x:v>
      </x:c>
      <x:c r="G309" s="32" t="n">
        <x:v>5181</x:v>
      </x:c>
      <x:c r="H309" s="32" t="n">
        <x:v>4731</x:v>
      </x:c>
      <x:c r="I309" s="32" t="n">
        <x:v>4921</x:v>
      </x:c>
      <x:c r="J309" s="28" t="str">
        <x:v>Semanal</x:v>
      </x:c>
      <x:c r="K309" s="28" t="str">
        <x:v>2024-S52</x:v>
      </x:c>
    </x:row>
    <x:row r="310">
      <x:c r="A310" s="34" t="n">
        <x:v>45649</x:v>
      </x:c>
      <x:c r="B310" s="28" t="str">
        <x:v>Grupo Industrial S.A.</x:v>
      </x:c>
      <x:c r="C310" s="28" t="str">
        <x:v>Planta Campinas</x:v>
      </x:c>
      <x:c r="D310" s="28" t="str">
        <x:v>Higiene e Limpeza</x:v>
      </x:c>
      <x:c r="E310" s="28" t="str">
        <x:v>SKU-078</x:v>
      </x:c>
      <x:c r="F310" s="32" t="n">
        <x:v>4015</x:v>
      </x:c>
      <x:c r="G310" s="32" t="n">
        <x:v>3962</x:v>
      </x:c>
      <x:c r="H310" s="32" t="n">
        <x:v>3588</x:v>
      </x:c>
      <x:c r="I310" s="32" t="n">
        <x:v>3734</x:v>
      </x:c>
      <x:c r="J310" s="28" t="str">
        <x:v>Semanal</x:v>
      </x:c>
      <x:c r="K310" s="28" t="str">
        <x:v>2024-S52</x:v>
      </x:c>
    </x:row>
    <x:row r="311">
      <x:c r="A311" s="34" t="n">
        <x:v>45649</x:v>
      </x:c>
      <x:c r="B311" s="28" t="str">
        <x:v>Grupo Industrial S.A.</x:v>
      </x:c>
      <x:c r="C311" s="28" t="str">
        <x:v>Planta Campinas</x:v>
      </x:c>
      <x:c r="D311" s="28" t="str">
        <x:v>Embalagens</x:v>
      </x:c>
      <x:c r="E311" s="28" t="str">
        <x:v>SKU-105</x:v>
      </x:c>
      <x:c r="F311" s="32" t="n">
        <x:v>3719</x:v>
      </x:c>
      <x:c r="G311" s="32" t="n">
        <x:v>3624</x:v>
      </x:c>
      <x:c r="H311" s="32" t="n">
        <x:v>3361</x:v>
      </x:c>
      <x:c r="I311" s="32" t="n">
        <x:v>3459</x:v>
      </x:c>
      <x:c r="J311" s="28" t="str">
        <x:v>Semanal</x:v>
      </x:c>
      <x:c r="K311" s="28" t="str">
        <x:v>2024-S52</x:v>
      </x:c>
    </x:row>
    <x:row r="312">
      <x:c r="A312" s="34" t="n">
        <x:v>45649</x:v>
      </x:c>
      <x:c r="B312" s="28" t="str">
        <x:v>Grupo Industrial S.A.</x:v>
      </x:c>
      <x:c r="C312" s="28" t="str">
        <x:v>Planta Curitiba</x:v>
      </x:c>
      <x:c r="D312" s="28" t="str">
        <x:v>Bebidas</x:v>
      </x:c>
      <x:c r="E312" s="28" t="str">
        <x:v>SKU-223</x:v>
      </x:c>
      <x:c r="F312" s="32" t="n">
        <x:v>4067</x:v>
      </x:c>
      <x:c r="G312" s="32" t="n">
        <x:v>4140</x:v>
      </x:c>
      <x:c r="H312" s="32" t="n">
        <x:v>3943</x:v>
      </x:c>
      <x:c r="I312" s="32" t="n">
        <x:v>3782</x:v>
      </x:c>
      <x:c r="J312" s="28" t="str">
        <x:v>Semanal</x:v>
      </x:c>
      <x:c r="K312" s="28" t="str">
        <x:v>2024-S52</x:v>
      </x:c>
    </x:row>
    <x:row r="313">
      <x:c r="A313" s="34" t="n">
        <x:v>45649</x:v>
      </x:c>
      <x:c r="B313" s="28" t="str">
        <x:v>Grupo Industrial S.A.</x:v>
      </x:c>
      <x:c r="C313" s="28" t="str">
        <x:v>Planta Curitiba</x:v>
      </x:c>
      <x:c r="D313" s="28" t="str">
        <x:v>Alimentos</x:v>
      </x:c>
      <x:c r="E313" s="28" t="str">
        <x:v>SKU-432</x:v>
      </x:c>
      <x:c r="F313" s="32" t="n">
        <x:v>3751</x:v>
      </x:c>
      <x:c r="G313" s="32" t="n">
        <x:v>3729</x:v>
      </x:c>
      <x:c r="H313" s="32" t="n">
        <x:v>3454</x:v>
      </x:c>
      <x:c r="I313" s="32" t="n">
        <x:v>3488</x:v>
      </x:c>
      <x:c r="J313" s="28" t="str">
        <x:v>Semanal</x:v>
      </x:c>
      <x:c r="K313" s="28" t="str">
        <x:v>2024-S52</x:v>
      </x:c>
    </x:row>
    <x:row r="314">
      <x:c r="A314" s="34" t="n">
        <x:v>45656</x:v>
      </x:c>
      <x:c r="B314" s="28" t="str">
        <x:v>Grupo Industrial S.A.</x:v>
      </x:c>
      <x:c r="C314" s="28" t="str">
        <x:v>Planta São Paulo</x:v>
      </x:c>
      <x:c r="D314" s="28" t="str">
        <x:v>Alimentos</x:v>
      </x:c>
      <x:c r="E314" s="28" t="str">
        <x:v>SKU-001</x:v>
      </x:c>
      <x:c r="F314" s="32" t="n">
        <x:v>5655</x:v>
      </x:c>
      <x:c r="G314" s="32" t="n">
        <x:v>5464</x:v>
      </x:c>
      <x:c r="H314" s="32" t="n">
        <x:v>4964</x:v>
      </x:c>
      <x:c r="I314" s="32" t="n">
        <x:v>5259</x:v>
      </x:c>
      <x:c r="J314" s="28" t="str">
        <x:v>Semanal</x:v>
      </x:c>
      <x:c r="K314" s="28" t="str">
        <x:v>2025-S01</x:v>
      </x:c>
    </x:row>
    <x:row r="315">
      <x:c r="A315" s="34" t="n">
        <x:v>45656</x:v>
      </x:c>
      <x:c r="B315" s="28" t="str">
        <x:v>Grupo Industrial S.A.</x:v>
      </x:c>
      <x:c r="C315" s="28" t="str">
        <x:v>Planta São Paulo</x:v>
      </x:c>
      <x:c r="D315" s="28" t="str">
        <x:v>Alimentos</x:v>
      </x:c>
      <x:c r="E315" s="28" t="str">
        <x:v>SKU-002</x:v>
      </x:c>
      <x:c r="F315" s="32" t="n">
        <x:v>5075</x:v>
      </x:c>
      <x:c r="G315" s="32" t="n">
        <x:v>4895</x:v>
      </x:c>
      <x:c r="H315" s="32" t="n">
        <x:v>4658</x:v>
      </x:c>
      <x:c r="I315" s="32" t="n">
        <x:v>4720</x:v>
      </x:c>
      <x:c r="J315" s="28" t="str">
        <x:v>Semanal</x:v>
      </x:c>
      <x:c r="K315" s="28" t="str">
        <x:v>2025-S01</x:v>
      </x:c>
    </x:row>
    <x:row r="316">
      <x:c r="A316" s="34" t="n">
        <x:v>45656</x:v>
      </x:c>
      <x:c r="B316" s="28" t="str">
        <x:v>Grupo Industrial S.A.</x:v>
      </x:c>
      <x:c r="C316" s="28" t="str">
        <x:v>Planta Campinas</x:v>
      </x:c>
      <x:c r="D316" s="28" t="str">
        <x:v>Higiene e Limpeza</x:v>
      </x:c>
      <x:c r="E316" s="28" t="str">
        <x:v>SKU-078</x:v>
      </x:c>
      <x:c r="F316" s="32" t="n">
        <x:v>4143</x:v>
      </x:c>
      <x:c r="G316" s="32" t="n">
        <x:v>3985</x:v>
      </x:c>
      <x:c r="H316" s="32" t="n">
        <x:v>3622</x:v>
      </x:c>
      <x:c r="I316" s="32" t="n">
        <x:v>3853</x:v>
      </x:c>
      <x:c r="J316" s="28" t="str">
        <x:v>Semanal</x:v>
      </x:c>
      <x:c r="K316" s="28" t="str">
        <x:v>2025-S01</x:v>
      </x:c>
    </x:row>
    <x:row r="317">
      <x:c r="A317" s="34" t="n">
        <x:v>45656</x:v>
      </x:c>
      <x:c r="B317" s="28" t="str">
        <x:v>Grupo Industrial S.A.</x:v>
      </x:c>
      <x:c r="C317" s="28" t="str">
        <x:v>Planta Campinas</x:v>
      </x:c>
      <x:c r="D317" s="28" t="str">
        <x:v>Embalagens</x:v>
      </x:c>
      <x:c r="E317" s="28" t="str">
        <x:v>SKU-105</x:v>
      </x:c>
      <x:c r="F317" s="32" t="n">
        <x:v>3641</x:v>
      </x:c>
      <x:c r="G317" s="32" t="n">
        <x:v>3599</x:v>
      </x:c>
      <x:c r="H317" s="32" t="n">
        <x:v>3362</x:v>
      </x:c>
      <x:c r="I317" s="32" t="n">
        <x:v>3386</x:v>
      </x:c>
      <x:c r="J317" s="28" t="str">
        <x:v>Semanal</x:v>
      </x:c>
      <x:c r="K317" s="28" t="str">
        <x:v>2025-S01</x:v>
      </x:c>
    </x:row>
    <x:row r="318">
      <x:c r="A318" s="34" t="n">
        <x:v>45656</x:v>
      </x:c>
      <x:c r="B318" s="28" t="str">
        <x:v>Grupo Industrial S.A.</x:v>
      </x:c>
      <x:c r="C318" s="28" t="str">
        <x:v>Planta Curitiba</x:v>
      </x:c>
      <x:c r="D318" s="28" t="str">
        <x:v>Bebidas</x:v>
      </x:c>
      <x:c r="E318" s="28" t="str">
        <x:v>SKU-223</x:v>
      </x:c>
      <x:c r="F318" s="32" t="n">
        <x:v>4392</x:v>
      </x:c>
      <x:c r="G318" s="32" t="n">
        <x:v>4336</x:v>
      </x:c>
      <x:c r="H318" s="32" t="n">
        <x:v>4180</x:v>
      </x:c>
      <x:c r="I318" s="32" t="n">
        <x:v>4085</x:v>
      </x:c>
      <x:c r="J318" s="28" t="str">
        <x:v>Semanal</x:v>
      </x:c>
      <x:c r="K318" s="28" t="str">
        <x:v>2025-S01</x:v>
      </x:c>
    </x:row>
    <x:row r="319">
      <x:c r="A319" s="34" t="n">
        <x:v>45656</x:v>
      </x:c>
      <x:c r="B319" s="28" t="str">
        <x:v>Grupo Industrial S.A.</x:v>
      </x:c>
      <x:c r="C319" s="28" t="str">
        <x:v>Planta Curitiba</x:v>
      </x:c>
      <x:c r="D319" s="28" t="str">
        <x:v>Alimentos</x:v>
      </x:c>
      <x:c r="E319" s="28" t="str">
        <x:v>SKU-432</x:v>
      </x:c>
      <x:c r="F319" s="32" t="n">
        <x:v>3884</x:v>
      </x:c>
      <x:c r="G319" s="32" t="n">
        <x:v>3972</x:v>
      </x:c>
      <x:c r="H319" s="32" t="n">
        <x:v>3735</x:v>
      </x:c>
      <x:c r="I319" s="32" t="n">
        <x:v>3612</x:v>
      </x:c>
      <x:c r="J319" s="28" t="str">
        <x:v>Semanal</x:v>
      </x:c>
      <x:c r="K319" s="28" t="str">
        <x:v>2025-S01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2" hidden="0" customWidth="1"/>
    <x:col min="4" max="4" width="24" hidden="0" customWidth="1"/>
    <x:col min="5" max="5" width="24" hidden="0" customWidth="1"/>
    <x:col min="6" max="6" width="22" hidden="0" customWidth="1"/>
    <x:col min="7" max="7" width="20" hidden="0" customWidth="1"/>
    <x:col min="8" max="8" width="20" hidden="0" customWidth="1"/>
    <x:col min="9" max="9" width="22" hidden="0" customWidth="1"/>
    <x:col min="10" max="10" width="30" hidden="0" customWidth="1"/>
    <x:col min="11" max="11" width="22" hidden="0" customWidth="1"/>
    <x:col min="12" max="12" width="22" hidden="0" customWidth="1"/>
    <x:col min="13" max="13" width="16" hidden="0" customWidth="1"/>
    <x:col min="14" max="14" width="18" hidden="0" customWidth="1"/>
  </x:cols>
  <x:sheetData>
    <x:row r="1">
      <x:c r="A1" s="22" t="str">
        <x:v>Competencia</x:v>
      </x:c>
      <x:c r="B1" s="22" t="str">
        <x:v>Grupo</x:v>
      </x:c>
      <x:c r="C1" s="22" t="str">
        <x:v>Fabrica</x:v>
      </x:c>
      <x:c r="D1" s="22" t="str">
        <x:v>Linha</x:v>
      </x:c>
      <x:c r="E1" s="22" t="str">
        <x:v>Recurso</x:v>
      </x:c>
      <x:c r="F1" s="22" t="str">
        <x:v>Capacidade_Nominal_Un</x:v>
      </x:c>
      <x:c r="G1" s="22" t="str">
        <x:v>Producao_Real_Un</x:v>
      </x:c>
      <x:c r="H1" s="22" t="str">
        <x:v>Utilizacao_Capacidade</x:v>
      </x:c>
      <x:c r="I1" s="22" t="str">
        <x:v>Capacidade_Ociosa_Un</x:v>
      </x:c>
      <x:c r="J1" s="22" t="str">
        <x:v>Capacidade_Tecnicamente_Recuperavel_Un</x:v>
      </x:c>
      <x:c r="K1" s="22" t="str">
        <x:v>Demanda_Confirmada_Un</x:v>
      </x:c>
      <x:c r="L1" s="22" t="str">
        <x:v>Volume_Monetizavel_Un</x:v>
      </x:c>
      <x:c r="M1" s="22" t="str">
        <x:v>Status_Recurso</x:v>
      </x:c>
      <x:c r="N1" s="22" t="str">
        <x:v>Horas_Planejadas</x:v>
      </x:c>
    </x:row>
    <x:row r="2">
      <x:c r="A2" s="34" t="n">
        <x:v>45292</x:v>
      </x:c>
      <x:c r="B2" s="28" t="str">
        <x:v>Grupo Industrial S.A.</x:v>
      </x:c>
      <x:c r="C2" s="28" t="str">
        <x:v>Planta São Paulo</x:v>
      </x:c>
      <x:c r="D2" s="28" t="str">
        <x:v>Linha 1 - Corte</x:v>
      </x:c>
      <x:c r="E2" s="28" t="str">
        <x:v>Recurso 1 - Corte</x:v>
      </x:c>
      <x:c r="F2" s="32" t="n">
        <x:v>33212</x:v>
      </x:c>
      <x:c r="G2" s="32" t="n">
        <x:v>27136</x:v>
      </x:c>
      <x:c r="H2" s="36" t="n">
        <x:v>0.8171</x:v>
      </x:c>
      <x:c r="I2" s="32" t="n">
        <x:v>6076</x:v>
      </x:c>
      <x:c r="J2" s="32" t="n">
        <x:v>2309</x:v>
      </x:c>
      <x:c r="K2" s="32" t="n">
        <x:v>27336</x:v>
      </x:c>
      <x:c r="L2" s="32" t="n">
        <x:v>200</x:v>
      </x:c>
      <x:c r="M2" s="28" t="str">
        <x:v>Atenção</x:v>
      </x:c>
      <x:c r="N2" s="32" t="n">
        <x:v>535.7</x:v>
      </x:c>
    </x:row>
    <x:row r="3">
      <x:c r="A3" s="34" t="n">
        <x:v>45292</x:v>
      </x:c>
      <x:c r="B3" s="28" t="str">
        <x:v>Grupo Industrial S.A.</x:v>
      </x:c>
      <x:c r="C3" s="28" t="str">
        <x:v>Planta São Paulo</x:v>
      </x:c>
      <x:c r="D3" s="28" t="str">
        <x:v>Linha 2 - Montagem</x:v>
      </x:c>
      <x:c r="E3" s="28" t="str">
        <x:v>Recurso 2 - Montagem</x:v>
      </x:c>
      <x:c r="F3" s="32" t="n">
        <x:v>31069</x:v>
      </x:c>
      <x:c r="G3" s="32" t="n">
        <x:v>24549</x:v>
      </x:c>
      <x:c r="H3" s="36" t="n">
        <x:v>0.7901</x:v>
      </x:c>
      <x:c r="I3" s="32" t="n">
        <x:v>6520</x:v>
      </x:c>
      <x:c r="J3" s="32" t="n">
        <x:v>2478</x:v>
      </x:c>
      <x:c r="K3" s="32" t="n">
        <x:v>24802</x:v>
      </x:c>
      <x:c r="L3" s="32" t="n">
        <x:v>253</x:v>
      </x:c>
      <x:c r="M3" s="28" t="str">
        <x:v>Normal</x:v>
      </x:c>
      <x:c r="N3" s="32" t="n">
        <x:v>535.7</x:v>
      </x:c>
    </x:row>
    <x:row r="4">
      <x:c r="A4" s="34" t="n">
        <x:v>45292</x:v>
      </x:c>
      <x:c r="B4" s="28" t="str">
        <x:v>Grupo Industrial S.A.</x:v>
      </x:c>
      <x:c r="C4" s="28" t="str">
        <x:v>Planta Campinas</x:v>
      </x:c>
      <x:c r="D4" s="28" t="str">
        <x:v>Linha 3 - Extrusão</x:v>
      </x:c>
      <x:c r="E4" s="28" t="str">
        <x:v>Recurso 3 - Extrusão</x:v>
      </x:c>
      <x:c r="F4" s="32" t="n">
        <x:v>28927</x:v>
      </x:c>
      <x:c r="G4" s="32" t="n">
        <x:v>18783</x:v>
      </x:c>
      <x:c r="H4" s="36" t="n">
        <x:v>0.6493</x:v>
      </x:c>
      <x:c r="I4" s="32" t="n">
        <x:v>10144</x:v>
      </x:c>
      <x:c r="J4" s="32" t="n">
        <x:v>3855</x:v>
      </x:c>
      <x:c r="K4" s="32" t="n">
        <x:v>19368</x:v>
      </x:c>
      <x:c r="L4" s="32" t="n">
        <x:v>585</x:v>
      </x:c>
      <x:c r="M4" s="28" t="str">
        <x:v>Normal</x:v>
      </x:c>
      <x:c r="N4" s="32" t="n">
        <x:v>535.7</x:v>
      </x:c>
    </x:row>
    <x:row r="5">
      <x:c r="A5" s="34" t="n">
        <x:v>45292</x:v>
      </x:c>
      <x:c r="B5" s="28" t="str">
        <x:v>Grupo Industrial S.A.</x:v>
      </x:c>
      <x:c r="C5" s="28" t="str">
        <x:v>Planta Campinas</x:v>
      </x:c>
      <x:c r="D5" s="28" t="str">
        <x:v>Linha 4 - Embalagem</x:v>
      </x:c>
      <x:c r="E5" s="28" t="str">
        <x:v>Recurso 4 - Embalagem</x:v>
      </x:c>
      <x:c r="F5" s="32" t="n">
        <x:v>26784</x:v>
      </x:c>
      <x:c r="G5" s="32" t="n">
        <x:v>16580</x:v>
      </x:c>
      <x:c r="H5" s="36" t="n">
        <x:v>0.619</x:v>
      </x:c>
      <x:c r="I5" s="32" t="n">
        <x:v>10204</x:v>
      </x:c>
      <x:c r="J5" s="32" t="n">
        <x:v>3878</x:v>
      </x:c>
      <x:c r="K5" s="32" t="n">
        <x:v>17109</x:v>
      </x:c>
      <x:c r="L5" s="32" t="n">
        <x:v>529</x:v>
      </x:c>
      <x:c r="M5" s="28" t="str">
        <x:v>Normal</x:v>
      </x:c>
      <x:c r="N5" s="32" t="n">
        <x:v>535.7</x:v>
      </x:c>
    </x:row>
    <x:row r="6">
      <x:c r="A6" s="34" t="n">
        <x:v>45292</x:v>
      </x:c>
      <x:c r="B6" s="28" t="str">
        <x:v>Grupo Industrial S.A.</x:v>
      </x:c>
      <x:c r="C6" s="28" t="str">
        <x:v>Planta Curitiba</x:v>
      </x:c>
      <x:c r="D6" s="28" t="str">
        <x:v>Linha 5 - Usinagem</x:v>
      </x:c>
      <x:c r="E6" s="28" t="str">
        <x:v>Recurso 5 - Usinagem</x:v>
      </x:c>
      <x:c r="F6" s="32" t="n">
        <x:v>29998</x:v>
      </x:c>
      <x:c r="G6" s="32" t="n">
        <x:v>20248</x:v>
      </x:c>
      <x:c r="H6" s="36" t="n">
        <x:v>0.675</x:v>
      </x:c>
      <x:c r="I6" s="32" t="n">
        <x:v>9750</x:v>
      </x:c>
      <x:c r="J6" s="32" t="n">
        <x:v>3705</x:v>
      </x:c>
      <x:c r="K6" s="32" t="n">
        <x:v>19815</x:v>
      </x:c>
      <x:c r="L6" s="32" t="n">
        <x:v>0</x:v>
      </x:c>
      <x:c r="M6" s="28" t="str">
        <x:v>Normal</x:v>
      </x:c>
      <x:c r="N6" s="32" t="n">
        <x:v>535.7</x:v>
      </x:c>
    </x:row>
    <x:row r="7">
      <x:c r="A7" s="34" t="n">
        <x:v>45292</x:v>
      </x:c>
      <x:c r="B7" s="28" t="str">
        <x:v>Grupo Industrial S.A.</x:v>
      </x:c>
      <x:c r="C7" s="28" t="str">
        <x:v>Planta Curitiba</x:v>
      </x:c>
      <x:c r="D7" s="28" t="str">
        <x:v>Linha 6 - Finalização</x:v>
      </x:c>
      <x:c r="E7" s="28" t="str">
        <x:v>Recurso 6 - Finalização</x:v>
      </x:c>
      <x:c r="F7" s="32" t="n">
        <x:v>25713</x:v>
      </x:c>
      <x:c r="G7" s="32" t="n">
        <x:v>17947</x:v>
      </x:c>
      <x:c r="H7" s="36" t="n">
        <x:v>0.698</x:v>
      </x:c>
      <x:c r="I7" s="32" t="n">
        <x:v>7766</x:v>
      </x:c>
      <x:c r="J7" s="32" t="n">
        <x:v>2951</x:v>
      </x:c>
      <x:c r="K7" s="32" t="n">
        <x:v>17564</x:v>
      </x:c>
      <x:c r="L7" s="32" t="n">
        <x:v>0</x:v>
      </x:c>
      <x:c r="M7" s="28" t="str">
        <x:v>Normal</x:v>
      </x:c>
      <x:c r="N7" s="32" t="n">
        <x:v>535.7</x:v>
      </x:c>
    </x:row>
    <x:row r="8">
      <x:c r="A8" s="34" t="n">
        <x:v>45323</x:v>
      </x:c>
      <x:c r="B8" s="28" t="str">
        <x:v>Grupo Industrial S.A.</x:v>
      </x:c>
      <x:c r="C8" s="28" t="str">
        <x:v>Planta São Paulo</x:v>
      </x:c>
      <x:c r="D8" s="28" t="str">
        <x:v>Linha 1 - Corte</x:v>
      </x:c>
      <x:c r="E8" s="28" t="str">
        <x:v>Recurso 1 - Corte</x:v>
      </x:c>
      <x:c r="F8" s="32" t="n">
        <x:v>31069</x:v>
      </x:c>
      <x:c r="G8" s="32" t="n">
        <x:v>22750</x:v>
      </x:c>
      <x:c r="H8" s="36" t="n">
        <x:v>0.7322</x:v>
      </x:c>
      <x:c r="I8" s="32" t="n">
        <x:v>8319</x:v>
      </x:c>
      <x:c r="J8" s="32" t="n">
        <x:v>3161</x:v>
      </x:c>
      <x:c r="K8" s="32" t="n">
        <x:v>23031</x:v>
      </x:c>
      <x:c r="L8" s="32" t="n">
        <x:v>281</x:v>
      </x:c>
      <x:c r="M8" s="28" t="str">
        <x:v>Normal</x:v>
      </x:c>
      <x:c r="N8" s="32" t="n">
        <x:v>501.1</x:v>
      </x:c>
    </x:row>
    <x:row r="9">
      <x:c r="A9" s="34" t="n">
        <x:v>45323</x:v>
      </x:c>
      <x:c r="B9" s="28" t="str">
        <x:v>Grupo Industrial S.A.</x:v>
      </x:c>
      <x:c r="C9" s="28" t="str">
        <x:v>Planta São Paulo</x:v>
      </x:c>
      <x:c r="D9" s="28" t="str">
        <x:v>Linha 2 - Montagem</x:v>
      </x:c>
      <x:c r="E9" s="28" t="str">
        <x:v>Recurso 2 - Montagem</x:v>
      </x:c>
      <x:c r="F9" s="32" t="n">
        <x:v>29065</x:v>
      </x:c>
      <x:c r="G9" s="32" t="n">
        <x:v>19603</x:v>
      </x:c>
      <x:c r="H9" s="36" t="n">
        <x:v>0.6745</x:v>
      </x:c>
      <x:c r="I9" s="32" t="n">
        <x:v>9462</x:v>
      </x:c>
      <x:c r="J9" s="32" t="n">
        <x:v>3596</x:v>
      </x:c>
      <x:c r="K9" s="32" t="n">
        <x:v>20224</x:v>
      </x:c>
      <x:c r="L9" s="32" t="n">
        <x:v>621</x:v>
      </x:c>
      <x:c r="M9" s="28" t="str">
        <x:v>Normal</x:v>
      </x:c>
      <x:c r="N9" s="32" t="n">
        <x:v>501.1</x:v>
      </x:c>
    </x:row>
    <x:row r="10">
      <x:c r="A10" s="34" t="n">
        <x:v>45323</x:v>
      </x:c>
      <x:c r="B10" s="28" t="str">
        <x:v>Grupo Industrial S.A.</x:v>
      </x:c>
      <x:c r="C10" s="28" t="str">
        <x:v>Planta Campinas</x:v>
      </x:c>
      <x:c r="D10" s="28" t="str">
        <x:v>Linha 3 - Extrusão</x:v>
      </x:c>
      <x:c r="E10" s="28" t="str">
        <x:v>Recurso 3 - Extrusão</x:v>
      </x:c>
      <x:c r="F10" s="32" t="n">
        <x:v>27060</x:v>
      </x:c>
      <x:c r="G10" s="32" t="n">
        <x:v>15456</x:v>
      </x:c>
      <x:c r="H10" s="36" t="n">
        <x:v>0.5712</x:v>
      </x:c>
      <x:c r="I10" s="32" t="n">
        <x:v>11604</x:v>
      </x:c>
      <x:c r="J10" s="32" t="n">
        <x:v>4410</x:v>
      </x:c>
      <x:c r="K10" s="32" t="n">
        <x:v>16233</x:v>
      </x:c>
      <x:c r="L10" s="32" t="n">
        <x:v>777</x:v>
      </x:c>
      <x:c r="M10" s="28" t="str">
        <x:v>Normal</x:v>
      </x:c>
      <x:c r="N10" s="32" t="n">
        <x:v>501.1</x:v>
      </x:c>
    </x:row>
    <x:row r="11">
      <x:c r="A11" s="34" t="n">
        <x:v>45323</x:v>
      </x:c>
      <x:c r="B11" s="28" t="str">
        <x:v>Grupo Industrial S.A.</x:v>
      </x:c>
      <x:c r="C11" s="28" t="str">
        <x:v>Planta Campinas</x:v>
      </x:c>
      <x:c r="D11" s="28" t="str">
        <x:v>Linha 4 - Embalagem</x:v>
      </x:c>
      <x:c r="E11" s="28" t="str">
        <x:v>Recurso 4 - Embalagem</x:v>
      </x:c>
      <x:c r="F11" s="32" t="n">
        <x:v>25056</x:v>
      </x:c>
      <x:c r="G11" s="32" t="n">
        <x:v>14095</x:v>
      </x:c>
      <x:c r="H11" s="36" t="n">
        <x:v>0.5625</x:v>
      </x:c>
      <x:c r="I11" s="32" t="n">
        <x:v>10961</x:v>
      </x:c>
      <x:c r="J11" s="32" t="n">
        <x:v>4165</x:v>
      </x:c>
      <x:c r="K11" s="32" t="n">
        <x:v>14428</x:v>
      </x:c>
      <x:c r="L11" s="32" t="n">
        <x:v>333</x:v>
      </x:c>
      <x:c r="M11" s="28" t="str">
        <x:v>Normal</x:v>
      </x:c>
      <x:c r="N11" s="32" t="n">
        <x:v>501.1</x:v>
      </x:c>
    </x:row>
    <x:row r="12">
      <x:c r="A12" s="34" t="n">
        <x:v>45323</x:v>
      </x:c>
      <x:c r="B12" s="28" t="str">
        <x:v>Grupo Industrial S.A.</x:v>
      </x:c>
      <x:c r="C12" s="28" t="str">
        <x:v>Planta Curitiba</x:v>
      </x:c>
      <x:c r="D12" s="28" t="str">
        <x:v>Linha 5 - Usinagem</x:v>
      </x:c>
      <x:c r="E12" s="28" t="str">
        <x:v>Recurso 5 - Usinagem</x:v>
      </x:c>
      <x:c r="F12" s="32" t="n">
        <x:v>28063</x:v>
      </x:c>
      <x:c r="G12" s="32" t="n">
        <x:v>16323</x:v>
      </x:c>
      <x:c r="H12" s="36" t="n">
        <x:v>0.5817</x:v>
      </x:c>
      <x:c r="I12" s="32" t="n">
        <x:v>11740</x:v>
      </x:c>
      <x:c r="J12" s="32" t="n">
        <x:v>4461</x:v>
      </x:c>
      <x:c r="K12" s="32" t="n">
        <x:v>16448</x:v>
      </x:c>
      <x:c r="L12" s="32" t="n">
        <x:v>125</x:v>
      </x:c>
      <x:c r="M12" s="28" t="str">
        <x:v>Normal</x:v>
      </x:c>
      <x:c r="N12" s="32" t="n">
        <x:v>501.1</x:v>
      </x:c>
    </x:row>
    <x:row r="13">
      <x:c r="A13" s="34" t="n">
        <x:v>45323</x:v>
      </x:c>
      <x:c r="B13" s="28" t="str">
        <x:v>Grupo Industrial S.A.</x:v>
      </x:c>
      <x:c r="C13" s="28" t="str">
        <x:v>Planta Curitiba</x:v>
      </x:c>
      <x:c r="D13" s="28" t="str">
        <x:v>Linha 6 - Finalização</x:v>
      </x:c>
      <x:c r="E13" s="28" t="str">
        <x:v>Recurso 6 - Finalização</x:v>
      </x:c>
      <x:c r="F13" s="32" t="n">
        <x:v>24054</x:v>
      </x:c>
      <x:c r="G13" s="32" t="n">
        <x:v>14614</x:v>
      </x:c>
      <x:c r="H13" s="36" t="n">
        <x:v>0.6075</x:v>
      </x:c>
      <x:c r="I13" s="32" t="n">
        <x:v>9440</x:v>
      </x:c>
      <x:c r="J13" s="32" t="n">
        <x:v>3587</x:v>
      </x:c>
      <x:c r="K13" s="32" t="n">
        <x:v>14358</x:v>
      </x:c>
      <x:c r="L13" s="32" t="n">
        <x:v>0</x:v>
      </x:c>
      <x:c r="M13" s="28" t="str">
        <x:v>Normal</x:v>
      </x:c>
      <x:c r="N13" s="32" t="n">
        <x:v>501.1</x:v>
      </x:c>
    </x:row>
    <x:row r="14">
      <x:c r="A14" s="34" t="n">
        <x:v>45352</x:v>
      </x:c>
      <x:c r="B14" s="28" t="str">
        <x:v>Grupo Industrial S.A.</x:v>
      </x:c>
      <x:c r="C14" s="28" t="str">
        <x:v>Planta São Paulo</x:v>
      </x:c>
      <x:c r="D14" s="28" t="str">
        <x:v>Linha 1 - Corte</x:v>
      </x:c>
      <x:c r="E14" s="28" t="str">
        <x:v>Recurso 1 - Corte</x:v>
      </x:c>
      <x:c r="F14" s="32" t="n">
        <x:v>33212</x:v>
      </x:c>
      <x:c r="G14" s="32" t="n">
        <x:v>23773</x:v>
      </x:c>
      <x:c r="H14" s="36" t="n">
        <x:v>0.7158</x:v>
      </x:c>
      <x:c r="I14" s="32" t="n">
        <x:v>9439</x:v>
      </x:c>
      <x:c r="J14" s="32" t="n">
        <x:v>3587</x:v>
      </x:c>
      <x:c r="K14" s="32" t="n">
        <x:v>24079</x:v>
      </x:c>
      <x:c r="L14" s="32" t="n">
        <x:v>306</x:v>
      </x:c>
      <x:c r="M14" s="28" t="str">
        <x:v>Normal</x:v>
      </x:c>
      <x:c r="N14" s="32" t="n">
        <x:v>535.7</x:v>
      </x:c>
    </x:row>
    <x:row r="15">
      <x:c r="A15" s="34" t="n">
        <x:v>45352</x:v>
      </x:c>
      <x:c r="B15" s="28" t="str">
        <x:v>Grupo Industrial S.A.</x:v>
      </x:c>
      <x:c r="C15" s="28" t="str">
        <x:v>Planta São Paulo</x:v>
      </x:c>
      <x:c r="D15" s="28" t="str">
        <x:v>Linha 2 - Montagem</x:v>
      </x:c>
      <x:c r="E15" s="28" t="str">
        <x:v>Recurso 2 - Montagem</x:v>
      </x:c>
      <x:c r="F15" s="32" t="n">
        <x:v>31069</x:v>
      </x:c>
      <x:c r="G15" s="32" t="n">
        <x:v>20185</x:v>
      </x:c>
      <x:c r="H15" s="36" t="n">
        <x:v>0.6497</x:v>
      </x:c>
      <x:c r="I15" s="32" t="n">
        <x:v>10884</x:v>
      </x:c>
      <x:c r="J15" s="32" t="n">
        <x:v>4136</x:v>
      </x:c>
      <x:c r="K15" s="32" t="n">
        <x:v>20448</x:v>
      </x:c>
      <x:c r="L15" s="32" t="n">
        <x:v>263</x:v>
      </x:c>
      <x:c r="M15" s="28" t="str">
        <x:v>Normal</x:v>
      </x:c>
      <x:c r="N15" s="32" t="n">
        <x:v>535.7</x:v>
      </x:c>
    </x:row>
    <x:row r="16">
      <x:c r="A16" s="34" t="n">
        <x:v>45352</x:v>
      </x:c>
      <x:c r="B16" s="28" t="str">
        <x:v>Grupo Industrial S.A.</x:v>
      </x:c>
      <x:c r="C16" s="28" t="str">
        <x:v>Planta Campinas</x:v>
      </x:c>
      <x:c r="D16" s="28" t="str">
        <x:v>Linha 3 - Extrusão</x:v>
      </x:c>
      <x:c r="E16" s="28" t="str">
        <x:v>Recurso 3 - Extrusão</x:v>
      </x:c>
      <x:c r="F16" s="32" t="n">
        <x:v>28927</x:v>
      </x:c>
      <x:c r="G16" s="32" t="n">
        <x:v>16022</x:v>
      </x:c>
      <x:c r="H16" s="36" t="n">
        <x:v>0.5539</x:v>
      </x:c>
      <x:c r="I16" s="32" t="n">
        <x:v>12905</x:v>
      </x:c>
      <x:c r="J16" s="32" t="n">
        <x:v>4904</x:v>
      </x:c>
      <x:c r="K16" s="32" t="n">
        <x:v>16794</x:v>
      </x:c>
      <x:c r="L16" s="32" t="n">
        <x:v>772</x:v>
      </x:c>
      <x:c r="M16" s="28" t="str">
        <x:v>Normal</x:v>
      </x:c>
      <x:c r="N16" s="32" t="n">
        <x:v>535.7</x:v>
      </x:c>
    </x:row>
    <x:row r="17">
      <x:c r="A17" s="34" t="n">
        <x:v>45352</x:v>
      </x:c>
      <x:c r="B17" s="28" t="str">
        <x:v>Grupo Industrial S.A.</x:v>
      </x:c>
      <x:c r="C17" s="28" t="str">
        <x:v>Planta Campinas</x:v>
      </x:c>
      <x:c r="D17" s="28" t="str">
        <x:v>Linha 4 - Embalagem</x:v>
      </x:c>
      <x:c r="E17" s="28" t="str">
        <x:v>Recurso 4 - Embalagem</x:v>
      </x:c>
      <x:c r="F17" s="32" t="n">
        <x:v>26784</x:v>
      </x:c>
      <x:c r="G17" s="32" t="n">
        <x:v>14624</x:v>
      </x:c>
      <x:c r="H17" s="36" t="n">
        <x:v>0.546</x:v>
      </x:c>
      <x:c r="I17" s="32" t="n">
        <x:v>12160</x:v>
      </x:c>
      <x:c r="J17" s="32" t="n">
        <x:v>4621</x:v>
      </x:c>
      <x:c r="K17" s="32" t="n">
        <x:v>14999</x:v>
      </x:c>
      <x:c r="L17" s="32" t="n">
        <x:v>375</x:v>
      </x:c>
      <x:c r="M17" s="28" t="str">
        <x:v>Normal</x:v>
      </x:c>
      <x:c r="N17" s="32" t="n">
        <x:v>535.7</x:v>
      </x:c>
    </x:row>
    <x:row r="18">
      <x:c r="A18" s="34" t="n">
        <x:v>45352</x:v>
      </x:c>
      <x:c r="B18" s="28" t="str">
        <x:v>Grupo Industrial S.A.</x:v>
      </x:c>
      <x:c r="C18" s="28" t="str">
        <x:v>Planta Curitiba</x:v>
      </x:c>
      <x:c r="D18" s="28" t="str">
        <x:v>Linha 5 - Usinagem</x:v>
      </x:c>
      <x:c r="E18" s="28" t="str">
        <x:v>Recurso 5 - Usinagem</x:v>
      </x:c>
      <x:c r="F18" s="32" t="n">
        <x:v>29998</x:v>
      </x:c>
      <x:c r="G18" s="32" t="n">
        <x:v>16897</x:v>
      </x:c>
      <x:c r="H18" s="36" t="n">
        <x:v>0.5633</x:v>
      </x:c>
      <x:c r="I18" s="32" t="n">
        <x:v>13101</x:v>
      </x:c>
      <x:c r="J18" s="32" t="n">
        <x:v>4978</x:v>
      </x:c>
      <x:c r="K18" s="32" t="n">
        <x:v>16887</x:v>
      </x:c>
      <x:c r="L18" s="32" t="n">
        <x:v>0</x:v>
      </x:c>
      <x:c r="M18" s="28" t="str">
        <x:v>Normal</x:v>
      </x:c>
      <x:c r="N18" s="32" t="n">
        <x:v>535.7</x:v>
      </x:c>
    </x:row>
    <x:row r="19">
      <x:c r="A19" s="34" t="n">
        <x:v>45352</x:v>
      </x:c>
      <x:c r="B19" s="28" t="str">
        <x:v>Grupo Industrial S.A.</x:v>
      </x:c>
      <x:c r="C19" s="28" t="str">
        <x:v>Planta Curitiba</x:v>
      </x:c>
      <x:c r="D19" s="28" t="str">
        <x:v>Linha 6 - Finalização</x:v>
      </x:c>
      <x:c r="E19" s="28" t="str">
        <x:v>Recurso 6 - Finalização</x:v>
      </x:c>
      <x:c r="F19" s="32" t="n">
        <x:v>25713</x:v>
      </x:c>
      <x:c r="G19" s="32" t="n">
        <x:v>15181</x:v>
      </x:c>
      <x:c r="H19" s="36" t="n">
        <x:v>0.5904</x:v>
      </x:c>
      <x:c r="I19" s="32" t="n">
        <x:v>10532</x:v>
      </x:c>
      <x:c r="J19" s="32" t="n">
        <x:v>4002</x:v>
      </x:c>
      <x:c r="K19" s="32" t="n">
        <x:v>14935</x:v>
      </x:c>
      <x:c r="L19" s="32" t="n">
        <x:v>0</x:v>
      </x:c>
      <x:c r="M19" s="28" t="str">
        <x:v>Normal</x:v>
      </x:c>
      <x:c r="N19" s="32" t="n">
        <x:v>535.7</x:v>
      </x:c>
    </x:row>
    <x:row r="20">
      <x:c r="A20" s="34" t="n">
        <x:v>45383</x:v>
      </x:c>
      <x:c r="B20" s="28" t="str">
        <x:v>Grupo Industrial S.A.</x:v>
      </x:c>
      <x:c r="C20" s="28" t="str">
        <x:v>Planta São Paulo</x:v>
      </x:c>
      <x:c r="D20" s="28" t="str">
        <x:v>Linha 1 - Corte</x:v>
      </x:c>
      <x:c r="E20" s="28" t="str">
        <x:v>Recurso 1 - Corte</x:v>
      </x:c>
      <x:c r="F20" s="32" t="n">
        <x:v>32141</x:v>
      </x:c>
      <x:c r="G20" s="32" t="n">
        <x:v>28931</x:v>
      </x:c>
      <x:c r="H20" s="36" t="n">
        <x:v>0.9001</x:v>
      </x:c>
      <x:c r="I20" s="32" t="n">
        <x:v>3210</x:v>
      </x:c>
      <x:c r="J20" s="32" t="n">
        <x:v>1220</x:v>
      </x:c>
      <x:c r="K20" s="32" t="n">
        <x:v>29339</x:v>
      </x:c>
      <x:c r="L20" s="32" t="n">
        <x:v>408</x:v>
      </x:c>
      <x:c r="M20" s="28" t="str">
        <x:v>Gargalo</x:v>
      </x:c>
      <x:c r="N20" s="32" t="n">
        <x:v>518.4</x:v>
      </x:c>
    </x:row>
    <x:row r="21">
      <x:c r="A21" s="34" t="n">
        <x:v>45383</x:v>
      </x:c>
      <x:c r="B21" s="28" t="str">
        <x:v>Grupo Industrial S.A.</x:v>
      </x:c>
      <x:c r="C21" s="28" t="str">
        <x:v>Planta São Paulo</x:v>
      </x:c>
      <x:c r="D21" s="28" t="str">
        <x:v>Linha 2 - Montagem</x:v>
      </x:c>
      <x:c r="E21" s="28" t="str">
        <x:v>Recurso 2 - Montagem</x:v>
      </x:c>
      <x:c r="F21" s="32" t="n">
        <x:v>30067</x:v>
      </x:c>
      <x:c r="G21" s="32" t="n">
        <x:v>25444</x:v>
      </x:c>
      <x:c r="H21" s="36" t="n">
        <x:v>0.8462</x:v>
      </x:c>
      <x:c r="I21" s="32" t="n">
        <x:v>4623</x:v>
      </x:c>
      <x:c r="J21" s="32" t="n">
        <x:v>1757</x:v>
      </x:c>
      <x:c r="K21" s="32" t="n">
        <x:v>25444</x:v>
      </x:c>
      <x:c r="L21" s="32" t="n">
        <x:v>0</x:v>
      </x:c>
      <x:c r="M21" s="28" t="str">
        <x:v>Atenção</x:v>
      </x:c>
      <x:c r="N21" s="32" t="n">
        <x:v>518.4</x:v>
      </x:c>
    </x:row>
    <x:row r="22">
      <x:c r="A22" s="34" t="n">
        <x:v>45383</x:v>
      </x:c>
      <x:c r="B22" s="28" t="str">
        <x:v>Grupo Industrial S.A.</x:v>
      </x:c>
      <x:c r="C22" s="28" t="str">
        <x:v>Planta Campinas</x:v>
      </x:c>
      <x:c r="D22" s="28" t="str">
        <x:v>Linha 3 - Extrusão</x:v>
      </x:c>
      <x:c r="E22" s="28" t="str">
        <x:v>Recurso 3 - Extrusão</x:v>
      </x:c>
      <x:c r="F22" s="32" t="n">
        <x:v>27994</x:v>
      </x:c>
      <x:c r="G22" s="32" t="n">
        <x:v>19650</x:v>
      </x:c>
      <x:c r="H22" s="36" t="n">
        <x:v>0.7019</x:v>
      </x:c>
      <x:c r="I22" s="32" t="n">
        <x:v>8344</x:v>
      </x:c>
      <x:c r="J22" s="32" t="n">
        <x:v>3171</x:v>
      </x:c>
      <x:c r="K22" s="32" t="n">
        <x:v>20215</x:v>
      </x:c>
      <x:c r="L22" s="32" t="n">
        <x:v>565</x:v>
      </x:c>
      <x:c r="M22" s="28" t="str">
        <x:v>Normal</x:v>
      </x:c>
      <x:c r="N22" s="32" t="n">
        <x:v>518.4</x:v>
      </x:c>
    </x:row>
    <x:row r="23">
      <x:c r="A23" s="34" t="n">
        <x:v>45383</x:v>
      </x:c>
      <x:c r="B23" s="28" t="str">
        <x:v>Grupo Industrial S.A.</x:v>
      </x:c>
      <x:c r="C23" s="28" t="str">
        <x:v>Planta Campinas</x:v>
      </x:c>
      <x:c r="D23" s="28" t="str">
        <x:v>Linha 4 - Embalagem</x:v>
      </x:c>
      <x:c r="E23" s="28" t="str">
        <x:v>Recurso 4 - Embalagem</x:v>
      </x:c>
      <x:c r="F23" s="32" t="n">
        <x:v>25920</x:v>
      </x:c>
      <x:c r="G23" s="32" t="n">
        <x:v>17736</x:v>
      </x:c>
      <x:c r="H23" s="36" t="n">
        <x:v>0.6843</x:v>
      </x:c>
      <x:c r="I23" s="32" t="n">
        <x:v>8184</x:v>
      </x:c>
      <x:c r="J23" s="32" t="n">
        <x:v>3110</x:v>
      </x:c>
      <x:c r="K23" s="32" t="n">
        <x:v>18263</x:v>
      </x:c>
      <x:c r="L23" s="32" t="n">
        <x:v>527</x:v>
      </x:c>
      <x:c r="M23" s="28" t="str">
        <x:v>Normal</x:v>
      </x:c>
      <x:c r="N23" s="32" t="n">
        <x:v>518.4</x:v>
      </x:c>
    </x:row>
    <x:row r="24">
      <x:c r="A24" s="34" t="n">
        <x:v>45383</x:v>
      </x:c>
      <x:c r="B24" s="28" t="str">
        <x:v>Grupo Industrial S.A.</x:v>
      </x:c>
      <x:c r="C24" s="28" t="str">
        <x:v>Planta Curitiba</x:v>
      </x:c>
      <x:c r="D24" s="28" t="str">
        <x:v>Linha 5 - Usinagem</x:v>
      </x:c>
      <x:c r="E24" s="28" t="str">
        <x:v>Recurso 5 - Usinagem</x:v>
      </x:c>
      <x:c r="F24" s="32" t="n">
        <x:v>29030</x:v>
      </x:c>
      <x:c r="G24" s="32" t="n">
        <x:v>20757</x:v>
      </x:c>
      <x:c r="H24" s="36" t="n">
        <x:v>0.715</x:v>
      </x:c>
      <x:c r="I24" s="32" t="n">
        <x:v>8273</x:v>
      </x:c>
      <x:c r="J24" s="32" t="n">
        <x:v>3144</x:v>
      </x:c>
      <x:c r="K24" s="32" t="n">
        <x:v>20730</x:v>
      </x:c>
      <x:c r="L24" s="32" t="n">
        <x:v>0</x:v>
      </x:c>
      <x:c r="M24" s="28" t="str">
        <x:v>Normal</x:v>
      </x:c>
      <x:c r="N24" s="32" t="n">
        <x:v>518.4</x:v>
      </x:c>
    </x:row>
    <x:row r="25">
      <x:c r="A25" s="34" t="n">
        <x:v>45383</x:v>
      </x:c>
      <x:c r="B25" s="28" t="str">
        <x:v>Grupo Industrial S.A.</x:v>
      </x:c>
      <x:c r="C25" s="28" t="str">
        <x:v>Planta Curitiba</x:v>
      </x:c>
      <x:c r="D25" s="28" t="str">
        <x:v>Linha 6 - Finalização</x:v>
      </x:c>
      <x:c r="E25" s="28" t="str">
        <x:v>Recurso 6 - Finalização</x:v>
      </x:c>
      <x:c r="F25" s="32" t="n">
        <x:v>24883</x:v>
      </x:c>
      <x:c r="G25" s="32" t="n">
        <x:v>18795</x:v>
      </x:c>
      <x:c r="H25" s="36" t="n">
        <x:v>0.7553</x:v>
      </x:c>
      <x:c r="I25" s="32" t="n">
        <x:v>6088</x:v>
      </x:c>
      <x:c r="J25" s="32" t="n">
        <x:v>2313</x:v>
      </x:c>
      <x:c r="K25" s="32" t="n">
        <x:v>18395</x:v>
      </x:c>
      <x:c r="L25" s="32" t="n">
        <x:v>0</x:v>
      </x:c>
      <x:c r="M25" s="28" t="str">
        <x:v>Normal</x:v>
      </x:c>
      <x:c r="N25" s="32" t="n">
        <x:v>518.4</x:v>
      </x:c>
    </x:row>
    <x:row r="26">
      <x:c r="A26" s="34" t="n">
        <x:v>45413</x:v>
      </x:c>
      <x:c r="B26" s="28" t="str">
        <x:v>Grupo Industrial S.A.</x:v>
      </x:c>
      <x:c r="C26" s="28" t="str">
        <x:v>Planta São Paulo</x:v>
      </x:c>
      <x:c r="D26" s="28" t="str">
        <x:v>Linha 1 - Corte</x:v>
      </x:c>
      <x:c r="E26" s="28" t="str">
        <x:v>Recurso 1 - Corte</x:v>
      </x:c>
      <x:c r="F26" s="32" t="n">
        <x:v>33212</x:v>
      </x:c>
      <x:c r="G26" s="32" t="n">
        <x:v>23311</x:v>
      </x:c>
      <x:c r="H26" s="36" t="n">
        <x:v>0.7019</x:v>
      </x:c>
      <x:c r="I26" s="32" t="n">
        <x:v>9901</x:v>
      </x:c>
      <x:c r="J26" s="32" t="n">
        <x:v>3762</x:v>
      </x:c>
      <x:c r="K26" s="32" t="n">
        <x:v>24133</x:v>
      </x:c>
      <x:c r="L26" s="32" t="n">
        <x:v>822</x:v>
      </x:c>
      <x:c r="M26" s="28" t="str">
        <x:v>Normal</x:v>
      </x:c>
      <x:c r="N26" s="32" t="n">
        <x:v>535.7</x:v>
      </x:c>
    </x:row>
    <x:row r="27">
      <x:c r="A27" s="34" t="n">
        <x:v>45413</x:v>
      </x:c>
      <x:c r="B27" s="28" t="str">
        <x:v>Grupo Industrial S.A.</x:v>
      </x:c>
      <x:c r="C27" s="28" t="str">
        <x:v>Planta São Paulo</x:v>
      </x:c>
      <x:c r="D27" s="28" t="str">
        <x:v>Linha 2 - Montagem</x:v>
      </x:c>
      <x:c r="E27" s="28" t="str">
        <x:v>Recurso 2 - Montagem</x:v>
      </x:c>
      <x:c r="F27" s="32" t="n">
        <x:v>31069</x:v>
      </x:c>
      <x:c r="G27" s="32" t="n">
        <x:v>21542</x:v>
      </x:c>
      <x:c r="H27" s="36" t="n">
        <x:v>0.6934</x:v>
      </x:c>
      <x:c r="I27" s="32" t="n">
        <x:v>9527</x:v>
      </x:c>
      <x:c r="J27" s="32" t="n">
        <x:v>3620</x:v>
      </x:c>
      <x:c r="K27" s="32" t="n">
        <x:v>21547</x:v>
      </x:c>
      <x:c r="L27" s="32" t="n">
        <x:v>5</x:v>
      </x:c>
      <x:c r="M27" s="28" t="str">
        <x:v>Normal</x:v>
      </x:c>
      <x:c r="N27" s="32" t="n">
        <x:v>535.7</x:v>
      </x:c>
    </x:row>
    <x:row r="28">
      <x:c r="A28" s="34" t="n">
        <x:v>45413</x:v>
      </x:c>
      <x:c r="B28" s="28" t="str">
        <x:v>Grupo Industrial S.A.</x:v>
      </x:c>
      <x:c r="C28" s="28" t="str">
        <x:v>Planta Campinas</x:v>
      </x:c>
      <x:c r="D28" s="28" t="str">
        <x:v>Linha 3 - Extrusão</x:v>
      </x:c>
      <x:c r="E28" s="28" t="str">
        <x:v>Recurso 3 - Extrusão</x:v>
      </x:c>
      <x:c r="F28" s="32" t="n">
        <x:v>28927</x:v>
      </x:c>
      <x:c r="G28" s="32" t="n">
        <x:v>16536</x:v>
      </x:c>
      <x:c r="H28" s="36" t="n">
        <x:v>0.5716</x:v>
      </x:c>
      <x:c r="I28" s="32" t="n">
        <x:v>12391</x:v>
      </x:c>
      <x:c r="J28" s="32" t="n">
        <x:v>4709</x:v>
      </x:c>
      <x:c r="K28" s="32" t="n">
        <x:v>17167</x:v>
      </x:c>
      <x:c r="L28" s="32" t="n">
        <x:v>631</x:v>
      </x:c>
      <x:c r="M28" s="28" t="str">
        <x:v>Normal</x:v>
      </x:c>
      <x:c r="N28" s="32" t="n">
        <x:v>535.7</x:v>
      </x:c>
    </x:row>
    <x:row r="29">
      <x:c r="A29" s="34" t="n">
        <x:v>45413</x:v>
      </x:c>
      <x:c r="B29" s="28" t="str">
        <x:v>Grupo Industrial S.A.</x:v>
      </x:c>
      <x:c r="C29" s="28" t="str">
        <x:v>Planta Campinas</x:v>
      </x:c>
      <x:c r="D29" s="28" t="str">
        <x:v>Linha 4 - Embalagem</x:v>
      </x:c>
      <x:c r="E29" s="28" t="str">
        <x:v>Recurso 4 - Embalagem</x:v>
      </x:c>
      <x:c r="F29" s="32" t="n">
        <x:v>26784</x:v>
      </x:c>
      <x:c r="G29" s="32" t="n">
        <x:v>14719</x:v>
      </x:c>
      <x:c r="H29" s="36" t="n">
        <x:v>0.5495</x:v>
      </x:c>
      <x:c r="I29" s="32" t="n">
        <x:v>12065</x:v>
      </x:c>
      <x:c r="J29" s="32" t="n">
        <x:v>4585</x:v>
      </x:c>
      <x:c r="K29" s="32" t="n">
        <x:v>15148</x:v>
      </x:c>
      <x:c r="L29" s="32" t="n">
        <x:v>429</x:v>
      </x:c>
      <x:c r="M29" s="28" t="str">
        <x:v>Normal</x:v>
      </x:c>
      <x:c r="N29" s="32" t="n">
        <x:v>535.7</x:v>
      </x:c>
    </x:row>
    <x:row r="30">
      <x:c r="A30" s="34" t="n">
        <x:v>45413</x:v>
      </x:c>
      <x:c r="B30" s="28" t="str">
        <x:v>Grupo Industrial S.A.</x:v>
      </x:c>
      <x:c r="C30" s="28" t="str">
        <x:v>Planta Curitiba</x:v>
      </x:c>
      <x:c r="D30" s="28" t="str">
        <x:v>Linha 5 - Usinagem</x:v>
      </x:c>
      <x:c r="E30" s="28" t="str">
        <x:v>Recurso 5 - Usinagem</x:v>
      </x:c>
      <x:c r="F30" s="32" t="n">
        <x:v>29998</x:v>
      </x:c>
      <x:c r="G30" s="32" t="n">
        <x:v>17620</x:v>
      </x:c>
      <x:c r="H30" s="36" t="n">
        <x:v>0.5874</x:v>
      </x:c>
      <x:c r="I30" s="32" t="n">
        <x:v>12378</x:v>
      </x:c>
      <x:c r="J30" s="32" t="n">
        <x:v>4704</x:v>
      </x:c>
      <x:c r="K30" s="32" t="n">
        <x:v>17202</x:v>
      </x:c>
      <x:c r="L30" s="32" t="n">
        <x:v>0</x:v>
      </x:c>
      <x:c r="M30" s="28" t="str">
        <x:v>Normal</x:v>
      </x:c>
      <x:c r="N30" s="32" t="n">
        <x:v>535.7</x:v>
      </x:c>
    </x:row>
    <x:row r="31">
      <x:c r="A31" s="34" t="n">
        <x:v>45413</x:v>
      </x:c>
      <x:c r="B31" s="28" t="str">
        <x:v>Grupo Industrial S.A.</x:v>
      </x:c>
      <x:c r="C31" s="28" t="str">
        <x:v>Planta Curitiba</x:v>
      </x:c>
      <x:c r="D31" s="28" t="str">
        <x:v>Linha 6 - Finalização</x:v>
      </x:c>
      <x:c r="E31" s="28" t="str">
        <x:v>Recurso 6 - Finalização</x:v>
      </x:c>
      <x:c r="F31" s="32" t="n">
        <x:v>25713</x:v>
      </x:c>
      <x:c r="G31" s="32" t="n">
        <x:v>15218</x:v>
      </x:c>
      <x:c r="H31" s="36" t="n">
        <x:v>0.5918</x:v>
      </x:c>
      <x:c r="I31" s="32" t="n">
        <x:v>10495</x:v>
      </x:c>
      <x:c r="J31" s="32" t="n">
        <x:v>3988</x:v>
      </x:c>
      <x:c r="K31" s="32" t="n">
        <x:v>15079</x:v>
      </x:c>
      <x:c r="L31" s="32" t="n">
        <x:v>0</x:v>
      </x:c>
      <x:c r="M31" s="28" t="str">
        <x:v>Normal</x:v>
      </x:c>
      <x:c r="N31" s="32" t="n">
        <x:v>535.7</x:v>
      </x:c>
    </x:row>
    <x:row r="32">
      <x:c r="A32" s="34" t="n">
        <x:v>45444</x:v>
      </x:c>
      <x:c r="B32" s="28" t="str">
        <x:v>Grupo Industrial S.A.</x:v>
      </x:c>
      <x:c r="C32" s="28" t="str">
        <x:v>Planta São Paulo</x:v>
      </x:c>
      <x:c r="D32" s="28" t="str">
        <x:v>Linha 1 - Corte</x:v>
      </x:c>
      <x:c r="E32" s="28" t="str">
        <x:v>Recurso 1 - Corte</x:v>
      </x:c>
      <x:c r="F32" s="32" t="n">
        <x:v>32141</x:v>
      </x:c>
      <x:c r="G32" s="32" t="n">
        <x:v>23058</x:v>
      </x:c>
      <x:c r="H32" s="36" t="n">
        <x:v>0.7174</x:v>
      </x:c>
      <x:c r="I32" s="32" t="n">
        <x:v>9083</x:v>
      </x:c>
      <x:c r="J32" s="32" t="n">
        <x:v>3452</x:v>
      </x:c>
      <x:c r="K32" s="32" t="n">
        <x:v>23670</x:v>
      </x:c>
      <x:c r="L32" s="32" t="n">
        <x:v>612</x:v>
      </x:c>
      <x:c r="M32" s="28" t="str">
        <x:v>Normal</x:v>
      </x:c>
      <x:c r="N32" s="32" t="n">
        <x:v>518.4</x:v>
      </x:c>
    </x:row>
    <x:row r="33">
      <x:c r="A33" s="34" t="n">
        <x:v>45444</x:v>
      </x:c>
      <x:c r="B33" s="28" t="str">
        <x:v>Grupo Industrial S.A.</x:v>
      </x:c>
      <x:c r="C33" s="28" t="str">
        <x:v>Planta São Paulo</x:v>
      </x:c>
      <x:c r="D33" s="28" t="str">
        <x:v>Linha 2 - Montagem</x:v>
      </x:c>
      <x:c r="E33" s="28" t="str">
        <x:v>Recurso 2 - Montagem</x:v>
      </x:c>
      <x:c r="F33" s="32" t="n">
        <x:v>30067</x:v>
      </x:c>
      <x:c r="G33" s="32" t="n">
        <x:v>21265</x:v>
      </x:c>
      <x:c r="H33" s="36" t="n">
        <x:v>0.7073</x:v>
      </x:c>
      <x:c r="I33" s="32" t="n">
        <x:v>8802</x:v>
      </x:c>
      <x:c r="J33" s="32" t="n">
        <x:v>3345</x:v>
      </x:c>
      <x:c r="K33" s="32" t="n">
        <x:v>21518</x:v>
      </x:c>
      <x:c r="L33" s="32" t="n">
        <x:v>253</x:v>
      </x:c>
      <x:c r="M33" s="28" t="str">
        <x:v>Normal</x:v>
      </x:c>
      <x:c r="N33" s="32" t="n">
        <x:v>518.4</x:v>
      </x:c>
    </x:row>
    <x:row r="34">
      <x:c r="A34" s="34" t="n">
        <x:v>45444</x:v>
      </x:c>
      <x:c r="B34" s="28" t="str">
        <x:v>Grupo Industrial S.A.</x:v>
      </x:c>
      <x:c r="C34" s="28" t="str">
        <x:v>Planta Campinas</x:v>
      </x:c>
      <x:c r="D34" s="28" t="str">
        <x:v>Linha 3 - Extrusão</x:v>
      </x:c>
      <x:c r="E34" s="28" t="str">
        <x:v>Recurso 3 - Extrusão</x:v>
      </x:c>
      <x:c r="F34" s="32" t="n">
        <x:v>27994</x:v>
      </x:c>
      <x:c r="G34" s="32" t="n">
        <x:v>16059</x:v>
      </x:c>
      <x:c r="H34" s="36" t="n">
        <x:v>0.5737</x:v>
      </x:c>
      <x:c r="I34" s="32" t="n">
        <x:v>11935</x:v>
      </x:c>
      <x:c r="J34" s="32" t="n">
        <x:v>4535</x:v>
      </x:c>
      <x:c r="K34" s="32" t="n">
        <x:v>16511</x:v>
      </x:c>
      <x:c r="L34" s="32" t="n">
        <x:v>452</x:v>
      </x:c>
      <x:c r="M34" s="28" t="str">
        <x:v>Normal</x:v>
      </x:c>
      <x:c r="N34" s="32" t="n">
        <x:v>518.4</x:v>
      </x:c>
    </x:row>
    <x:row r="35">
      <x:c r="A35" s="34" t="n">
        <x:v>45444</x:v>
      </x:c>
      <x:c r="B35" s="28" t="str">
        <x:v>Grupo Industrial S.A.</x:v>
      </x:c>
      <x:c r="C35" s="28" t="str">
        <x:v>Planta Campinas</x:v>
      </x:c>
      <x:c r="D35" s="28" t="str">
        <x:v>Linha 4 - Embalagem</x:v>
      </x:c>
      <x:c r="E35" s="28" t="str">
        <x:v>Recurso 4 - Embalagem</x:v>
      </x:c>
      <x:c r="F35" s="32" t="n">
        <x:v>25920</x:v>
      </x:c>
      <x:c r="G35" s="32" t="n">
        <x:v>13949</x:v>
      </x:c>
      <x:c r="H35" s="36" t="n">
        <x:v>0.5382</x:v>
      </x:c>
      <x:c r="I35" s="32" t="n">
        <x:v>11971</x:v>
      </x:c>
      <x:c r="J35" s="32" t="n">
        <x:v>4549</x:v>
      </x:c>
      <x:c r="K35" s="32" t="n">
        <x:v>14574</x:v>
      </x:c>
      <x:c r="L35" s="32" t="n">
        <x:v>625</x:v>
      </x:c>
      <x:c r="M35" s="28" t="str">
        <x:v>Normal</x:v>
      </x:c>
      <x:c r="N35" s="32" t="n">
        <x:v>518.4</x:v>
      </x:c>
    </x:row>
    <x:row r="36">
      <x:c r="A36" s="34" t="n">
        <x:v>45444</x:v>
      </x:c>
      <x:c r="B36" s="28" t="str">
        <x:v>Grupo Industrial S.A.</x:v>
      </x:c>
      <x:c r="C36" s="28" t="str">
        <x:v>Planta Curitiba</x:v>
      </x:c>
      <x:c r="D36" s="28" t="str">
        <x:v>Linha 5 - Usinagem</x:v>
      </x:c>
      <x:c r="E36" s="28" t="str">
        <x:v>Recurso 5 - Usinagem</x:v>
      </x:c>
      <x:c r="F36" s="32" t="n">
        <x:v>29030</x:v>
      </x:c>
      <x:c r="G36" s="32" t="n">
        <x:v>17324</x:v>
      </x:c>
      <x:c r="H36" s="36" t="n">
        <x:v>0.5968</x:v>
      </x:c>
      <x:c r="I36" s="32" t="n">
        <x:v>11706</x:v>
      </x:c>
      <x:c r="J36" s="32" t="n">
        <x:v>4448</x:v>
      </x:c>
      <x:c r="K36" s="32" t="n">
        <x:v>16777</x:v>
      </x:c>
      <x:c r="L36" s="32" t="n">
        <x:v>0</x:v>
      </x:c>
      <x:c r="M36" s="28" t="str">
        <x:v>Normal</x:v>
      </x:c>
      <x:c r="N36" s="32" t="n">
        <x:v>518.4</x:v>
      </x:c>
    </x:row>
    <x:row r="37">
      <x:c r="A37" s="34" t="n">
        <x:v>45444</x:v>
      </x:c>
      <x:c r="B37" s="28" t="str">
        <x:v>Grupo Industrial S.A.</x:v>
      </x:c>
      <x:c r="C37" s="28" t="str">
        <x:v>Planta Curitiba</x:v>
      </x:c>
      <x:c r="D37" s="28" t="str">
        <x:v>Linha 6 - Finalização</x:v>
      </x:c>
      <x:c r="E37" s="28" t="str">
        <x:v>Recurso 6 - Finalização</x:v>
      </x:c>
      <x:c r="F37" s="32" t="n">
        <x:v>24883</x:v>
      </x:c>
      <x:c r="G37" s="32" t="n">
        <x:v>14951</x:v>
      </x:c>
      <x:c r="H37" s="36" t="n">
        <x:v>0.6009</x:v>
      </x:c>
      <x:c r="I37" s="32" t="n">
        <x:v>9932</x:v>
      </x:c>
      <x:c r="J37" s="32" t="n">
        <x:v>3774</x:v>
      </x:c>
      <x:c r="K37" s="32" t="n">
        <x:v>14675</x:v>
      </x:c>
      <x:c r="L37" s="32" t="n">
        <x:v>0</x:v>
      </x:c>
      <x:c r="M37" s="28" t="str">
        <x:v>Normal</x:v>
      </x:c>
      <x:c r="N37" s="32" t="n">
        <x:v>518.4</x:v>
      </x:c>
    </x:row>
    <x:row r="38">
      <x:c r="A38" s="34" t="n">
        <x:v>45474</x:v>
      </x:c>
      <x:c r="B38" s="28" t="str">
        <x:v>Grupo Industrial S.A.</x:v>
      </x:c>
      <x:c r="C38" s="28" t="str">
        <x:v>Planta São Paulo</x:v>
      </x:c>
      <x:c r="D38" s="28" t="str">
        <x:v>Linha 1 - Corte</x:v>
      </x:c>
      <x:c r="E38" s="28" t="str">
        <x:v>Recurso 1 - Corte</x:v>
      </x:c>
      <x:c r="F38" s="32" t="n">
        <x:v>33212</x:v>
      </x:c>
      <x:c r="G38" s="32" t="n">
        <x:v>28604</x:v>
      </x:c>
      <x:c r="H38" s="36" t="n">
        <x:v>0.8613</x:v>
      </x:c>
      <x:c r="I38" s="32" t="n">
        <x:v>4608</x:v>
      </x:c>
      <x:c r="J38" s="32" t="n">
        <x:v>1751</x:v>
      </x:c>
      <x:c r="K38" s="32" t="n">
        <x:v>28556</x:v>
      </x:c>
      <x:c r="L38" s="32" t="n">
        <x:v>0</x:v>
      </x:c>
      <x:c r="M38" s="28" t="str">
        <x:v>Atenção</x:v>
      </x:c>
      <x:c r="N38" s="32" t="n">
        <x:v>535.7</x:v>
      </x:c>
    </x:row>
    <x:row r="39">
      <x:c r="A39" s="34" t="n">
        <x:v>45474</x:v>
      </x:c>
      <x:c r="B39" s="28" t="str">
        <x:v>Grupo Industrial S.A.</x:v>
      </x:c>
      <x:c r="C39" s="28" t="str">
        <x:v>Planta São Paulo</x:v>
      </x:c>
      <x:c r="D39" s="28" t="str">
        <x:v>Linha 2 - Montagem</x:v>
      </x:c>
      <x:c r="E39" s="28" t="str">
        <x:v>Recurso 2 - Montagem</x:v>
      </x:c>
      <x:c r="F39" s="32" t="n">
        <x:v>31069</x:v>
      </x:c>
      <x:c r="G39" s="32" t="n">
        <x:v>25002</x:v>
      </x:c>
      <x:c r="H39" s="36" t="n">
        <x:v>0.8047</x:v>
      </x:c>
      <x:c r="I39" s="32" t="n">
        <x:v>6067</x:v>
      </x:c>
      <x:c r="J39" s="32" t="n">
        <x:v>2305</x:v>
      </x:c>
      <x:c r="K39" s="32" t="n">
        <x:v>25279</x:v>
      </x:c>
      <x:c r="L39" s="32" t="n">
        <x:v>277</x:v>
      </x:c>
      <x:c r="M39" s="28" t="str">
        <x:v>Atenção</x:v>
      </x:c>
      <x:c r="N39" s="32" t="n">
        <x:v>535.7</x:v>
      </x:c>
    </x:row>
    <x:row r="40">
      <x:c r="A40" s="34" t="n">
        <x:v>45474</x:v>
      </x:c>
      <x:c r="B40" s="28" t="str">
        <x:v>Grupo Industrial S.A.</x:v>
      </x:c>
      <x:c r="C40" s="28" t="str">
        <x:v>Planta Campinas</x:v>
      </x:c>
      <x:c r="D40" s="28" t="str">
        <x:v>Linha 3 - Extrusão</x:v>
      </x:c>
      <x:c r="E40" s="28" t="str">
        <x:v>Recurso 3 - Extrusão</x:v>
      </x:c>
      <x:c r="F40" s="32" t="n">
        <x:v>28927</x:v>
      </x:c>
      <x:c r="G40" s="32" t="n">
        <x:v>19511</x:v>
      </x:c>
      <x:c r="H40" s="36" t="n">
        <x:v>0.6745</x:v>
      </x:c>
      <x:c r="I40" s="32" t="n">
        <x:v>9416</x:v>
      </x:c>
      <x:c r="J40" s="32" t="n">
        <x:v>3578</x:v>
      </x:c>
      <x:c r="K40" s="32" t="n">
        <x:v>20021</x:v>
      </x:c>
      <x:c r="L40" s="32" t="n">
        <x:v>510</x:v>
      </x:c>
      <x:c r="M40" s="28" t="str">
        <x:v>Normal</x:v>
      </x:c>
      <x:c r="N40" s="32" t="n">
        <x:v>535.7</x:v>
      </x:c>
    </x:row>
    <x:row r="41">
      <x:c r="A41" s="34" t="n">
        <x:v>45474</x:v>
      </x:c>
      <x:c r="B41" s="28" t="str">
        <x:v>Grupo Industrial S.A.</x:v>
      </x:c>
      <x:c r="C41" s="28" t="str">
        <x:v>Planta Campinas</x:v>
      </x:c>
      <x:c r="D41" s="28" t="str">
        <x:v>Linha 4 - Embalagem</x:v>
      </x:c>
      <x:c r="E41" s="28" t="str">
        <x:v>Recurso 4 - Embalagem</x:v>
      </x:c>
      <x:c r="F41" s="32" t="n">
        <x:v>26784</x:v>
      </x:c>
      <x:c r="G41" s="32" t="n">
        <x:v>17132</x:v>
      </x:c>
      <x:c r="H41" s="36" t="n">
        <x:v>0.6396</x:v>
      </x:c>
      <x:c r="I41" s="32" t="n">
        <x:v>9652</x:v>
      </x:c>
      <x:c r="J41" s="32" t="n">
        <x:v>3668</x:v>
      </x:c>
      <x:c r="K41" s="32" t="n">
        <x:v>17714</x:v>
      </x:c>
      <x:c r="L41" s="32" t="n">
        <x:v>582</x:v>
      </x:c>
      <x:c r="M41" s="28" t="str">
        <x:v>Normal</x:v>
      </x:c>
      <x:c r="N41" s="32" t="n">
        <x:v>535.7</x:v>
      </x:c>
    </x:row>
    <x:row r="42">
      <x:c r="A42" s="34" t="n">
        <x:v>45474</x:v>
      </x:c>
      <x:c r="B42" s="28" t="str">
        <x:v>Grupo Industrial S.A.</x:v>
      </x:c>
      <x:c r="C42" s="28" t="str">
        <x:v>Planta Curitiba</x:v>
      </x:c>
      <x:c r="D42" s="28" t="str">
        <x:v>Linha 5 - Usinagem</x:v>
      </x:c>
      <x:c r="E42" s="28" t="str">
        <x:v>Recurso 5 - Usinagem</x:v>
      </x:c>
      <x:c r="F42" s="32" t="n">
        <x:v>29998</x:v>
      </x:c>
      <x:c r="G42" s="32" t="n">
        <x:v>20381</x:v>
      </x:c>
      <x:c r="H42" s="36" t="n">
        <x:v>0.6794</x:v>
      </x:c>
      <x:c r="I42" s="32" t="n">
        <x:v>9617</x:v>
      </x:c>
      <x:c r="J42" s="32" t="n">
        <x:v>3654</x:v>
      </x:c>
      <x:c r="K42" s="32" t="n">
        <x:v>20255</x:v>
      </x:c>
      <x:c r="L42" s="32" t="n">
        <x:v>0</x:v>
      </x:c>
      <x:c r="M42" s="28" t="str">
        <x:v>Normal</x:v>
      </x:c>
      <x:c r="N42" s="32" t="n">
        <x:v>535.7</x:v>
      </x:c>
    </x:row>
    <x:row r="43">
      <x:c r="A43" s="34" t="n">
        <x:v>45474</x:v>
      </x:c>
      <x:c r="B43" s="28" t="str">
        <x:v>Grupo Industrial S.A.</x:v>
      </x:c>
      <x:c r="C43" s="28" t="str">
        <x:v>Planta Curitiba</x:v>
      </x:c>
      <x:c r="D43" s="28" t="str">
        <x:v>Linha 6 - Finalização</x:v>
      </x:c>
      <x:c r="E43" s="28" t="str">
        <x:v>Recurso 6 - Finalização</x:v>
      </x:c>
      <x:c r="F43" s="32" t="n">
        <x:v>25713</x:v>
      </x:c>
      <x:c r="G43" s="32" t="n">
        <x:v>17943</x:v>
      </x:c>
      <x:c r="H43" s="36" t="n">
        <x:v>0.6978</x:v>
      </x:c>
      <x:c r="I43" s="32" t="n">
        <x:v>7770</x:v>
      </x:c>
      <x:c r="J43" s="32" t="n">
        <x:v>2953</x:v>
      </x:c>
      <x:c r="K43" s="32" t="n">
        <x:v>17848</x:v>
      </x:c>
      <x:c r="L43" s="32" t="n">
        <x:v>0</x:v>
      </x:c>
      <x:c r="M43" s="28" t="str">
        <x:v>Normal</x:v>
      </x:c>
      <x:c r="N43" s="32" t="n">
        <x:v>535.7</x:v>
      </x:c>
    </x:row>
    <x:row r="44">
      <x:c r="A44" s="34" t="n">
        <x:v>45505</x:v>
      </x:c>
      <x:c r="B44" s="28" t="str">
        <x:v>Grupo Industrial S.A.</x:v>
      </x:c>
      <x:c r="C44" s="28" t="str">
        <x:v>Planta São Paulo</x:v>
      </x:c>
      <x:c r="D44" s="28" t="str">
        <x:v>Linha 1 - Corte</x:v>
      </x:c>
      <x:c r="E44" s="28" t="str">
        <x:v>Recurso 1 - Corte</x:v>
      </x:c>
      <x:c r="F44" s="32" t="n">
        <x:v>33212</x:v>
      </x:c>
      <x:c r="G44" s="32" t="n">
        <x:v>23397</x:v>
      </x:c>
      <x:c r="H44" s="36" t="n">
        <x:v>0.7045</x:v>
      </x:c>
      <x:c r="I44" s="32" t="n">
        <x:v>9815</x:v>
      </x:c>
      <x:c r="J44" s="32" t="n">
        <x:v>3730</x:v>
      </x:c>
      <x:c r="K44" s="32" t="n">
        <x:v>23800</x:v>
      </x:c>
      <x:c r="L44" s="32" t="n">
        <x:v>403</x:v>
      </x:c>
      <x:c r="M44" s="28" t="str">
        <x:v>Normal</x:v>
      </x:c>
      <x:c r="N44" s="32" t="n">
        <x:v>535.7</x:v>
      </x:c>
    </x:row>
    <x:row r="45">
      <x:c r="A45" s="34" t="n">
        <x:v>45505</x:v>
      </x:c>
      <x:c r="B45" s="28" t="str">
        <x:v>Grupo Industrial S.A.</x:v>
      </x:c>
      <x:c r="C45" s="28" t="str">
        <x:v>Planta São Paulo</x:v>
      </x:c>
      <x:c r="D45" s="28" t="str">
        <x:v>Linha 2 - Montagem</x:v>
      </x:c>
      <x:c r="E45" s="28" t="str">
        <x:v>Recurso 2 - Montagem</x:v>
      </x:c>
      <x:c r="F45" s="32" t="n">
        <x:v>31069</x:v>
      </x:c>
      <x:c r="G45" s="32" t="n">
        <x:v>19980</x:v>
      </x:c>
      <x:c r="H45" s="36" t="n">
        <x:v>0.6431</x:v>
      </x:c>
      <x:c r="I45" s="32" t="n">
        <x:v>11089</x:v>
      </x:c>
      <x:c r="J45" s="32" t="n">
        <x:v>4214</x:v>
      </x:c>
      <x:c r="K45" s="32" t="n">
        <x:v>20766</x:v>
      </x:c>
      <x:c r="L45" s="32" t="n">
        <x:v>786</x:v>
      </x:c>
      <x:c r="M45" s="28" t="str">
        <x:v>Normal</x:v>
      </x:c>
      <x:c r="N45" s="32" t="n">
        <x:v>535.7</x:v>
      </x:c>
    </x:row>
    <x:row r="46">
      <x:c r="A46" s="34" t="n">
        <x:v>45505</x:v>
      </x:c>
      <x:c r="B46" s="28" t="str">
        <x:v>Grupo Industrial S.A.</x:v>
      </x:c>
      <x:c r="C46" s="28" t="str">
        <x:v>Planta Campinas</x:v>
      </x:c>
      <x:c r="D46" s="28" t="str">
        <x:v>Linha 3 - Extrusão</x:v>
      </x:c>
      <x:c r="E46" s="28" t="str">
        <x:v>Recurso 3 - Extrusão</x:v>
      </x:c>
      <x:c r="F46" s="32" t="n">
        <x:v>28927</x:v>
      </x:c>
      <x:c r="G46" s="32" t="n">
        <x:v>15960</x:v>
      </x:c>
      <x:c r="H46" s="36" t="n">
        <x:v>0.5517</x:v>
      </x:c>
      <x:c r="I46" s="32" t="n">
        <x:v>12967</x:v>
      </x:c>
      <x:c r="J46" s="32" t="n">
        <x:v>4927</x:v>
      </x:c>
      <x:c r="K46" s="32" t="n">
        <x:v>16383</x:v>
      </x:c>
      <x:c r="L46" s="32" t="n">
        <x:v>423</x:v>
      </x:c>
      <x:c r="M46" s="28" t="str">
        <x:v>Normal</x:v>
      </x:c>
      <x:c r="N46" s="32" t="n">
        <x:v>535.7</x:v>
      </x:c>
    </x:row>
    <x:row r="47">
      <x:c r="A47" s="34" t="n">
        <x:v>45505</x:v>
      </x:c>
      <x:c r="B47" s="28" t="str">
        <x:v>Grupo Industrial S.A.</x:v>
      </x:c>
      <x:c r="C47" s="28" t="str">
        <x:v>Planta Campinas</x:v>
      </x:c>
      <x:c r="D47" s="28" t="str">
        <x:v>Linha 4 - Embalagem</x:v>
      </x:c>
      <x:c r="E47" s="28" t="str">
        <x:v>Recurso 4 - Embalagem</x:v>
      </x:c>
      <x:c r="F47" s="32" t="n">
        <x:v>26784</x:v>
      </x:c>
      <x:c r="G47" s="32" t="n">
        <x:v>14490</x:v>
      </x:c>
      <x:c r="H47" s="36" t="n">
        <x:v>0.541</x:v>
      </x:c>
      <x:c r="I47" s="32" t="n">
        <x:v>12294</x:v>
      </x:c>
      <x:c r="J47" s="32" t="n">
        <x:v>4672</x:v>
      </x:c>
      <x:c r="K47" s="32" t="n">
        <x:v>15223</x:v>
      </x:c>
      <x:c r="L47" s="32" t="n">
        <x:v>733</x:v>
      </x:c>
      <x:c r="M47" s="28" t="str">
        <x:v>Normal</x:v>
      </x:c>
      <x:c r="N47" s="32" t="n">
        <x:v>535.7</x:v>
      </x:c>
    </x:row>
    <x:row r="48">
      <x:c r="A48" s="34" t="n">
        <x:v>45505</x:v>
      </x:c>
      <x:c r="B48" s="28" t="str">
        <x:v>Grupo Industrial S.A.</x:v>
      </x:c>
      <x:c r="C48" s="28" t="str">
        <x:v>Planta Curitiba</x:v>
      </x:c>
      <x:c r="D48" s="28" t="str">
        <x:v>Linha 5 - Usinagem</x:v>
      </x:c>
      <x:c r="E48" s="28" t="str">
        <x:v>Recurso 5 - Usinagem</x:v>
      </x:c>
      <x:c r="F48" s="32" t="n">
        <x:v>29998</x:v>
      </x:c>
      <x:c r="G48" s="32" t="n">
        <x:v>17077</x:v>
      </x:c>
      <x:c r="H48" s="36" t="n">
        <x:v>0.5693</x:v>
      </x:c>
      <x:c r="I48" s="32" t="n">
        <x:v>12921</x:v>
      </x:c>
      <x:c r="J48" s="32" t="n">
        <x:v>4910</x:v>
      </x:c>
      <x:c r="K48" s="32" t="n">
        <x:v>16922</x:v>
      </x:c>
      <x:c r="L48" s="32" t="n">
        <x:v>0</x:v>
      </x:c>
      <x:c r="M48" s="28" t="str">
        <x:v>Normal</x:v>
      </x:c>
      <x:c r="N48" s="32" t="n">
        <x:v>535.7</x:v>
      </x:c>
    </x:row>
    <x:row r="49">
      <x:c r="A49" s="34" t="n">
        <x:v>45505</x:v>
      </x:c>
      <x:c r="B49" s="28" t="str">
        <x:v>Grupo Industrial S.A.</x:v>
      </x:c>
      <x:c r="C49" s="28" t="str">
        <x:v>Planta Curitiba</x:v>
      </x:c>
      <x:c r="D49" s="28" t="str">
        <x:v>Linha 6 - Finalização</x:v>
      </x:c>
      <x:c r="E49" s="28" t="str">
        <x:v>Recurso 6 - Finalização</x:v>
      </x:c>
      <x:c r="F49" s="32" t="n">
        <x:v>25713</x:v>
      </x:c>
      <x:c r="G49" s="32" t="n">
        <x:v>15163</x:v>
      </x:c>
      <x:c r="H49" s="36" t="n">
        <x:v>0.5897</x:v>
      </x:c>
      <x:c r="I49" s="32" t="n">
        <x:v>10550</x:v>
      </x:c>
      <x:c r="J49" s="32" t="n">
        <x:v>4009</x:v>
      </x:c>
      <x:c r="K49" s="32" t="n">
        <x:v>15047</x:v>
      </x:c>
      <x:c r="L49" s="32" t="n">
        <x:v>0</x:v>
      </x:c>
      <x:c r="M49" s="28" t="str">
        <x:v>Normal</x:v>
      </x:c>
      <x:c r="N49" s="32" t="n">
        <x:v>535.7</x:v>
      </x:c>
    </x:row>
    <x:row r="50">
      <x:c r="A50" s="34" t="n">
        <x:v>45536</x:v>
      </x:c>
      <x:c r="B50" s="28" t="str">
        <x:v>Grupo Industrial S.A.</x:v>
      </x:c>
      <x:c r="C50" s="28" t="str">
        <x:v>Planta São Paulo</x:v>
      </x:c>
      <x:c r="D50" s="28" t="str">
        <x:v>Linha 1 - Corte</x:v>
      </x:c>
      <x:c r="E50" s="28" t="str">
        <x:v>Recurso 1 - Corte</x:v>
      </x:c>
      <x:c r="F50" s="32" t="n">
        <x:v>32141</x:v>
      </x:c>
      <x:c r="G50" s="32" t="n">
        <x:v>28346</x:v>
      </x:c>
      <x:c r="H50" s="36" t="n">
        <x:v>0.8819</x:v>
      </x:c>
      <x:c r="I50" s="32" t="n">
        <x:v>3795</x:v>
      </x:c>
      <x:c r="J50" s="32" t="n">
        <x:v>1442</x:v>
      </x:c>
      <x:c r="K50" s="32" t="n">
        <x:v>28735</x:v>
      </x:c>
      <x:c r="L50" s="32" t="n">
        <x:v>389</x:v>
      </x:c>
      <x:c r="M50" s="28" t="str">
        <x:v>Atenção</x:v>
      </x:c>
      <x:c r="N50" s="32" t="n">
        <x:v>518.4</x:v>
      </x:c>
    </x:row>
    <x:row r="51">
      <x:c r="A51" s="34" t="n">
        <x:v>45536</x:v>
      </x:c>
      <x:c r="B51" s="28" t="str">
        <x:v>Grupo Industrial S.A.</x:v>
      </x:c>
      <x:c r="C51" s="28" t="str">
        <x:v>Planta São Paulo</x:v>
      </x:c>
      <x:c r="D51" s="28" t="str">
        <x:v>Linha 2 - Montagem</x:v>
      </x:c>
      <x:c r="E51" s="28" t="str">
        <x:v>Recurso 2 - Montagem</x:v>
      </x:c>
      <x:c r="F51" s="32" t="n">
        <x:v>30067</x:v>
      </x:c>
      <x:c r="G51" s="32" t="n">
        <x:v>24926</x:v>
      </x:c>
      <x:c r="H51" s="36" t="n">
        <x:v>0.829</x:v>
      </x:c>
      <x:c r="I51" s="32" t="n">
        <x:v>5141</x:v>
      </x:c>
      <x:c r="J51" s="32" t="n">
        <x:v>1954</x:v>
      </x:c>
      <x:c r="K51" s="32" t="n">
        <x:v>24906</x:v>
      </x:c>
      <x:c r="L51" s="32" t="n">
        <x:v>0</x:v>
      </x:c>
      <x:c r="M51" s="28" t="str">
        <x:v>Atenção</x:v>
      </x:c>
      <x:c r="N51" s="32" t="n">
        <x:v>518.4</x:v>
      </x:c>
    </x:row>
    <x:row r="52">
      <x:c r="A52" s="34" t="n">
        <x:v>45536</x:v>
      </x:c>
      <x:c r="B52" s="28" t="str">
        <x:v>Grupo Industrial S.A.</x:v>
      </x:c>
      <x:c r="C52" s="28" t="str">
        <x:v>Planta Campinas</x:v>
      </x:c>
      <x:c r="D52" s="28" t="str">
        <x:v>Linha 3 - Extrusão</x:v>
      </x:c>
      <x:c r="E52" s="28" t="str">
        <x:v>Recurso 3 - Extrusão</x:v>
      </x:c>
      <x:c r="F52" s="32" t="n">
        <x:v>27994</x:v>
      </x:c>
      <x:c r="G52" s="32" t="n">
        <x:v>19634</x:v>
      </x:c>
      <x:c r="H52" s="36" t="n">
        <x:v>0.7014</x:v>
      </x:c>
      <x:c r="I52" s="32" t="n">
        <x:v>8360</x:v>
      </x:c>
      <x:c r="J52" s="32" t="n">
        <x:v>3177</x:v>
      </x:c>
      <x:c r="K52" s="32" t="n">
        <x:v>20525</x:v>
      </x:c>
      <x:c r="L52" s="32" t="n">
        <x:v>891</x:v>
      </x:c>
      <x:c r="M52" s="28" t="str">
        <x:v>Normal</x:v>
      </x:c>
      <x:c r="N52" s="32" t="n">
        <x:v>518.4</x:v>
      </x:c>
    </x:row>
    <x:row r="53">
      <x:c r="A53" s="34" t="n">
        <x:v>45536</x:v>
      </x:c>
      <x:c r="B53" s="28" t="str">
        <x:v>Grupo Industrial S.A.</x:v>
      </x:c>
      <x:c r="C53" s="28" t="str">
        <x:v>Planta Campinas</x:v>
      </x:c>
      <x:c r="D53" s="28" t="str">
        <x:v>Linha 4 - Embalagem</x:v>
      </x:c>
      <x:c r="E53" s="28" t="str">
        <x:v>Recurso 4 - Embalagem</x:v>
      </x:c>
      <x:c r="F53" s="32" t="n">
        <x:v>25920</x:v>
      </x:c>
      <x:c r="G53" s="32" t="n">
        <x:v>17354</x:v>
      </x:c>
      <x:c r="H53" s="36" t="n">
        <x:v>0.6695</x:v>
      </x:c>
      <x:c r="I53" s="32" t="n">
        <x:v>8566</x:v>
      </x:c>
      <x:c r="J53" s="32" t="n">
        <x:v>3255</x:v>
      </x:c>
      <x:c r="K53" s="32" t="n">
        <x:v>18036</x:v>
      </x:c>
      <x:c r="L53" s="32" t="n">
        <x:v>682</x:v>
      </x:c>
      <x:c r="M53" s="28" t="str">
        <x:v>Normal</x:v>
      </x:c>
      <x:c r="N53" s="32" t="n">
        <x:v>518.4</x:v>
      </x:c>
    </x:row>
    <x:row r="54">
      <x:c r="A54" s="34" t="n">
        <x:v>45536</x:v>
      </x:c>
      <x:c r="B54" s="28" t="str">
        <x:v>Grupo Industrial S.A.</x:v>
      </x:c>
      <x:c r="C54" s="28" t="str">
        <x:v>Planta Curitiba</x:v>
      </x:c>
      <x:c r="D54" s="28" t="str">
        <x:v>Linha 5 - Usinagem</x:v>
      </x:c>
      <x:c r="E54" s="28" t="str">
        <x:v>Recurso 5 - Usinagem</x:v>
      </x:c>
      <x:c r="F54" s="32" t="n">
        <x:v>29030</x:v>
      </x:c>
      <x:c r="G54" s="32" t="n">
        <x:v>21318</x:v>
      </x:c>
      <x:c r="H54" s="36" t="n">
        <x:v>0.7343</x:v>
      </x:c>
      <x:c r="I54" s="32" t="n">
        <x:v>7712</x:v>
      </x:c>
      <x:c r="J54" s="32" t="n">
        <x:v>2931</x:v>
      </x:c>
      <x:c r="K54" s="32" t="n">
        <x:v>20973</x:v>
      </x:c>
      <x:c r="L54" s="32" t="n">
        <x:v>0</x:v>
      </x:c>
      <x:c r="M54" s="28" t="str">
        <x:v>Normal</x:v>
      </x:c>
      <x:c r="N54" s="32" t="n">
        <x:v>518.4</x:v>
      </x:c>
    </x:row>
    <x:row r="55">
      <x:c r="A55" s="34" t="n">
        <x:v>45536</x:v>
      </x:c>
      <x:c r="B55" s="28" t="str">
        <x:v>Grupo Industrial S.A.</x:v>
      </x:c>
      <x:c r="C55" s="28" t="str">
        <x:v>Planta Curitiba</x:v>
      </x:c>
      <x:c r="D55" s="28" t="str">
        <x:v>Linha 6 - Finalização</x:v>
      </x:c>
      <x:c r="E55" s="28" t="str">
        <x:v>Recurso 6 - Finalização</x:v>
      </x:c>
      <x:c r="F55" s="32" t="n">
        <x:v>24883</x:v>
      </x:c>
      <x:c r="G55" s="32" t="n">
        <x:v>19116</x:v>
      </x:c>
      <x:c r="H55" s="36" t="n">
        <x:v>0.7682</x:v>
      </x:c>
      <x:c r="I55" s="32" t="n">
        <x:v>5767</x:v>
      </x:c>
      <x:c r="J55" s="32" t="n">
        <x:v>2191</x:v>
      </x:c>
      <x:c r="K55" s="32" t="n">
        <x:v>18840</x:v>
      </x:c>
      <x:c r="L55" s="32" t="n">
        <x:v>0</x:v>
      </x:c>
      <x:c r="M55" s="28" t="str">
        <x:v>Normal</x:v>
      </x:c>
      <x:c r="N55" s="32" t="n">
        <x:v>518.4</x:v>
      </x:c>
    </x:row>
    <x:row r="56">
      <x:c r="A56" s="34" t="n">
        <x:v>45566</x:v>
      </x:c>
      <x:c r="B56" s="28" t="str">
        <x:v>Grupo Industrial S.A.</x:v>
      </x:c>
      <x:c r="C56" s="28" t="str">
        <x:v>Planta São Paulo</x:v>
      </x:c>
      <x:c r="D56" s="28" t="str">
        <x:v>Linha 1 - Corte</x:v>
      </x:c>
      <x:c r="E56" s="28" t="str">
        <x:v>Recurso 1 - Corte</x:v>
      </x:c>
      <x:c r="F56" s="32" t="n">
        <x:v>33212</x:v>
      </x:c>
      <x:c r="G56" s="32" t="n">
        <x:v>23344</x:v>
      </x:c>
      <x:c r="H56" s="36" t="n">
        <x:v>0.7029</x:v>
      </x:c>
      <x:c r="I56" s="32" t="n">
        <x:v>9868</x:v>
      </x:c>
      <x:c r="J56" s="32" t="n">
        <x:v>3750</x:v>
      </x:c>
      <x:c r="K56" s="32" t="n">
        <x:v>25117</x:v>
      </x:c>
      <x:c r="L56" s="32" t="n">
        <x:v>1773</x:v>
      </x:c>
      <x:c r="M56" s="28" t="str">
        <x:v>Normal</x:v>
      </x:c>
      <x:c r="N56" s="32" t="n">
        <x:v>535.7</x:v>
      </x:c>
    </x:row>
    <x:row r="57">
      <x:c r="A57" s="34" t="n">
        <x:v>45566</x:v>
      </x:c>
      <x:c r="B57" s="28" t="str">
        <x:v>Grupo Industrial S.A.</x:v>
      </x:c>
      <x:c r="C57" s="28" t="str">
        <x:v>Planta São Paulo</x:v>
      </x:c>
      <x:c r="D57" s="28" t="str">
        <x:v>Linha 2 - Montagem</x:v>
      </x:c>
      <x:c r="E57" s="28" t="str">
        <x:v>Recurso 2 - Montagem</x:v>
      </x:c>
      <x:c r="F57" s="32" t="n">
        <x:v>31069</x:v>
      </x:c>
      <x:c r="G57" s="32" t="n">
        <x:v>21956</x:v>
      </x:c>
      <x:c r="H57" s="36" t="n">
        <x:v>0.7067</x:v>
      </x:c>
      <x:c r="I57" s="32" t="n">
        <x:v>9113</x:v>
      </x:c>
      <x:c r="J57" s="32" t="n">
        <x:v>3463</x:v>
      </x:c>
      <x:c r="K57" s="32" t="n">
        <x:v>22205</x:v>
      </x:c>
      <x:c r="L57" s="32" t="n">
        <x:v>249</x:v>
      </x:c>
      <x:c r="M57" s="28" t="str">
        <x:v>Normal</x:v>
      </x:c>
      <x:c r="N57" s="32" t="n">
        <x:v>535.7</x:v>
      </x:c>
    </x:row>
    <x:row r="58">
      <x:c r="A58" s="34" t="n">
        <x:v>45566</x:v>
      </x:c>
      <x:c r="B58" s="28" t="str">
        <x:v>Grupo Industrial S.A.</x:v>
      </x:c>
      <x:c r="C58" s="28" t="str">
        <x:v>Planta Campinas</x:v>
      </x:c>
      <x:c r="D58" s="28" t="str">
        <x:v>Linha 3 - Extrusão</x:v>
      </x:c>
      <x:c r="E58" s="28" t="str">
        <x:v>Recurso 3 - Extrusão</x:v>
      </x:c>
      <x:c r="F58" s="32" t="n">
        <x:v>28927</x:v>
      </x:c>
      <x:c r="G58" s="32" t="n">
        <x:v>16811</x:v>
      </x:c>
      <x:c r="H58" s="36" t="n">
        <x:v>0.5812</x:v>
      </x:c>
      <x:c r="I58" s="32" t="n">
        <x:v>12116</x:v>
      </x:c>
      <x:c r="J58" s="32" t="n">
        <x:v>4604</x:v>
      </x:c>
      <x:c r="K58" s="32" t="n">
        <x:v>17487</x:v>
      </x:c>
      <x:c r="L58" s="32" t="n">
        <x:v>676</x:v>
      </x:c>
      <x:c r="M58" s="28" t="str">
        <x:v>Normal</x:v>
      </x:c>
      <x:c r="N58" s="32" t="n">
        <x:v>535.7</x:v>
      </x:c>
    </x:row>
    <x:row r="59">
      <x:c r="A59" s="34" t="n">
        <x:v>45566</x:v>
      </x:c>
      <x:c r="B59" s="28" t="str">
        <x:v>Grupo Industrial S.A.</x:v>
      </x:c>
      <x:c r="C59" s="28" t="str">
        <x:v>Planta Campinas</x:v>
      </x:c>
      <x:c r="D59" s="28" t="str">
        <x:v>Linha 4 - Embalagem</x:v>
      </x:c>
      <x:c r="E59" s="28" t="str">
        <x:v>Recurso 4 - Embalagem</x:v>
      </x:c>
      <x:c r="F59" s="32" t="n">
        <x:v>26784</x:v>
      </x:c>
      <x:c r="G59" s="32" t="n">
        <x:v>15118</x:v>
      </x:c>
      <x:c r="H59" s="36" t="n">
        <x:v>0.5644</x:v>
      </x:c>
      <x:c r="I59" s="32" t="n">
        <x:v>11666</x:v>
      </x:c>
      <x:c r="J59" s="32" t="n">
        <x:v>4433</x:v>
      </x:c>
      <x:c r="K59" s="32" t="n">
        <x:v>15815</x:v>
      </x:c>
      <x:c r="L59" s="32" t="n">
        <x:v>697</x:v>
      </x:c>
      <x:c r="M59" s="28" t="str">
        <x:v>Normal</x:v>
      </x:c>
      <x:c r="N59" s="32" t="n">
        <x:v>535.7</x:v>
      </x:c>
    </x:row>
    <x:row r="60">
      <x:c r="A60" s="34" t="n">
        <x:v>45566</x:v>
      </x:c>
      <x:c r="B60" s="28" t="str">
        <x:v>Grupo Industrial S.A.</x:v>
      </x:c>
      <x:c r="C60" s="28" t="str">
        <x:v>Planta Curitiba</x:v>
      </x:c>
      <x:c r="D60" s="28" t="str">
        <x:v>Linha 5 - Usinagem</x:v>
      </x:c>
      <x:c r="E60" s="28" t="str">
        <x:v>Recurso 5 - Usinagem</x:v>
      </x:c>
      <x:c r="F60" s="32" t="n">
        <x:v>29998</x:v>
      </x:c>
      <x:c r="G60" s="32" t="n">
        <x:v>17993</x:v>
      </x:c>
      <x:c r="H60" s="36" t="n">
        <x:v>0.5998</x:v>
      </x:c>
      <x:c r="I60" s="32" t="n">
        <x:v>12005</x:v>
      </x:c>
      <x:c r="J60" s="32" t="n">
        <x:v>4562</x:v>
      </x:c>
      <x:c r="K60" s="32" t="n">
        <x:v>17817</x:v>
      </x:c>
      <x:c r="L60" s="32" t="n">
        <x:v>0</x:v>
      </x:c>
      <x:c r="M60" s="28" t="str">
        <x:v>Normal</x:v>
      </x:c>
      <x:c r="N60" s="32" t="n">
        <x:v>535.7</x:v>
      </x:c>
    </x:row>
    <x:row r="61">
      <x:c r="A61" s="34" t="n">
        <x:v>45566</x:v>
      </x:c>
      <x:c r="B61" s="28" t="str">
        <x:v>Grupo Industrial S.A.</x:v>
      </x:c>
      <x:c r="C61" s="28" t="str">
        <x:v>Planta Curitiba</x:v>
      </x:c>
      <x:c r="D61" s="28" t="str">
        <x:v>Linha 6 - Finalização</x:v>
      </x:c>
      <x:c r="E61" s="28" t="str">
        <x:v>Recurso 6 - Finalização</x:v>
      </x:c>
      <x:c r="F61" s="32" t="n">
        <x:v>25713</x:v>
      </x:c>
      <x:c r="G61" s="32" t="n">
        <x:v>16215</x:v>
      </x:c>
      <x:c r="H61" s="36" t="n">
        <x:v>0.6306</x:v>
      </x:c>
      <x:c r="I61" s="32" t="n">
        <x:v>9498</x:v>
      </x:c>
      <x:c r="J61" s="32" t="n">
        <x:v>3609</x:v>
      </x:c>
      <x:c r="K61" s="32" t="n">
        <x:v>15841</x:v>
      </x:c>
      <x:c r="L61" s="32" t="n">
        <x:v>0</x:v>
      </x:c>
      <x:c r="M61" s="28" t="str">
        <x:v>Normal</x:v>
      </x:c>
      <x:c r="N61" s="32" t="n">
        <x:v>535.7</x:v>
      </x:c>
    </x:row>
    <x:row r="62">
      <x:c r="A62" s="34" t="n">
        <x:v>45597</x:v>
      </x:c>
      <x:c r="B62" s="28" t="str">
        <x:v>Grupo Industrial S.A.</x:v>
      </x:c>
      <x:c r="C62" s="28" t="str">
        <x:v>Planta São Paulo</x:v>
      </x:c>
      <x:c r="D62" s="28" t="str">
        <x:v>Linha 1 - Corte</x:v>
      </x:c>
      <x:c r="E62" s="28" t="str">
        <x:v>Recurso 1 - Corte</x:v>
      </x:c>
      <x:c r="F62" s="32" t="n">
        <x:v>32141</x:v>
      </x:c>
      <x:c r="G62" s="32" t="n">
        <x:v>23983</x:v>
      </x:c>
      <x:c r="H62" s="36" t="n">
        <x:v>0.7462</x:v>
      </x:c>
      <x:c r="I62" s="32" t="n">
        <x:v>8158</x:v>
      </x:c>
      <x:c r="J62" s="32" t="n">
        <x:v>3100</x:v>
      </x:c>
      <x:c r="K62" s="32" t="n">
        <x:v>24150</x:v>
      </x:c>
      <x:c r="L62" s="32" t="n">
        <x:v>167</x:v>
      </x:c>
      <x:c r="M62" s="28" t="str">
        <x:v>Normal</x:v>
      </x:c>
      <x:c r="N62" s="32" t="n">
        <x:v>518.4</x:v>
      </x:c>
    </x:row>
    <x:row r="63">
      <x:c r="A63" s="34" t="n">
        <x:v>45597</x:v>
      </x:c>
      <x:c r="B63" s="28" t="str">
        <x:v>Grupo Industrial S.A.</x:v>
      </x:c>
      <x:c r="C63" s="28" t="str">
        <x:v>Planta São Paulo</x:v>
      </x:c>
      <x:c r="D63" s="28" t="str">
        <x:v>Linha 2 - Montagem</x:v>
      </x:c>
      <x:c r="E63" s="28" t="str">
        <x:v>Recurso 2 - Montagem</x:v>
      </x:c>
      <x:c r="F63" s="32" t="n">
        <x:v>30067</x:v>
      </x:c>
      <x:c r="G63" s="32" t="n">
        <x:v>20766</x:v>
      </x:c>
      <x:c r="H63" s="36" t="n">
        <x:v>0.6907</x:v>
      </x:c>
      <x:c r="I63" s="32" t="n">
        <x:v>9301</x:v>
      </x:c>
      <x:c r="J63" s="32" t="n">
        <x:v>3534</x:v>
      </x:c>
      <x:c r="K63" s="32" t="n">
        <x:v>21025</x:v>
      </x:c>
      <x:c r="L63" s="32" t="n">
        <x:v>259</x:v>
      </x:c>
      <x:c r="M63" s="28" t="str">
        <x:v>Normal</x:v>
      </x:c>
      <x:c r="N63" s="32" t="n">
        <x:v>518.4</x:v>
      </x:c>
    </x:row>
    <x:row r="64">
      <x:c r="A64" s="34" t="n">
        <x:v>45597</x:v>
      </x:c>
      <x:c r="B64" s="28" t="str">
        <x:v>Grupo Industrial S.A.</x:v>
      </x:c>
      <x:c r="C64" s="28" t="str">
        <x:v>Planta Campinas</x:v>
      </x:c>
      <x:c r="D64" s="28" t="str">
        <x:v>Linha 3 - Extrusão</x:v>
      </x:c>
      <x:c r="E64" s="28" t="str">
        <x:v>Recurso 3 - Extrusão</x:v>
      </x:c>
      <x:c r="F64" s="32" t="n">
        <x:v>27994</x:v>
      </x:c>
      <x:c r="G64" s="32" t="n">
        <x:v>16937</x:v>
      </x:c>
      <x:c r="H64" s="36" t="n">
        <x:v>0.605</x:v>
      </x:c>
      <x:c r="I64" s="32" t="n">
        <x:v>11057</x:v>
      </x:c>
      <x:c r="J64" s="32" t="n">
        <x:v>4202</x:v>
      </x:c>
      <x:c r="K64" s="32" t="n">
        <x:v>17522</x:v>
      </x:c>
      <x:c r="L64" s="32" t="n">
        <x:v>585</x:v>
      </x:c>
      <x:c r="M64" s="28" t="str">
        <x:v>Normal</x:v>
      </x:c>
      <x:c r="N64" s="32" t="n">
        <x:v>518.4</x:v>
      </x:c>
    </x:row>
    <x:row r="65">
      <x:c r="A65" s="34" t="n">
        <x:v>45597</x:v>
      </x:c>
      <x:c r="B65" s="28" t="str">
        <x:v>Grupo Industrial S.A.</x:v>
      </x:c>
      <x:c r="C65" s="28" t="str">
        <x:v>Planta Campinas</x:v>
      </x:c>
      <x:c r="D65" s="28" t="str">
        <x:v>Linha 4 - Embalagem</x:v>
      </x:c>
      <x:c r="E65" s="28" t="str">
        <x:v>Recurso 4 - Embalagem</x:v>
      </x:c>
      <x:c r="F65" s="32" t="n">
        <x:v>25920</x:v>
      </x:c>
      <x:c r="G65" s="32" t="n">
        <x:v>15340</x:v>
      </x:c>
      <x:c r="H65" s="36" t="n">
        <x:v>0.5918</x:v>
      </x:c>
      <x:c r="I65" s="32" t="n">
        <x:v>10580</x:v>
      </x:c>
      <x:c r="J65" s="32" t="n">
        <x:v>4020</x:v>
      </x:c>
      <x:c r="K65" s="32" t="n">
        <x:v>15620</x:v>
      </x:c>
      <x:c r="L65" s="32" t="n">
        <x:v>280</x:v>
      </x:c>
      <x:c r="M65" s="28" t="str">
        <x:v>Normal</x:v>
      </x:c>
      <x:c r="N65" s="32" t="n">
        <x:v>518.4</x:v>
      </x:c>
    </x:row>
    <x:row r="66">
      <x:c r="A66" s="34" t="n">
        <x:v>45597</x:v>
      </x:c>
      <x:c r="B66" s="28" t="str">
        <x:v>Grupo Industrial S.A.</x:v>
      </x:c>
      <x:c r="C66" s="28" t="str">
        <x:v>Planta Curitiba</x:v>
      </x:c>
      <x:c r="D66" s="28" t="str">
        <x:v>Linha 5 - Usinagem</x:v>
      </x:c>
      <x:c r="E66" s="28" t="str">
        <x:v>Recurso 5 - Usinagem</x:v>
      </x:c>
      <x:c r="F66" s="32" t="n">
        <x:v>29030</x:v>
      </x:c>
      <x:c r="G66" s="32" t="n">
        <x:v>16873</x:v>
      </x:c>
      <x:c r="H66" s="36" t="n">
        <x:v>0.5812</x:v>
      </x:c>
      <x:c r="I66" s="32" t="n">
        <x:v>12157</x:v>
      </x:c>
      <x:c r="J66" s="32" t="n">
        <x:v>4620</x:v>
      </x:c>
      <x:c r="K66" s="32" t="n">
        <x:v>16831</x:v>
      </x:c>
      <x:c r="L66" s="32" t="n">
        <x:v>0</x:v>
      </x:c>
      <x:c r="M66" s="28" t="str">
        <x:v>Normal</x:v>
      </x:c>
      <x:c r="N66" s="32" t="n">
        <x:v>518.4</x:v>
      </x:c>
    </x:row>
    <x:row r="67">
      <x:c r="A67" s="34" t="n">
        <x:v>45597</x:v>
      </x:c>
      <x:c r="B67" s="28" t="str">
        <x:v>Grupo Industrial S.A.</x:v>
      </x:c>
      <x:c r="C67" s="28" t="str">
        <x:v>Planta Curitiba</x:v>
      </x:c>
      <x:c r="D67" s="28" t="str">
        <x:v>Linha 6 - Finalização</x:v>
      </x:c>
      <x:c r="E67" s="28" t="str">
        <x:v>Recurso 6 - Finalização</x:v>
      </x:c>
      <x:c r="F67" s="32" t="n">
        <x:v>24883</x:v>
      </x:c>
      <x:c r="G67" s="32" t="n">
        <x:v>15306</x:v>
      </x:c>
      <x:c r="H67" s="36" t="n">
        <x:v>0.6151</x:v>
      </x:c>
      <x:c r="I67" s="32" t="n">
        <x:v>9577</x:v>
      </x:c>
      <x:c r="J67" s="32" t="n">
        <x:v>3639</x:v>
      </x:c>
      <x:c r="K67" s="32" t="n">
        <x:v>15326</x:v>
      </x:c>
      <x:c r="L67" s="32" t="n">
        <x:v>20</x:v>
      </x:c>
      <x:c r="M67" s="28" t="str">
        <x:v>Normal</x:v>
      </x:c>
      <x:c r="N67" s="32" t="n">
        <x:v>518.4</x:v>
      </x:c>
    </x:row>
    <x:row r="68">
      <x:c r="A68" s="34" t="n">
        <x:v>45627</x:v>
      </x:c>
      <x:c r="B68" s="28" t="str">
        <x:v>Grupo Industrial S.A.</x:v>
      </x:c>
      <x:c r="C68" s="28" t="str">
        <x:v>Planta São Paulo</x:v>
      </x:c>
      <x:c r="D68" s="28" t="str">
        <x:v>Linha 1 - Corte</x:v>
      </x:c>
      <x:c r="E68" s="28" t="str">
        <x:v>Recurso 1 - Corte</x:v>
      </x:c>
      <x:c r="F68" s="32" t="n">
        <x:v>33212</x:v>
      </x:c>
      <x:c r="G68" s="32" t="n">
        <x:v>26859</x:v>
      </x:c>
      <x:c r="H68" s="36" t="n">
        <x:v>0.8087</x:v>
      </x:c>
      <x:c r="I68" s="32" t="n">
        <x:v>6353</x:v>
      </x:c>
      <x:c r="J68" s="32" t="n">
        <x:v>2414</x:v>
      </x:c>
      <x:c r="K68" s="32" t="n">
        <x:v>27558</x:v>
      </x:c>
      <x:c r="L68" s="32" t="n">
        <x:v>699</x:v>
      </x:c>
      <x:c r="M68" s="28" t="str">
        <x:v>Atenção</x:v>
      </x:c>
      <x:c r="N68" s="32" t="n">
        <x:v>535.7</x:v>
      </x:c>
    </x:row>
    <x:row r="69">
      <x:c r="A69" s="34" t="n">
        <x:v>45627</x:v>
      </x:c>
      <x:c r="B69" s="28" t="str">
        <x:v>Grupo Industrial S.A.</x:v>
      </x:c>
      <x:c r="C69" s="28" t="str">
        <x:v>Planta São Paulo</x:v>
      </x:c>
      <x:c r="D69" s="28" t="str">
        <x:v>Linha 2 - Montagem</x:v>
      </x:c>
      <x:c r="E69" s="28" t="str">
        <x:v>Recurso 2 - Montagem</x:v>
      </x:c>
      <x:c r="F69" s="32" t="n">
        <x:v>31069</x:v>
      </x:c>
      <x:c r="G69" s="32" t="n">
        <x:v>23010</x:v>
      </x:c>
      <x:c r="H69" s="36" t="n">
        <x:v>0.7406</x:v>
      </x:c>
      <x:c r="I69" s="32" t="n">
        <x:v>8059</x:v>
      </x:c>
      <x:c r="J69" s="32" t="n">
        <x:v>3062</x:v>
      </x:c>
      <x:c r="K69" s="32" t="n">
        <x:v>23804</x:v>
      </x:c>
      <x:c r="L69" s="32" t="n">
        <x:v>794</x:v>
      </x:c>
      <x:c r="M69" s="28" t="str">
        <x:v>Normal</x:v>
      </x:c>
      <x:c r="N69" s="32" t="n">
        <x:v>535.7</x:v>
      </x:c>
    </x:row>
    <x:row r="70">
      <x:c r="A70" s="34" t="n">
        <x:v>45627</x:v>
      </x:c>
      <x:c r="B70" s="28" t="str">
        <x:v>Grupo Industrial S.A.</x:v>
      </x:c>
      <x:c r="C70" s="28" t="str">
        <x:v>Planta Campinas</x:v>
      </x:c>
      <x:c r="D70" s="28" t="str">
        <x:v>Linha 3 - Extrusão</x:v>
      </x:c>
      <x:c r="E70" s="28" t="str">
        <x:v>Recurso 3 - Extrusão</x:v>
      </x:c>
      <x:c r="F70" s="32" t="n">
        <x:v>28927</x:v>
      </x:c>
      <x:c r="G70" s="32" t="n">
        <x:v>18418</x:v>
      </x:c>
      <x:c r="H70" s="36" t="n">
        <x:v>0.6367</x:v>
      </x:c>
      <x:c r="I70" s="32" t="n">
        <x:v>10509</x:v>
      </x:c>
      <x:c r="J70" s="32" t="n">
        <x:v>3993</x:v>
      </x:c>
      <x:c r="K70" s="32" t="n">
        <x:v>19240</x:v>
      </x:c>
      <x:c r="L70" s="32" t="n">
        <x:v>822</x:v>
      </x:c>
      <x:c r="M70" s="28" t="str">
        <x:v>Normal</x:v>
      </x:c>
      <x:c r="N70" s="32" t="n">
        <x:v>535.7</x:v>
      </x:c>
    </x:row>
    <x:row r="71">
      <x:c r="A71" s="34" t="n">
        <x:v>45627</x:v>
      </x:c>
      <x:c r="B71" s="28" t="str">
        <x:v>Grupo Industrial S.A.</x:v>
      </x:c>
      <x:c r="C71" s="28" t="str">
        <x:v>Planta Campinas</x:v>
      </x:c>
      <x:c r="D71" s="28" t="str">
        <x:v>Linha 4 - Embalagem</x:v>
      </x:c>
      <x:c r="E71" s="28" t="str">
        <x:v>Recurso 4 - Embalagem</x:v>
      </x:c>
      <x:c r="F71" s="32" t="n">
        <x:v>26784</x:v>
      </x:c>
      <x:c r="G71" s="32" t="n">
        <x:v>16592</x:v>
      </x:c>
      <x:c r="H71" s="36" t="n">
        <x:v>0.6195</x:v>
      </x:c>
      <x:c r="I71" s="32" t="n">
        <x:v>10192</x:v>
      </x:c>
      <x:c r="J71" s="32" t="n">
        <x:v>3873</x:v>
      </x:c>
      <x:c r="K71" s="32" t="n">
        <x:v>16936</x:v>
      </x:c>
      <x:c r="L71" s="32" t="n">
        <x:v>344</x:v>
      </x:c>
      <x:c r="M71" s="28" t="str">
        <x:v>Normal</x:v>
      </x:c>
      <x:c r="N71" s="32" t="n">
        <x:v>535.7</x:v>
      </x:c>
    </x:row>
    <x:row r="72">
      <x:c r="A72" s="34" t="n">
        <x:v>45627</x:v>
      </x:c>
      <x:c r="B72" s="28" t="str">
        <x:v>Grupo Industrial S.A.</x:v>
      </x:c>
      <x:c r="C72" s="28" t="str">
        <x:v>Planta Curitiba</x:v>
      </x:c>
      <x:c r="D72" s="28" t="str">
        <x:v>Linha 5 - Usinagem</x:v>
      </x:c>
      <x:c r="E72" s="28" t="str">
        <x:v>Recurso 5 - Usinagem</x:v>
      </x:c>
      <x:c r="F72" s="32" t="n">
        <x:v>29998</x:v>
      </x:c>
      <x:c r="G72" s="32" t="n">
        <x:v>20054</x:v>
      </x:c>
      <x:c r="H72" s="36" t="n">
        <x:v>0.6685</x:v>
      </x:c>
      <x:c r="I72" s="32" t="n">
        <x:v>9944</x:v>
      </x:c>
      <x:c r="J72" s="32" t="n">
        <x:v>3779</x:v>
      </x:c>
      <x:c r="K72" s="32" t="n">
        <x:v>19566</x:v>
      </x:c>
      <x:c r="L72" s="32" t="n">
        <x:v>0</x:v>
      </x:c>
      <x:c r="M72" s="28" t="str">
        <x:v>Normal</x:v>
      </x:c>
      <x:c r="N72" s="32" t="n">
        <x:v>535.7</x:v>
      </x:c>
    </x:row>
    <x:row r="73">
      <x:c r="A73" s="34" t="n">
        <x:v>45627</x:v>
      </x:c>
      <x:c r="B73" s="28" t="str">
        <x:v>Grupo Industrial S.A.</x:v>
      </x:c>
      <x:c r="C73" s="28" t="str">
        <x:v>Planta Curitiba</x:v>
      </x:c>
      <x:c r="D73" s="28" t="str">
        <x:v>Linha 6 - Finalização</x:v>
      </x:c>
      <x:c r="E73" s="28" t="str">
        <x:v>Recurso 6 - Finalização</x:v>
      </x:c>
      <x:c r="F73" s="32" t="n">
        <x:v>25713</x:v>
      </x:c>
      <x:c r="G73" s="32" t="n">
        <x:v>17703</x:v>
      </x:c>
      <x:c r="H73" s="36" t="n">
        <x:v>0.6885</x:v>
      </x:c>
      <x:c r="I73" s="32" t="n">
        <x:v>8010</x:v>
      </x:c>
      <x:c r="J73" s="32" t="n">
        <x:v>3044</x:v>
      </x:c>
      <x:c r="K73" s="32" t="n">
        <x:v>17582</x:v>
      </x:c>
      <x:c r="L73" s="32" t="n">
        <x:v>0</x:v>
      </x:c>
      <x:c r="M73" s="28" t="str">
        <x:v>Normal</x:v>
      </x:c>
      <x:c r="N73" s="32" t="n">
        <x:v>535.7</x:v>
      </x:c>
    </x:row>
  </x:sheetData>
  <x:conditionalFormatting sqref="M2:M1000">
    <x:cfRule type="expression" dxfId="1" priority="1">
      <x:formula>M2="Gargalo"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2" hidden="0" customWidth="1"/>
    <x:col min="4" max="4" width="24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16" hidden="0" customWidth="1"/>
    <x:col min="13" max="13" width="16" hidden="0" customWidth="1"/>
    <x:col min="14" max="14" width="22" hidden="0" customWidth="1"/>
    <x:col min="15" max="15" width="12" hidden="0" customWidth="1"/>
    <x:col min="16" max="16" width="12" hidden="0" customWidth="1"/>
    <x:col min="17" max="17" width="22" hidden="0" customWidth="1"/>
    <x:col min="18" max="18" width="22" hidden="0" customWidth="1"/>
    <x:col min="19" max="19" width="20" hidden="0" customWidth="1"/>
    <x:col min="20" max="20" width="42" hidden="0" customWidth="1"/>
  </x:cols>
  <x:sheetData>
    <x:row r="1">
      <x:c r="A1" s="22" t="str">
        <x:v>Competencia</x:v>
      </x:c>
      <x:c r="B1" s="22" t="str">
        <x:v>Grupo</x:v>
      </x:c>
      <x:c r="C1" s="22" t="str">
        <x:v>Fabrica</x:v>
      </x:c>
      <x:c r="D1" s="22" t="str">
        <x:v>Material</x:v>
      </x:c>
      <x:c r="E1" s="22" t="str">
        <x:v>Fornecedor</x:v>
      </x:c>
      <x:c r="F1" s="22" t="str">
        <x:v>Familia_Material</x:v>
      </x:c>
      <x:c r="G1" s="22" t="str">
        <x:v>Consumo_Padrao_kg</x:v>
      </x:c>
      <x:c r="H1" s="22" t="str">
        <x:v>Consumo_Real_kg</x:v>
      </x:c>
      <x:c r="I1" s="22" t="str">
        <x:v>Preco_MP_R$_kg</x:v>
      </x:c>
      <x:c r="J1" s="22" t="str">
        <x:v>Estoque_Atual_kg</x:v>
      </x:c>
      <x:c r="K1" s="22" t="str">
        <x:v>Consumo_Medio_Dia_kg</x:v>
      </x:c>
      <x:c r="L1" s="22" t="str">
        <x:v>Cobertura_Dias</x:v>
      </x:c>
      <x:c r="M1" s="22" t="str">
        <x:v>Lead_Time_Dias</x:v>
      </x:c>
      <x:c r="N1" s="22" t="str">
        <x:v>Aderencia_Fornecedor</x:v>
      </x:c>
      <x:c r="O1" s="22" t="str">
        <x:v>Ruptura</x:v>
      </x:c>
      <x:c r="P1" s="22" t="str">
        <x:v>Risco</x:v>
      </x:c>
      <x:c r="Q1" s="22" t="str">
        <x:v>Impacto_Producao_Un</x:v>
      </x:c>
      <x:c r="R1" s="22" t="str">
        <x:v>Compra_Emergencial_R$</x:v>
      </x:c>
      <x:c r="S1" s="22" t="str">
        <x:v>Estoque_Excesso_R$</x:v>
      </x:c>
      <x:c r="T1" s="22" t="str">
        <x:v>Evidencia</x:v>
      </x:c>
    </x:row>
    <x:row r="2">
      <x:c r="A2" s="34" t="n">
        <x:v>45292</x:v>
      </x:c>
      <x:c r="B2" s="28" t="str">
        <x:v>Grupo Industrial S.A.</x:v>
      </x:c>
      <x:c r="C2" s="28" t="str">
        <x:v>Planta São Paulo</x:v>
      </x:c>
      <x:c r="D2" s="28" t="str">
        <x:v>Filme PE 500mm</x:v>
      </x:c>
      <x:c r="E2" s="28" t="str">
        <x:v>Fornecedor A</x:v>
      </x:c>
      <x:c r="F2" s="28" t="str">
        <x:v>Embalagem</x:v>
      </x:c>
      <x:c r="G2" s="32" t="n">
        <x:v>16894.8</x:v>
      </x:c>
      <x:c r="H2" s="32" t="n">
        <x:v>17598.45</x:v>
      </x:c>
      <x:c r="I2" s="30" t="n">
        <x:v>12.47</x:v>
      </x:c>
      <x:c r="J2" s="32" t="n">
        <x:v>25546.13</x:v>
      </x:c>
      <x:c r="K2" s="32" t="n">
        <x:v>567.69</x:v>
      </x:c>
      <x:c r="L2" s="32" t="n">
        <x:v>45</x:v>
      </x:c>
      <x:c r="M2" s="32" t="n">
        <x:v>10</x:v>
      </x:c>
      <x:c r="N2" s="36" t="n">
        <x:v>0.95</x:v>
      </x:c>
      <x:c r="O2" s="28" t="str">
        <x:v>Não</x:v>
      </x:c>
      <x:c r="P2" s="28" t="str">
        <x:v>Baixo</x:v>
      </x:c>
      <x:c r="Q2" s="32" t="n">
        <x:v>0</x:v>
      </x:c>
      <x:c r="R2" s="30" t="n">
        <x:v>0</x:v>
      </x:c>
      <x:c r="S2" s="30" t="n">
        <x:v>70393.78</x:v>
      </x:c>
      <x:c r="T2" s="28" t="str">
        <x:v>Cobertura adequada</x:v>
      </x:c>
    </x:row>
    <x:row r="3">
      <x:c r="A3" s="34" t="n">
        <x:v>45292</x:v>
      </x:c>
      <x:c r="B3" s="28" t="str">
        <x:v>Grupo Industrial S.A.</x:v>
      </x:c>
      <x:c r="C3" s="28" t="str">
        <x:v>Planta São Paulo</x:v>
      </x:c>
      <x:c r="D3" s="28" t="str">
        <x:v>Resina PP H103</x:v>
      </x:c>
      <x:c r="E3" s="28" t="str">
        <x:v>Fornecedor B</x:v>
      </x:c>
      <x:c r="F3" s="28" t="str">
        <x:v>Resina</x:v>
      </x:c>
      <x:c r="G3" s="32" t="n">
        <x:v>20451.6</x:v>
      </x:c>
      <x:c r="H3" s="32" t="n">
        <x:v>21022.67</x:v>
      </x:c>
      <x:c r="I3" s="30" t="n">
        <x:v>8.75</x:v>
      </x:c>
      <x:c r="J3" s="32" t="n">
        <x:v>25769.73</x:v>
      </x:c>
      <x:c r="K3" s="32" t="n">
        <x:v>678.15</x:v>
      </x:c>
      <x:c r="L3" s="32" t="n">
        <x:v>38</x:v>
      </x:c>
      <x:c r="M3" s="32" t="n">
        <x:v>12</x:v>
      </x:c>
      <x:c r="N3" s="36" t="n">
        <x:v>0.95</x:v>
      </x:c>
      <x:c r="O3" s="28" t="str">
        <x:v>Não</x:v>
      </x:c>
      <x:c r="P3" s="28" t="str">
        <x:v>Baixo</x:v>
      </x:c>
      <x:c r="Q3" s="32" t="n">
        <x:v>0</x:v>
      </x:c>
      <x:c r="R3" s="30" t="n">
        <x:v>0</x:v>
      </x:c>
      <x:c r="S3" s="30" t="n">
        <x:v>17699.74</x:v>
      </x:c>
      <x:c r="T3" s="28" t="str">
        <x:v>Cobertura adequada</x:v>
      </x:c>
    </x:row>
    <x:row r="4">
      <x:c r="A4" s="34" t="n">
        <x:v>45292</x:v>
      </x:c>
      <x:c r="B4" s="28" t="str">
        <x:v>Grupo Industrial S.A.</x:v>
      </x:c>
      <x:c r="C4" s="28" t="str">
        <x:v>Planta São Paulo</x:v>
      </x:c>
      <x:c r="D4" s="28" t="str">
        <x:v>Tampa 28mm</x:v>
      </x:c>
      <x:c r="E4" s="28" t="str">
        <x:v>Fornecedor C</x:v>
      </x:c>
      <x:c r="F4" s="28" t="str">
        <x:v>Embalagem</x:v>
      </x:c>
      <x:c r="G4" s="32" t="n">
        <x:v>24008.4</x:v>
      </x:c>
      <x:c r="H4" s="32" t="n">
        <x:v>25021.8</x:v>
      </x:c>
      <x:c r="I4" s="30" t="n">
        <x:v>0.36</x:v>
      </x:c>
      <x:c r="J4" s="32" t="n">
        <x:v>14528.79</x:v>
      </x:c>
      <x:c r="K4" s="32" t="n">
        <x:v>807.15</x:v>
      </x:c>
      <x:c r="L4" s="32" t="n">
        <x:v>18</x:v>
      </x:c>
      <x:c r="M4" s="32" t="n">
        <x:v>12</x:v>
      </x:c>
      <x:c r="N4" s="36" t="n">
        <x:v>0.93</x:v>
      </x:c>
      <x:c r="O4" s="28" t="str">
        <x:v>Não</x:v>
      </x:c>
      <x:c r="P4" s="28" t="str">
        <x:v>Médio</x:v>
      </x:c>
      <x:c r="Q4" s="32" t="n">
        <x:v>847</x:v>
      </x:c>
      <x:c r="R4" s="30" t="n">
        <x:v>0</x:v>
      </x:c>
      <x:c r="S4" s="30" t="n">
        <x:v>0</x:v>
      </x:c>
      <x:c r="T4" s="28" t="str">
        <x:v>Cobertura abaixo do nível de atenção</x:v>
      </x:c>
    </x:row>
    <x:row r="5">
      <x:c r="A5" s="34" t="n">
        <x:v>45292</x:v>
      </x:c>
      <x:c r="B5" s="28" t="str">
        <x:v>Grupo Industrial S.A.</x:v>
      </x:c>
      <x:c r="C5" s="28" t="str">
        <x:v>Planta São Paulo</x:v>
      </x:c>
      <x:c r="D5" s="28" t="str">
        <x:v>Rótulo L-120</x:v>
      </x:c>
      <x:c r="E5" s="28" t="str">
        <x:v>Fornecedor E</x:v>
      </x:c>
      <x:c r="F5" s="28" t="str">
        <x:v>Embalagem</x:v>
      </x:c>
      <x:c r="G5" s="32" t="n">
        <x:v>27565.2</x:v>
      </x:c>
      <x:c r="H5" s="32" t="n">
        <x:v>28590.82</x:v>
      </x:c>
      <x:c r="I5" s="30" t="n">
        <x:v>0.18</x:v>
      </x:c>
      <x:c r="J5" s="32" t="n">
        <x:v>23057.11</x:v>
      </x:c>
      <x:c r="K5" s="32" t="n">
        <x:v>922.28</x:v>
      </x:c>
      <x:c r="L5" s="32" t="n">
        <x:v>25</x:v>
      </x:c>
      <x:c r="M5" s="32" t="n">
        <x:v>14</x:v>
      </x:c>
      <x:c r="N5" s="36" t="n">
        <x:v>0.93</x:v>
      </x:c>
      <x:c r="O5" s="28" t="str">
        <x:v>Não</x:v>
      </x:c>
      <x:c r="P5" s="28" t="str">
        <x:v>Baixo</x:v>
      </x:c>
      <x:c r="Q5" s="32" t="n">
        <x:v>0</x:v>
      </x:c>
      <x:c r="R5" s="30" t="n">
        <x:v>0</x:v>
      </x:c>
      <x:c r="S5" s="30" t="n">
        <x:v>0</x:v>
      </x:c>
      <x:c r="T5" s="28" t="str">
        <x:v>Cobertura adequada</x:v>
      </x:c>
    </x:row>
    <x:row r="6">
      <x:c r="A6" s="34" t="n">
        <x:v>45292</x:v>
      </x:c>
      <x:c r="B6" s="28" t="str">
        <x:v>Grupo Industrial S.A.</x:v>
      </x:c>
      <x:c r="C6" s="28" t="str">
        <x:v>Planta São Paulo</x:v>
      </x:c>
      <x:c r="D6" s="28" t="str">
        <x:v>Caixa papelão P</x:v>
      </x:c>
      <x:c r="E6" s="28" t="str">
        <x:v>Fornecedor A</x:v>
      </x:c>
      <x:c r="F6" s="28" t="str">
        <x:v>Embalagem</x:v>
      </x:c>
      <x:c r="G6" s="32" t="n">
        <x:v>31122</x:v>
      </x:c>
      <x:c r="H6" s="32" t="n">
        <x:v>32551.93</x:v>
      </x:c>
      <x:c r="I6" s="30" t="n">
        <x:v>2.87</x:v>
      </x:c>
      <x:c r="J6" s="32" t="n">
        <x:v>23101.37</x:v>
      </x:c>
      <x:c r="K6" s="32" t="n">
        <x:v>1050.06</x:v>
      </x:c>
      <x:c r="L6" s="32" t="n">
        <x:v>22</x:v>
      </x:c>
      <x:c r="M6" s="32" t="n">
        <x:v>14</x:v>
      </x:c>
      <x:c r="N6" s="36" t="n">
        <x:v>0.91</x:v>
      </x:c>
      <x:c r="O6" s="28" t="str">
        <x:v>Não</x:v>
      </x:c>
      <x:c r="P6" s="28" t="str">
        <x:v>Médio</x:v>
      </x:c>
      <x:c r="Q6" s="32" t="n">
        <x:v>472</x:v>
      </x:c>
      <x:c r="R6" s="30" t="n">
        <x:v>0</x:v>
      </x:c>
      <x:c r="S6" s="30" t="n">
        <x:v>0</x:v>
      </x:c>
      <x:c r="T6" s="28" t="str">
        <x:v>Cobertura abaixo do nível de atenção</x:v>
      </x:c>
    </x:row>
    <x:row r="7">
      <x:c r="A7" s="34" t="n">
        <x:v>45292</x:v>
      </x:c>
      <x:c r="B7" s="28" t="str">
        <x:v>Grupo Industrial S.A.</x:v>
      </x:c>
      <x:c r="C7" s="28" t="str">
        <x:v>Planta São Paulo</x:v>
      </x:c>
      <x:c r="D7" s="28" t="str">
        <x:v>Aditivo A3</x:v>
      </x:c>
      <x:c r="E7" s="28" t="str">
        <x:v>Fornecedor D</x:v>
      </x:c>
      <x:c r="F7" s="28" t="str">
        <x:v>Insumo</x:v>
      </x:c>
      <x:c r="G7" s="32" t="n">
        <x:v>34678.8</x:v>
      </x:c>
      <x:c r="H7" s="32" t="n">
        <x:v>35588.38</x:v>
      </x:c>
      <x:c r="I7" s="30" t="n">
        <x:v>16.3</x:v>
      </x:c>
      <x:c r="J7" s="32" t="n">
        <x:v>25256.27</x:v>
      </x:c>
      <x:c r="K7" s="32" t="n">
        <x:v>1148.01</x:v>
      </x:c>
      <x:c r="L7" s="32" t="n">
        <x:v>22</x:v>
      </x:c>
      <x:c r="M7" s="32" t="n">
        <x:v>12</x:v>
      </x:c>
      <x:c r="N7" s="36" t="n">
        <x:v>0.95</x:v>
      </x:c>
      <x:c r="O7" s="28" t="str">
        <x:v>Não</x:v>
      </x:c>
      <x:c r="P7" s="28" t="str">
        <x:v>Médio</x:v>
      </x:c>
      <x:c r="Q7" s="32" t="n">
        <x:v>516</x:v>
      </x:c>
      <x:c r="R7" s="30" t="n">
        <x:v>0</x:v>
      </x:c>
      <x:c r="S7" s="30" t="n">
        <x:v>0</x:v>
      </x:c>
      <x:c r="T7" s="28" t="str">
        <x:v>Cobertura abaixo do nível de atenção</x:v>
      </x:c>
    </x:row>
    <x:row r="8">
      <x:c r="A8" s="34" t="n">
        <x:v>45292</x:v>
      </x:c>
      <x:c r="B8" s="28" t="str">
        <x:v>Grupo Industrial S.A.</x:v>
      </x:c>
      <x:c r="C8" s="28" t="str">
        <x:v>Planta São Paulo</x:v>
      </x:c>
      <x:c r="D8" s="28" t="str">
        <x:v>Masterbatch AZ</x:v>
      </x:c>
      <x:c r="E8" s="28" t="str">
        <x:v>Fornecedor D</x:v>
      </x:c>
      <x:c r="F8" s="28" t="str">
        <x:v>Insumo</x:v>
      </x:c>
      <x:c r="G8" s="32" t="n">
        <x:v>38235.6</x:v>
      </x:c>
      <x:c r="H8" s="32" t="n">
        <x:v>39882.6</x:v>
      </x:c>
      <x:c r="I8" s="30" t="n">
        <x:v>22.64</x:v>
      </x:c>
      <x:c r="J8" s="32" t="n">
        <x:v>28303.78</x:v>
      </x:c>
      <x:c r="K8" s="32" t="n">
        <x:v>1286.54</x:v>
      </x:c>
      <x:c r="L8" s="32" t="n">
        <x:v>22</x:v>
      </x:c>
      <x:c r="M8" s="32" t="n">
        <x:v>8</x:v>
      </x:c>
      <x:c r="N8" s="36" t="n">
        <x:v>0.95</x:v>
      </x:c>
      <x:c r="O8" s="28" t="str">
        <x:v>Não</x:v>
      </x:c>
      <x:c r="P8" s="28" t="str">
        <x:v>Médio</x:v>
      </x:c>
      <x:c r="Q8" s="32" t="n">
        <x:v>578</x:v>
      </x:c>
      <x:c r="R8" s="30" t="n">
        <x:v>0</x:v>
      </x:c>
      <x:c r="S8" s="30" t="n">
        <x:v>0</x:v>
      </x:c>
      <x:c r="T8" s="28" t="str">
        <x:v>Cobertura abaixo do nível de atenção</x:v>
      </x:c>
    </x:row>
    <x:row r="9">
      <x:c r="A9" s="34" t="n">
        <x:v>45292</x:v>
      </x:c>
      <x:c r="B9" s="28" t="str">
        <x:v>Grupo Industrial S.A.</x:v>
      </x:c>
      <x:c r="C9" s="28" t="str">
        <x:v>Planta Campinas</x:v>
      </x:c>
      <x:c r="D9" s="28" t="str">
        <x:v>Filme PE 500mm</x:v>
      </x:c>
      <x:c r="E9" s="28" t="str">
        <x:v>Fornecedor A</x:v>
      </x:c>
      <x:c r="F9" s="28" t="str">
        <x:v>Embalagem</x:v>
      </x:c>
      <x:c r="G9" s="32" t="n">
        <x:v>12952.68</x:v>
      </x:c>
      <x:c r="H9" s="32" t="n">
        <x:v>14243.26</x:v>
      </x:c>
      <x:c r="I9" s="30" t="n">
        <x:v>12.47</x:v>
      </x:c>
      <x:c r="J9" s="32" t="n">
        <x:v>17459.48</x:v>
      </x:c>
      <x:c r="K9" s="32" t="n">
        <x:v>459.46</x:v>
      </x:c>
      <x:c r="L9" s="32" t="n">
        <x:v>38</x:v>
      </x:c>
      <x:c r="M9" s="32" t="n">
        <x:v>10</x:v>
      </x:c>
      <x:c r="N9" s="36" t="n">
        <x:v>0.97</x:v>
      </x:c>
      <x:c r="O9" s="28" t="str">
        <x:v>Não</x:v>
      </x:c>
      <x:c r="P9" s="28" t="str">
        <x:v>Baixo</x:v>
      </x:c>
      <x:c r="Q9" s="32" t="n">
        <x:v>0</x:v>
      </x:c>
      <x:c r="R9" s="30" t="n">
        <x:v>0</x:v>
      </x:c>
      <x:c r="S9" s="30" t="n">
        <x:v>17091.92</x:v>
      </x:c>
      <x:c r="T9" s="28" t="str">
        <x:v>Cobertura adequada</x:v>
      </x:c>
    </x:row>
    <x:row r="10">
      <x:c r="A10" s="34" t="n">
        <x:v>45292</x:v>
      </x:c>
      <x:c r="B10" s="28" t="str">
        <x:v>Grupo Industrial S.A.</x:v>
      </x:c>
      <x:c r="C10" s="28" t="str">
        <x:v>Planta Campinas</x:v>
      </x:c>
      <x:c r="D10" s="28" t="str">
        <x:v>Resina PP H103</x:v>
      </x:c>
      <x:c r="E10" s="28" t="str">
        <x:v>Fornecedor B</x:v>
      </x:c>
      <x:c r="F10" s="28" t="str">
        <x:v>Resina</x:v>
      </x:c>
      <x:c r="G10" s="32" t="n">
        <x:v>15679.56</x:v>
      </x:c>
      <x:c r="H10" s="32" t="n">
        <x:v>16992.42</x:v>
      </x:c>
      <x:c r="I10" s="30" t="n">
        <x:v>8.75</x:v>
      </x:c>
      <x:c r="J10" s="32" t="n">
        <x:v>5481.43</x:v>
      </x:c>
      <x:c r="K10" s="32" t="n">
        <x:v>548.14</x:v>
      </x:c>
      <x:c r="L10" s="32" t="n">
        <x:v>10</x:v>
      </x:c>
      <x:c r="M10" s="32" t="n">
        <x:v>16</x:v>
      </x:c>
      <x:c r="N10" s="36" t="n">
        <x:v>0.85</x:v>
      </x:c>
      <x:c r="O10" s="28" t="str">
        <x:v>Risco</x:v>
      </x:c>
      <x:c r="P10" s="28" t="str">
        <x:v>Alto</x:v>
      </x:c>
      <x:c r="Q10" s="32" t="n">
        <x:v>2713</x:v>
      </x:c>
      <x:c r="R10" s="30" t="n">
        <x:v>3147.43</x:v>
      </x:c>
      <x:c r="S10" s="30" t="n">
        <x:v>0</x:v>
      </x:c>
      <x:c r="T10" s="28" t="str">
        <x:v>Cobertura &lt; lead time + margem de segurança</x:v>
      </x:c>
    </x:row>
    <x:row r="11">
      <x:c r="A11" s="34" t="n">
        <x:v>45292</x:v>
      </x:c>
      <x:c r="B11" s="28" t="str">
        <x:v>Grupo Industrial S.A.</x:v>
      </x:c>
      <x:c r="C11" s="28" t="str">
        <x:v>Planta Campinas</x:v>
      </x:c>
      <x:c r="D11" s="28" t="str">
        <x:v>Tampa 28mm</x:v>
      </x:c>
      <x:c r="E11" s="28" t="str">
        <x:v>Fornecedor C</x:v>
      </x:c>
      <x:c r="F11" s="28" t="str">
        <x:v>Embalagem</x:v>
      </x:c>
      <x:c r="G11" s="32" t="n">
        <x:v>18406.44</x:v>
      </x:c>
      <x:c r="H11" s="32" t="n">
        <x:v>18934.52</x:v>
      </x:c>
      <x:c r="I11" s="30" t="n">
        <x:v>0.36</x:v>
      </x:c>
      <x:c r="J11" s="32" t="n">
        <x:v>7329.49</x:v>
      </x:c>
      <x:c r="K11" s="32" t="n">
        <x:v>610.79</x:v>
      </x:c>
      <x:c r="L11" s="32" t="n">
        <x:v>12</x:v>
      </x:c>
      <x:c r="M11" s="32" t="n">
        <x:v>14</x:v>
      </x:c>
      <x:c r="N11" s="36" t="n">
        <x:v>0.88</x:v>
      </x:c>
      <x:c r="O11" s="28" t="str">
        <x:v>Risco</x:v>
      </x:c>
      <x:c r="P11" s="28" t="str">
        <x:v>Alto</x:v>
      </x:c>
      <x:c r="Q11" s="32" t="n">
        <x:v>1679</x:v>
      </x:c>
      <x:c r="R11" s="30" t="n">
        <x:v>92.35</x:v>
      </x:c>
      <x:c r="S11" s="30" t="n">
        <x:v>0</x:v>
      </x:c>
      <x:c r="T11" s="28" t="str">
        <x:v>Cobertura &lt; lead time + margem de segurança</x:v>
      </x:c>
    </x:row>
    <x:row r="12">
      <x:c r="A12" s="34" t="n">
        <x:v>45292</x:v>
      </x:c>
      <x:c r="B12" s="28" t="str">
        <x:v>Grupo Industrial S.A.</x:v>
      </x:c>
      <x:c r="C12" s="28" t="str">
        <x:v>Planta Campinas</x:v>
      </x:c>
      <x:c r="D12" s="28" t="str">
        <x:v>Rótulo L-120</x:v>
      </x:c>
      <x:c r="E12" s="28" t="str">
        <x:v>Fornecedor E</x:v>
      </x:c>
      <x:c r="F12" s="28" t="str">
        <x:v>Embalagem</x:v>
      </x:c>
      <x:c r="G12" s="32" t="n">
        <x:v>21133.32</x:v>
      </x:c>
      <x:c r="H12" s="32" t="n">
        <x:v>21520.17</x:v>
      </x:c>
      <x:c r="I12" s="30" t="n">
        <x:v>0.18</x:v>
      </x:c>
      <x:c r="J12" s="32" t="n">
        <x:v>17354.97</x:v>
      </x:c>
      <x:c r="K12" s="32" t="n">
        <x:v>694.2</x:v>
      </x:c>
      <x:c r="L12" s="32" t="n">
        <x:v>25</x:v>
      </x:c>
      <x:c r="M12" s="32" t="n">
        <x:v>12</x:v>
      </x:c>
      <x:c r="N12" s="36" t="n">
        <x:v>0.91</x:v>
      </x:c>
      <x:c r="O12" s="28" t="str">
        <x:v>Não</x:v>
      </x:c>
      <x:c r="P12" s="28" t="str">
        <x:v>Baixo</x:v>
      </x:c>
      <x:c r="Q12" s="32" t="n">
        <x:v>0</x:v>
      </x:c>
      <x:c r="R12" s="30" t="n">
        <x:v>0</x:v>
      </x:c>
      <x:c r="S12" s="30" t="n">
        <x:v>0</x:v>
      </x:c>
      <x:c r="T12" s="28" t="str">
        <x:v>Cobertura adequada</x:v>
      </x:c>
    </x:row>
    <x:row r="13">
      <x:c r="A13" s="34" t="n">
        <x:v>45292</x:v>
      </x:c>
      <x:c r="B13" s="28" t="str">
        <x:v>Grupo Industrial S.A.</x:v>
      </x:c>
      <x:c r="C13" s="28" t="str">
        <x:v>Planta Campinas</x:v>
      </x:c>
      <x:c r="D13" s="28" t="str">
        <x:v>Caixa papelão P</x:v>
      </x:c>
      <x:c r="E13" s="28" t="str">
        <x:v>Fornecedor A</x:v>
      </x:c>
      <x:c r="F13" s="28" t="str">
        <x:v>Embalagem</x:v>
      </x:c>
      <x:c r="G13" s="32" t="n">
        <x:v>23860.2</x:v>
      </x:c>
      <x:c r="H13" s="32" t="n">
        <x:v>24868.84</x:v>
      </x:c>
      <x:c r="I13" s="30" t="n">
        <x:v>2.87</x:v>
      </x:c>
      <x:c r="J13" s="32" t="n">
        <x:v>14439.97</x:v>
      </x:c>
      <x:c r="K13" s="32" t="n">
        <x:v>802.22</x:v>
      </x:c>
      <x:c r="L13" s="32" t="n">
        <x:v>18</x:v>
      </x:c>
      <x:c r="M13" s="32" t="n">
        <x:v>8</x:v>
      </x:c>
      <x:c r="N13" s="36" t="n">
        <x:v>0.93</x:v>
      </x:c>
      <x:c r="O13" s="28" t="str">
        <x:v>Não</x:v>
      </x:c>
      <x:c r="P13" s="28" t="str">
        <x:v>Médio</x:v>
      </x:c>
      <x:c r="Q13" s="32" t="n">
        <x:v>842</x:v>
      </x:c>
      <x:c r="R13" s="30" t="n">
        <x:v>0</x:v>
      </x:c>
      <x:c r="S13" s="30" t="n">
        <x:v>0</x:v>
      </x:c>
      <x:c r="T13" s="28" t="str">
        <x:v>Cobertura abaixo do nível de atenção</x:v>
      </x:c>
    </x:row>
    <x:row r="14">
      <x:c r="A14" s="34" t="n">
        <x:v>45292</x:v>
      </x:c>
      <x:c r="B14" s="28" t="str">
        <x:v>Grupo Industrial S.A.</x:v>
      </x:c>
      <x:c r="C14" s="28" t="str">
        <x:v>Planta Campinas</x:v>
      </x:c>
      <x:c r="D14" s="28" t="str">
        <x:v>Aditivo A3</x:v>
      </x:c>
      <x:c r="E14" s="28" t="str">
        <x:v>Fornecedor D</x:v>
      </x:c>
      <x:c r="F14" s="28" t="str">
        <x:v>Insumo</x:v>
      </x:c>
      <x:c r="G14" s="32" t="n">
        <x:v>26587.08</x:v>
      </x:c>
      <x:c r="H14" s="32" t="n">
        <x:v>27549.71</x:v>
      </x:c>
      <x:c r="I14" s="30" t="n">
        <x:v>16.3</x:v>
      </x:c>
      <x:c r="J14" s="32" t="n">
        <x:v>39991.51</x:v>
      </x:c>
      <x:c r="K14" s="32" t="n">
        <x:v>888.7</x:v>
      </x:c>
      <x:c r="L14" s="32" t="n">
        <x:v>45</x:v>
      </x:c>
      <x:c r="M14" s="32" t="n">
        <x:v>10</x:v>
      </x:c>
      <x:c r="N14" s="36" t="n">
        <x:v>0.95</x:v>
      </x:c>
      <x:c r="O14" s="28" t="str">
        <x:v>Não</x:v>
      </x:c>
      <x:c r="P14" s="28" t="str">
        <x:v>Baixo</x:v>
      </x:c>
      <x:c r="Q14" s="32" t="n">
        <x:v>0</x:v>
      </x:c>
      <x:c r="R14" s="30" t="n">
        <x:v>0</x:v>
      </x:c>
      <x:c r="S14" s="30" t="n">
        <x:v>143969.45</x:v>
      </x:c>
      <x:c r="T14" s="28" t="str">
        <x:v>Cobertura adequada</x:v>
      </x:c>
    </x:row>
    <x:row r="15">
      <x:c r="A15" s="34" t="n">
        <x:v>45292</x:v>
      </x:c>
      <x:c r="B15" s="28" t="str">
        <x:v>Grupo Industrial S.A.</x:v>
      </x:c>
      <x:c r="C15" s="28" t="str">
        <x:v>Planta Campinas</x:v>
      </x:c>
      <x:c r="D15" s="28" t="str">
        <x:v>Masterbatch AZ</x:v>
      </x:c>
      <x:c r="E15" s="28" t="str">
        <x:v>Fornecedor D</x:v>
      </x:c>
      <x:c r="F15" s="28" t="str">
        <x:v>Insumo</x:v>
      </x:c>
      <x:c r="G15" s="32" t="n">
        <x:v>29313.96</x:v>
      </x:c>
      <x:c r="H15" s="32" t="n">
        <x:v>30643.05</x:v>
      </x:c>
      <x:c r="I15" s="30" t="n">
        <x:v>22.64</x:v>
      </x:c>
      <x:c r="J15" s="32" t="n">
        <x:v>21746.68</x:v>
      </x:c>
      <x:c r="K15" s="32" t="n">
        <x:v>988.49</x:v>
      </x:c>
      <x:c r="L15" s="32" t="n">
        <x:v>22</x:v>
      </x:c>
      <x:c r="M15" s="32" t="n">
        <x:v>12</x:v>
      </x:c>
      <x:c r="N15" s="36" t="n">
        <x:v>0.97</x:v>
      </x:c>
      <x:c r="O15" s="28" t="str">
        <x:v>Não</x:v>
      </x:c>
      <x:c r="P15" s="28" t="str">
        <x:v>Médio</x:v>
      </x:c>
      <x:c r="Q15" s="32" t="n">
        <x:v>444</x:v>
      </x:c>
      <x:c r="R15" s="30" t="n">
        <x:v>0</x:v>
      </x:c>
      <x:c r="S15" s="30" t="n">
        <x:v>0</x:v>
      </x:c>
      <x:c r="T15" s="28" t="str">
        <x:v>Cobertura abaixo do nível de atenção</x:v>
      </x:c>
    </x:row>
    <x:row r="16">
      <x:c r="A16" s="34" t="n">
        <x:v>45292</x:v>
      </x:c>
      <x:c r="B16" s="28" t="str">
        <x:v>Grupo Industrial S.A.</x:v>
      </x:c>
      <x:c r="C16" s="28" t="str">
        <x:v>Planta Curitiba</x:v>
      </x:c>
      <x:c r="D16" s="28" t="str">
        <x:v>Filme PE 500mm</x:v>
      </x:c>
      <x:c r="E16" s="28" t="str">
        <x:v>Fornecedor A</x:v>
      </x:c>
      <x:c r="F16" s="28" t="str">
        <x:v>Embalagem</x:v>
      </x:c>
      <x:c r="G16" s="32" t="n">
        <x:v>12107.94</x:v>
      </x:c>
      <x:c r="H16" s="32" t="n">
        <x:v>12381.22</x:v>
      </x:c>
      <x:c r="I16" s="30" t="n">
        <x:v>12.47</x:v>
      </x:c>
      <x:c r="J16" s="32" t="n">
        <x:v>17972.74</x:v>
      </x:c>
      <x:c r="K16" s="32" t="n">
        <x:v>399.39</x:v>
      </x:c>
      <x:c r="L16" s="32" t="n">
        <x:v>45</x:v>
      </x:c>
      <x:c r="M16" s="32" t="n">
        <x:v>8</x:v>
      </x:c>
      <x:c r="N16" s="36" t="n">
        <x:v>0.97</x:v>
      </x:c>
      <x:c r="O16" s="28" t="str">
        <x:v>Não</x:v>
      </x:c>
      <x:c r="P16" s="28" t="str">
        <x:v>Baixo</x:v>
      </x:c>
      <x:c r="Q16" s="32" t="n">
        <x:v>0</x:v>
      </x:c>
      <x:c r="R16" s="30" t="n">
        <x:v>0</x:v>
      </x:c>
      <x:c r="S16" s="30" t="n">
        <x:v>49524.87</x:v>
      </x:c>
      <x:c r="T16" s="28" t="str">
        <x:v>Cobertura adequada</x:v>
      </x:c>
    </x:row>
    <x:row r="17">
      <x:c r="A17" s="34" t="n">
        <x:v>45292</x:v>
      </x:c>
      <x:c r="B17" s="28" t="str">
        <x:v>Grupo Industrial S.A.</x:v>
      </x:c>
      <x:c r="C17" s="28" t="str">
        <x:v>Planta Curitiba</x:v>
      </x:c>
      <x:c r="D17" s="28" t="str">
        <x:v>Resina PP H103</x:v>
      </x:c>
      <x:c r="E17" s="28" t="str">
        <x:v>Fornecedor B</x:v>
      </x:c>
      <x:c r="F17" s="28" t="str">
        <x:v>Resina</x:v>
      </x:c>
      <x:c r="G17" s="32" t="n">
        <x:v>14656.98</x:v>
      </x:c>
      <x:c r="H17" s="32" t="n">
        <x:v>15122.96</x:v>
      </x:c>
      <x:c r="I17" s="30" t="n">
        <x:v>8.75</x:v>
      </x:c>
      <x:c r="J17" s="32" t="n">
        <x:v>15610.8</x:v>
      </x:c>
      <x:c r="K17" s="32" t="n">
        <x:v>487.84</x:v>
      </x:c>
      <x:c r="L17" s="32" t="n">
        <x:v>32</x:v>
      </x:c>
      <x:c r="M17" s="32" t="n">
        <x:v>14</x:v>
      </x:c>
      <x:c r="N17" s="36" t="n">
        <x:v>0.95</x:v>
      </x:c>
      <x:c r="O17" s="28" t="str">
        <x:v>Não</x:v>
      </x:c>
      <x:c r="P17" s="28" t="str">
        <x:v>Baixo</x:v>
      </x:c>
      <x:c r="Q17" s="32" t="n">
        <x:v>0</x:v>
      </x:c>
      <x:c r="R17" s="30" t="n">
        <x:v>0</x:v>
      </x:c>
      <x:c r="S17" s="30" t="n">
        <x:v>0</x:v>
      </x:c>
      <x:c r="T17" s="28" t="str">
        <x:v>Cobertura adequada</x:v>
      </x:c>
    </x:row>
    <x:row r="18">
      <x:c r="A18" s="34" t="n">
        <x:v>45292</x:v>
      </x:c>
      <x:c r="B18" s="28" t="str">
        <x:v>Grupo Industrial S.A.</x:v>
      </x:c>
      <x:c r="C18" s="28" t="str">
        <x:v>Planta Curitiba</x:v>
      </x:c>
      <x:c r="D18" s="28" t="str">
        <x:v>Tampa 28mm</x:v>
      </x:c>
      <x:c r="E18" s="28" t="str">
        <x:v>Fornecedor C</x:v>
      </x:c>
      <x:c r="F18" s="28" t="str">
        <x:v>Embalagem</x:v>
      </x:c>
      <x:c r="G18" s="32" t="n">
        <x:v>17206.02</x:v>
      </x:c>
      <x:c r="H18" s="32" t="n">
        <x:v>17969.02</x:v>
      </x:c>
      <x:c r="I18" s="30" t="n">
        <x:v>0.36</x:v>
      </x:c>
      <x:c r="J18" s="32" t="n">
        <x:v>26084.07</x:v>
      </x:c>
      <x:c r="K18" s="32" t="n">
        <x:v>579.65</x:v>
      </x:c>
      <x:c r="L18" s="32" t="n">
        <x:v>45</x:v>
      </x:c>
      <x:c r="M18" s="32" t="n">
        <x:v>10</x:v>
      </x:c>
      <x:c r="N18" s="36" t="n">
        <x:v>0.95</x:v>
      </x:c>
      <x:c r="O18" s="28" t="str">
        <x:v>Não</x:v>
      </x:c>
      <x:c r="P18" s="28" t="str">
        <x:v>Baixo</x:v>
      </x:c>
      <x:c r="Q18" s="32" t="n">
        <x:v>0</x:v>
      </x:c>
      <x:c r="R18" s="30" t="n">
        <x:v>0</x:v>
      </x:c>
      <x:c r="S18" s="30" t="n">
        <x:v>2086.73</x:v>
      </x:c>
      <x:c r="T18" s="28" t="str">
        <x:v>Cobertura adequada</x:v>
      </x:c>
    </x:row>
    <x:row r="19">
      <x:c r="A19" s="34" t="n">
        <x:v>45292</x:v>
      </x:c>
      <x:c r="B19" s="28" t="str">
        <x:v>Grupo Industrial S.A.</x:v>
      </x:c>
      <x:c r="C19" s="28" t="str">
        <x:v>Planta Curitiba</x:v>
      </x:c>
      <x:c r="D19" s="28" t="str">
        <x:v>Rótulo L-120</x:v>
      </x:c>
      <x:c r="E19" s="28" t="str">
        <x:v>Fornecedor E</x:v>
      </x:c>
      <x:c r="F19" s="28" t="str">
        <x:v>Embalagem</x:v>
      </x:c>
      <x:c r="G19" s="32" t="n">
        <x:v>19755.06</x:v>
      </x:c>
      <x:c r="H19" s="32" t="n">
        <x:v>20312.34</x:v>
      </x:c>
      <x:c r="I19" s="30" t="n">
        <x:v>0.18</x:v>
      </x:c>
      <x:c r="J19" s="32" t="n">
        <x:v>16380.92</x:v>
      </x:c>
      <x:c r="K19" s="32" t="n">
        <x:v>655.24</x:v>
      </x:c>
      <x:c r="L19" s="32" t="n">
        <x:v>25</x:v>
      </x:c>
      <x:c r="M19" s="32" t="n">
        <x:v>8</x:v>
      </x:c>
      <x:c r="N19" s="36" t="n">
        <x:v>0.93</x:v>
      </x:c>
      <x:c r="O19" s="28" t="str">
        <x:v>Não</x:v>
      </x:c>
      <x:c r="P19" s="28" t="str">
        <x:v>Baixo</x:v>
      </x:c>
      <x:c r="Q19" s="32" t="n">
        <x:v>0</x:v>
      </x:c>
      <x:c r="R19" s="30" t="n">
        <x:v>0</x:v>
      </x:c>
      <x:c r="S19" s="30" t="n">
        <x:v>0</x:v>
      </x:c>
      <x:c r="T19" s="28" t="str">
        <x:v>Cobertura adequada</x:v>
      </x:c>
    </x:row>
    <x:row r="20">
      <x:c r="A20" s="34" t="n">
        <x:v>45292</x:v>
      </x:c>
      <x:c r="B20" s="28" t="str">
        <x:v>Grupo Industrial S.A.</x:v>
      </x:c>
      <x:c r="C20" s="28" t="str">
        <x:v>Planta Curitiba</x:v>
      </x:c>
      <x:c r="D20" s="28" t="str">
        <x:v>Caixa papelão P</x:v>
      </x:c>
      <x:c r="E20" s="28" t="str">
        <x:v>Fornecedor A</x:v>
      </x:c>
      <x:c r="F20" s="28" t="str">
        <x:v>Embalagem</x:v>
      </x:c>
      <x:c r="G20" s="32" t="n">
        <x:v>22304.1</x:v>
      </x:c>
      <x:c r="H20" s="32" t="n">
        <x:v>22962.1</x:v>
      </x:c>
      <x:c r="I20" s="30" t="n">
        <x:v>2.87</x:v>
      </x:c>
      <x:c r="J20" s="32" t="n">
        <x:v>28147.1</x:v>
      </x:c>
      <x:c r="K20" s="32" t="n">
        <x:v>740.71</x:v>
      </x:c>
      <x:c r="L20" s="32" t="n">
        <x:v>38</x:v>
      </x:c>
      <x:c r="M20" s="32" t="n">
        <x:v>8</x:v>
      </x:c>
      <x:c r="N20" s="36" t="n">
        <x:v>0.97</x:v>
      </x:c>
      <x:c r="O20" s="28" t="str">
        <x:v>Não</x:v>
      </x:c>
      <x:c r="P20" s="28" t="str">
        <x:v>Baixo</x:v>
      </x:c>
      <x:c r="Q20" s="32" t="n">
        <x:v>0</x:v>
      </x:c>
      <x:c r="R20" s="30" t="n">
        <x:v>0</x:v>
      </x:c>
      <x:c r="S20" s="30" t="n">
        <x:v>6333.1</x:v>
      </x:c>
      <x:c r="T20" s="28" t="str">
        <x:v>Cobertura adequada</x:v>
      </x:c>
    </x:row>
    <x:row r="21">
      <x:c r="A21" s="34" t="n">
        <x:v>45292</x:v>
      </x:c>
      <x:c r="B21" s="28" t="str">
        <x:v>Grupo Industrial S.A.</x:v>
      </x:c>
      <x:c r="C21" s="28" t="str">
        <x:v>Planta Curitiba</x:v>
      </x:c>
      <x:c r="D21" s="28" t="str">
        <x:v>Aditivo A3</x:v>
      </x:c>
      <x:c r="E21" s="28" t="str">
        <x:v>Fornecedor D</x:v>
      </x:c>
      <x:c r="F21" s="28" t="str">
        <x:v>Insumo</x:v>
      </x:c>
      <x:c r="G21" s="32" t="n">
        <x:v>24853.14</x:v>
      </x:c>
      <x:c r="H21" s="32" t="n">
        <x:v>25206.73</x:v>
      </x:c>
      <x:c r="I21" s="30" t="n">
        <x:v>16.3</x:v>
      </x:c>
      <x:c r="J21" s="32" t="n">
        <x:v>36590.42</x:v>
      </x:c>
      <x:c r="K21" s="32" t="n">
        <x:v>813.12</x:v>
      </x:c>
      <x:c r="L21" s="32" t="n">
        <x:v>45</x:v>
      </x:c>
      <x:c r="M21" s="32" t="n">
        <x:v>14</x:v>
      </x:c>
      <x:c r="N21" s="36" t="n">
        <x:v>0.93</x:v>
      </x:c>
      <x:c r="O21" s="28" t="str">
        <x:v>Não</x:v>
      </x:c>
      <x:c r="P21" s="28" t="str">
        <x:v>Baixo</x:v>
      </x:c>
      <x:c r="Q21" s="32" t="n">
        <x:v>0</x:v>
      </x:c>
      <x:c r="R21" s="30" t="n">
        <x:v>0</x:v>
      </x:c>
      <x:c r="S21" s="30" t="n">
        <x:v>131725.51</x:v>
      </x:c>
      <x:c r="T21" s="28" t="str">
        <x:v>Cobertura adequada</x:v>
      </x:c>
    </x:row>
    <x:row r="22">
      <x:c r="A22" s="34" t="n">
        <x:v>45292</x:v>
      </x:c>
      <x:c r="B22" s="28" t="str">
        <x:v>Grupo Industrial S.A.</x:v>
      </x:c>
      <x:c r="C22" s="28" t="str">
        <x:v>Planta Curitiba</x:v>
      </x:c>
      <x:c r="D22" s="28" t="str">
        <x:v>Masterbatch AZ</x:v>
      </x:c>
      <x:c r="E22" s="28" t="str">
        <x:v>Fornecedor D</x:v>
      </x:c>
      <x:c r="F22" s="28" t="str">
        <x:v>Insumo</x:v>
      </x:c>
      <x:c r="G22" s="32" t="n">
        <x:v>27402.18</x:v>
      </x:c>
      <x:c r="H22" s="32" t="n">
        <x:v>28747.82</x:v>
      </x:c>
      <x:c r="I22" s="30" t="n">
        <x:v>22.64</x:v>
      </x:c>
      <x:c r="J22" s="32" t="n">
        <x:v>23183.73</x:v>
      </x:c>
      <x:c r="K22" s="32" t="n">
        <x:v>927.35</x:v>
      </x:c>
      <x:c r="L22" s="32" t="n">
        <x:v>25</x:v>
      </x:c>
      <x:c r="M22" s="32" t="n">
        <x:v>8</x:v>
      </x:c>
      <x:c r="N22" s="36" t="n">
        <x:v>0.91</x:v>
      </x:c>
      <x:c r="O22" s="28" t="str">
        <x:v>Não</x:v>
      </x:c>
      <x:c r="P22" s="28" t="str">
        <x:v>Baixo</x:v>
      </x:c>
      <x:c r="Q22" s="32" t="n">
        <x:v>0</x:v>
      </x:c>
      <x:c r="R22" s="30" t="n">
        <x:v>0</x:v>
      </x:c>
      <x:c r="S22" s="30" t="n">
        <x:v>0</x:v>
      </x:c>
      <x:c r="T22" s="28" t="str">
        <x:v>Cobertura adequada</x:v>
      </x:c>
    </x:row>
    <x:row r="23">
      <x:c r="A23" s="34" t="n">
        <x:v>45323</x:v>
      </x:c>
      <x:c r="B23" s="28" t="str">
        <x:v>Grupo Industrial S.A.</x:v>
      </x:c>
      <x:c r="C23" s="28" t="str">
        <x:v>Planta São Paulo</x:v>
      </x:c>
      <x:c r="D23" s="28" t="str">
        <x:v>Filme PE 500mm</x:v>
      </x:c>
      <x:c r="E23" s="28" t="str">
        <x:v>Fornecedor A</x:v>
      </x:c>
      <x:c r="F23" s="28" t="str">
        <x:v>Embalagem</x:v>
      </x:c>
      <x:c r="G23" s="32" t="n">
        <x:v>17428.32</x:v>
      </x:c>
      <x:c r="H23" s="32" t="n">
        <x:v>17874.59</x:v>
      </x:c>
      <x:c r="I23" s="30" t="n">
        <x:v>12.55</x:v>
      </x:c>
      <x:c r="J23" s="32" t="n">
        <x:v>11094.58</x:v>
      </x:c>
      <x:c r="K23" s="32" t="n">
        <x:v>616.37</x:v>
      </x:c>
      <x:c r="L23" s="32" t="n">
        <x:v>18</x:v>
      </x:c>
      <x:c r="M23" s="32" t="n">
        <x:v>12</x:v>
      </x:c>
      <x:c r="N23" s="36" t="n">
        <x:v>0.97</x:v>
      </x:c>
      <x:c r="O23" s="28" t="str">
        <x:v>Não</x:v>
      </x:c>
      <x:c r="P23" s="28" t="str">
        <x:v>Médio</x:v>
      </x:c>
      <x:c r="Q23" s="32" t="n">
        <x:v>647</x:v>
      </x:c>
      <x:c r="R23" s="30" t="n">
        <x:v>0</x:v>
      </x:c>
      <x:c r="S23" s="30" t="n">
        <x:v>0</x:v>
      </x:c>
      <x:c r="T23" s="28" t="str">
        <x:v>Cobertura abaixo do nível de atenção</x:v>
      </x:c>
    </x:row>
    <x:row r="24">
      <x:c r="A24" s="34" t="n">
        <x:v>45323</x:v>
      </x:c>
      <x:c r="B24" s="28" t="str">
        <x:v>Grupo Industrial S.A.</x:v>
      </x:c>
      <x:c r="C24" s="28" t="str">
        <x:v>Planta São Paulo</x:v>
      </x:c>
      <x:c r="D24" s="28" t="str">
        <x:v>Resina PP H103</x:v>
      </x:c>
      <x:c r="E24" s="28" t="str">
        <x:v>Fornecedor B</x:v>
      </x:c>
      <x:c r="F24" s="28" t="str">
        <x:v>Resina</x:v>
      </x:c>
      <x:c r="G24" s="32" t="n">
        <x:v>21097.44</x:v>
      </x:c>
      <x:c r="H24" s="32" t="n">
        <x:v>21450.87</x:v>
      </x:c>
      <x:c r="I24" s="30" t="n">
        <x:v>8.8</x:v>
      </x:c>
      <x:c r="J24" s="32" t="n">
        <x:v>28108.03</x:v>
      </x:c>
      <x:c r="K24" s="32" t="n">
        <x:v>739.69</x:v>
      </x:c>
      <x:c r="L24" s="32" t="n">
        <x:v>38</x:v>
      </x:c>
      <x:c r="M24" s="32" t="n">
        <x:v>14</x:v>
      </x:c>
      <x:c r="N24" s="36" t="n">
        <x:v>0.97</x:v>
      </x:c>
      <x:c r="O24" s="28" t="str">
        <x:v>Não</x:v>
      </x:c>
      <x:c r="P24" s="28" t="str">
        <x:v>Baixo</x:v>
      </x:c>
      <x:c r="Q24" s="32" t="n">
        <x:v>0</x:v>
      </x:c>
      <x:c r="R24" s="30" t="n">
        <x:v>0</x:v>
      </x:c>
      <x:c r="S24" s="30" t="n">
        <x:v>19305.78</x:v>
      </x:c>
      <x:c r="T24" s="28" t="str">
        <x:v>Cobertura adequada</x:v>
      </x:c>
    </x:row>
    <x:row r="25">
      <x:c r="A25" s="34" t="n">
        <x:v>45323</x:v>
      </x:c>
      <x:c r="B25" s="28" t="str">
        <x:v>Grupo Industrial S.A.</x:v>
      </x:c>
      <x:c r="C25" s="28" t="str">
        <x:v>Planta São Paulo</x:v>
      </x:c>
      <x:c r="D25" s="28" t="str">
        <x:v>Tampa 28mm</x:v>
      </x:c>
      <x:c r="E25" s="28" t="str">
        <x:v>Fornecedor C</x:v>
      </x:c>
      <x:c r="F25" s="28" t="str">
        <x:v>Embalagem</x:v>
      </x:c>
      <x:c r="G25" s="32" t="n">
        <x:v>24766.56</x:v>
      </x:c>
      <x:c r="H25" s="32" t="n">
        <x:v>25981.75</x:v>
      </x:c>
      <x:c r="I25" s="30" t="n">
        <x:v>0.36</x:v>
      </x:c>
      <x:c r="J25" s="32" t="n">
        <x:v>28669.52</x:v>
      </x:c>
      <x:c r="K25" s="32" t="n">
        <x:v>895.92</x:v>
      </x:c>
      <x:c r="L25" s="32" t="n">
        <x:v>32</x:v>
      </x:c>
      <x:c r="M25" s="32" t="n">
        <x:v>14</x:v>
      </x:c>
      <x:c r="N25" s="36" t="n">
        <x:v>0.95</x:v>
      </x:c>
      <x:c r="O25" s="28" t="str">
        <x:v>Não</x:v>
      </x:c>
      <x:c r="P25" s="28" t="str">
        <x:v>Baixo</x:v>
      </x:c>
      <x:c r="Q25" s="32" t="n">
        <x:v>0</x:v>
      </x:c>
      <x:c r="R25" s="30" t="n">
        <x:v>0</x:v>
      </x:c>
      <x:c r="S25" s="30" t="n">
        <x:v>0</x:v>
      </x:c>
      <x:c r="T25" s="28" t="str">
        <x:v>Cobertura adequada</x:v>
      </x:c>
    </x:row>
    <x:row r="26">
      <x:c r="A26" s="34" t="n">
        <x:v>45323</x:v>
      </x:c>
      <x:c r="B26" s="28" t="str">
        <x:v>Grupo Industrial S.A.</x:v>
      </x:c>
      <x:c r="C26" s="28" t="str">
        <x:v>Planta São Paulo</x:v>
      </x:c>
      <x:c r="D26" s="28" t="str">
        <x:v>Rótulo L-120</x:v>
      </x:c>
      <x:c r="E26" s="28" t="str">
        <x:v>Fornecedor E</x:v>
      </x:c>
      <x:c r="F26" s="28" t="str">
        <x:v>Embalagem</x:v>
      </x:c>
      <x:c r="G26" s="32" t="n">
        <x:v>28435.68</x:v>
      </x:c>
      <x:c r="H26" s="32" t="n">
        <x:v>29501.27</x:v>
      </x:c>
      <x:c r="I26" s="30" t="n">
        <x:v>0.18</x:v>
      </x:c>
      <x:c r="J26" s="32" t="n">
        <x:v>45777.83</x:v>
      </x:c>
      <x:c r="K26" s="32" t="n">
        <x:v>1017.29</x:v>
      </x:c>
      <x:c r="L26" s="32" t="n">
        <x:v>45</x:v>
      </x:c>
      <x:c r="M26" s="32" t="n">
        <x:v>14</x:v>
      </x:c>
      <x:c r="N26" s="36" t="n">
        <x:v>0.91</x:v>
      </x:c>
      <x:c r="O26" s="28" t="str">
        <x:v>Não</x:v>
      </x:c>
      <x:c r="P26" s="28" t="str">
        <x:v>Baixo</x:v>
      </x:c>
      <x:c r="Q26" s="32" t="n">
        <x:v>0</x:v>
      </x:c>
      <x:c r="R26" s="30" t="n">
        <x:v>0</x:v>
      </x:c>
      <x:c r="S26" s="30" t="n">
        <x:v>1831.11</x:v>
      </x:c>
      <x:c r="T26" s="28" t="str">
        <x:v>Cobertura adequada</x:v>
      </x:c>
    </x:row>
    <x:row r="27">
      <x:c r="A27" s="34" t="n">
        <x:v>45323</x:v>
      </x:c>
      <x:c r="B27" s="28" t="str">
        <x:v>Grupo Industrial S.A.</x:v>
      </x:c>
      <x:c r="C27" s="28" t="str">
        <x:v>Planta São Paulo</x:v>
      </x:c>
      <x:c r="D27" s="28" t="str">
        <x:v>Caixa papelão P</x:v>
      </x:c>
      <x:c r="E27" s="28" t="str">
        <x:v>Fornecedor A</x:v>
      </x:c>
      <x:c r="F27" s="28" t="str">
        <x:v>Embalagem</x:v>
      </x:c>
      <x:c r="G27" s="32" t="n">
        <x:v>32104.8</x:v>
      </x:c>
      <x:c r="H27" s="32" t="n">
        <x:v>32664.13</x:v>
      </x:c>
      <x:c r="I27" s="30" t="n">
        <x:v>2.88</x:v>
      </x:c>
      <x:c r="J27" s="32" t="n">
        <x:v>50685.73</x:v>
      </x:c>
      <x:c r="K27" s="32" t="n">
        <x:v>1126.35</x:v>
      </x:c>
      <x:c r="L27" s="32" t="n">
        <x:v>45</x:v>
      </x:c>
      <x:c r="M27" s="32" t="n">
        <x:v>8</x:v>
      </x:c>
      <x:c r="N27" s="36" t="n">
        <x:v>0.95</x:v>
      </x:c>
      <x:c r="O27" s="28" t="str">
        <x:v>Não</x:v>
      </x:c>
      <x:c r="P27" s="28" t="str">
        <x:v>Baixo</x:v>
      </x:c>
      <x:c r="Q27" s="32" t="n">
        <x:v>0</x:v>
      </x:c>
      <x:c r="R27" s="30" t="n">
        <x:v>0</x:v>
      </x:c>
      <x:c r="S27" s="30" t="n">
        <x:v>32100.96</x:v>
      </x:c>
      <x:c r="T27" s="28" t="str">
        <x:v>Cobertura adequada</x:v>
      </x:c>
    </x:row>
    <x:row r="28">
      <x:c r="A28" s="34" t="n">
        <x:v>45323</x:v>
      </x:c>
      <x:c r="B28" s="28" t="str">
        <x:v>Grupo Industrial S.A.</x:v>
      </x:c>
      <x:c r="C28" s="28" t="str">
        <x:v>Planta São Paulo</x:v>
      </x:c>
      <x:c r="D28" s="28" t="str">
        <x:v>Aditivo A3</x:v>
      </x:c>
      <x:c r="E28" s="28" t="str">
        <x:v>Fornecedor D</x:v>
      </x:c>
      <x:c r="F28" s="28" t="str">
        <x:v>Insumo</x:v>
      </x:c>
      <x:c r="G28" s="32" t="n">
        <x:v>35773.92</x:v>
      </x:c>
      <x:c r="H28" s="32" t="n">
        <x:v>37292.93</x:v>
      </x:c>
      <x:c r="I28" s="30" t="n">
        <x:v>16.39</x:v>
      </x:c>
      <x:c r="J28" s="32" t="n">
        <x:v>41150.82</x:v>
      </x:c>
      <x:c r="K28" s="32" t="n">
        <x:v>1285.96</x:v>
      </x:c>
      <x:c r="L28" s="32" t="n">
        <x:v>32</x:v>
      </x:c>
      <x:c r="M28" s="32" t="n">
        <x:v>12</x:v>
      </x:c>
      <x:c r="N28" s="36" t="n">
        <x:v>0.97</x:v>
      </x:c>
      <x:c r="O28" s="28" t="str">
        <x:v>Não</x:v>
      </x:c>
      <x:c r="P28" s="28" t="str">
        <x:v>Baixo</x:v>
      </x:c>
      <x:c r="Q28" s="32" t="n">
        <x:v>0</x:v>
      </x:c>
      <x:c r="R28" s="30" t="n">
        <x:v>0</x:v>
      </x:c>
      <x:c r="S28" s="30" t="n">
        <x:v>0</x:v>
      </x:c>
      <x:c r="T28" s="28" t="str">
        <x:v>Cobertura adequada</x:v>
      </x:c>
    </x:row>
    <x:row r="29">
      <x:c r="A29" s="34" t="n">
        <x:v>45323</x:v>
      </x:c>
      <x:c r="B29" s="28" t="str">
        <x:v>Grupo Industrial S.A.</x:v>
      </x:c>
      <x:c r="C29" s="28" t="str">
        <x:v>Planta São Paulo</x:v>
      </x:c>
      <x:c r="D29" s="28" t="str">
        <x:v>Masterbatch AZ</x:v>
      </x:c>
      <x:c r="E29" s="28" t="str">
        <x:v>Fornecedor D</x:v>
      </x:c>
      <x:c r="F29" s="28" t="str">
        <x:v>Insumo</x:v>
      </x:c>
      <x:c r="G29" s="32" t="n">
        <x:v>39443.04</x:v>
      </x:c>
      <x:c r="H29" s="32" t="n">
        <x:v>40705.2</x:v>
      </x:c>
      <x:c r="I29" s="30" t="n">
        <x:v>22.77</x:v>
      </x:c>
      <x:c r="J29" s="32" t="n">
        <x:v>63163.24</x:v>
      </x:c>
      <x:c r="K29" s="32" t="n">
        <x:v>1403.63</x:v>
      </x:c>
      <x:c r="L29" s="32" t="n">
        <x:v>45</x:v>
      </x:c>
      <x:c r="M29" s="32" t="n">
        <x:v>10</x:v>
      </x:c>
      <x:c r="N29" s="36" t="n">
        <x:v>0.93</x:v>
      </x:c>
      <x:c r="O29" s="28" t="str">
        <x:v>Não</x:v>
      </x:c>
      <x:c r="P29" s="28" t="str">
        <x:v>Baixo</x:v>
      </x:c>
      <x:c r="Q29" s="32" t="n">
        <x:v>0</x:v>
      </x:c>
      <x:c r="R29" s="30" t="n">
        <x:v>0</x:v>
      </x:c>
      <x:c r="S29" s="30" t="n">
        <x:v>315816.18</x:v>
      </x:c>
      <x:c r="T29" s="28" t="str">
        <x:v>Cobertura adequada</x:v>
      </x:c>
    </x:row>
    <x:row r="30">
      <x:c r="A30" s="34" t="n">
        <x:v>45323</x:v>
      </x:c>
      <x:c r="B30" s="28" t="str">
        <x:v>Grupo Industrial S.A.</x:v>
      </x:c>
      <x:c r="C30" s="28" t="str">
        <x:v>Planta Campinas</x:v>
      </x:c>
      <x:c r="D30" s="28" t="str">
        <x:v>Filme PE 500mm</x:v>
      </x:c>
      <x:c r="E30" s="28" t="str">
        <x:v>Fornecedor A</x:v>
      </x:c>
      <x:c r="F30" s="28" t="str">
        <x:v>Embalagem</x:v>
      </x:c>
      <x:c r="G30" s="32" t="n">
        <x:v>13361.71</x:v>
      </x:c>
      <x:c r="H30" s="32" t="n">
        <x:v>14341.87</x:v>
      </x:c>
      <x:c r="I30" s="30" t="n">
        <x:v>12.55</x:v>
      </x:c>
      <x:c r="J30" s="32" t="n">
        <x:v>15825.51</x:v>
      </x:c>
      <x:c r="K30" s="32" t="n">
        <x:v>494.55</x:v>
      </x:c>
      <x:c r="L30" s="32" t="n">
        <x:v>32</x:v>
      </x:c>
      <x:c r="M30" s="32" t="n">
        <x:v>12</x:v>
      </x:c>
      <x:c r="N30" s="36" t="n">
        <x:v>0.97</x:v>
      </x:c>
      <x:c r="O30" s="28" t="str">
        <x:v>Não</x:v>
      </x:c>
      <x:c r="P30" s="28" t="str">
        <x:v>Baixo</x:v>
      </x:c>
      <x:c r="Q30" s="32" t="n">
        <x:v>0</x:v>
      </x:c>
      <x:c r="R30" s="30" t="n">
        <x:v>0</x:v>
      </x:c>
      <x:c r="S30" s="30" t="n">
        <x:v>0</x:v>
      </x:c>
      <x:c r="T30" s="28" t="str">
        <x:v>Cobertura adequada</x:v>
      </x:c>
    </x:row>
    <x:row r="31">
      <x:c r="A31" s="34" t="n">
        <x:v>45323</x:v>
      </x:c>
      <x:c r="B31" s="28" t="str">
        <x:v>Grupo Industrial S.A.</x:v>
      </x:c>
      <x:c r="C31" s="28" t="str">
        <x:v>Planta Campinas</x:v>
      </x:c>
      <x:c r="D31" s="28" t="str">
        <x:v>Resina PP H103</x:v>
      </x:c>
      <x:c r="E31" s="28" t="str">
        <x:v>Fornecedor B</x:v>
      </x:c>
      <x:c r="F31" s="28" t="str">
        <x:v>Resina</x:v>
      </x:c>
      <x:c r="G31" s="32" t="n">
        <x:v>16174.7</x:v>
      </x:c>
      <x:c r="H31" s="32" t="n">
        <x:v>17541.05</x:v>
      </x:c>
      <x:c r="I31" s="30" t="n">
        <x:v>8.8</x:v>
      </x:c>
      <x:c r="J31" s="32" t="n">
        <x:v>4838.91</x:v>
      </x:c>
      <x:c r="K31" s="32" t="n">
        <x:v>604.86</x:v>
      </x:c>
      <x:c r="L31" s="32" t="n">
        <x:v>8</x:v>
      </x:c>
      <x:c r="M31" s="32" t="n">
        <x:v>16</x:v>
      </x:c>
      <x:c r="N31" s="36" t="n">
        <x:v>0.86</x:v>
      </x:c>
      <x:c r="O31" s="28" t="str">
        <x:v>Risco</x:v>
      </x:c>
      <x:c r="P31" s="28" t="str">
        <x:v>Alto</x:v>
      </x:c>
      <x:c r="Q31" s="32" t="n">
        <x:v>3659</x:v>
      </x:c>
      <x:c r="R31" s="30" t="n">
        <x:v>4104.61</x:v>
      </x:c>
      <x:c r="S31" s="30" t="n">
        <x:v>0</x:v>
      </x:c>
      <x:c r="T31" s="28" t="str">
        <x:v>Cobertura &lt; lead time + margem de segurança</x:v>
      </x:c>
    </x:row>
    <x:row r="32">
      <x:c r="A32" s="34" t="n">
        <x:v>45323</x:v>
      </x:c>
      <x:c r="B32" s="28" t="str">
        <x:v>Grupo Industrial S.A.</x:v>
      </x:c>
      <x:c r="C32" s="28" t="str">
        <x:v>Planta Campinas</x:v>
      </x:c>
      <x:c r="D32" s="28" t="str">
        <x:v>Tampa 28mm</x:v>
      </x:c>
      <x:c r="E32" s="28" t="str">
        <x:v>Fornecedor C</x:v>
      </x:c>
      <x:c r="F32" s="28" t="str">
        <x:v>Embalagem</x:v>
      </x:c>
      <x:c r="G32" s="32" t="n">
        <x:v>18987.7</x:v>
      </x:c>
      <x:c r="H32" s="32" t="n">
        <x:v>19421.74</x:v>
      </x:c>
      <x:c r="I32" s="30" t="n">
        <x:v>0.36</x:v>
      </x:c>
      <x:c r="J32" s="32" t="n">
        <x:v>8706.3</x:v>
      </x:c>
      <x:c r="K32" s="32" t="n">
        <x:v>669.72</x:v>
      </x:c>
      <x:c r="L32" s="32" t="n">
        <x:v>13</x:v>
      </x:c>
      <x:c r="M32" s="32" t="n">
        <x:v>14</x:v>
      </x:c>
      <x:c r="N32" s="36" t="n">
        <x:v>0.88</x:v>
      </x:c>
      <x:c r="O32" s="28" t="str">
        <x:v>Risco</x:v>
      </x:c>
      <x:c r="P32" s="28" t="str">
        <x:v>Médio</x:v>
      </x:c>
      <x:c r="Q32" s="32" t="n">
        <x:v>1205</x:v>
      </x:c>
      <x:c r="R32" s="30" t="n">
        <x:v>86.8</x:v>
      </x:c>
      <x:c r="S32" s="30" t="n">
        <x:v>0</x:v>
      </x:c>
      <x:c r="T32" s="28" t="str">
        <x:v>Cobertura abaixo do nível de atenção</x:v>
      </x:c>
    </x:row>
    <x:row r="33">
      <x:c r="A33" s="34" t="n">
        <x:v>45323</x:v>
      </x:c>
      <x:c r="B33" s="28" t="str">
        <x:v>Grupo Industrial S.A.</x:v>
      </x:c>
      <x:c r="C33" s="28" t="str">
        <x:v>Planta Campinas</x:v>
      </x:c>
      <x:c r="D33" s="28" t="str">
        <x:v>Rótulo L-120</x:v>
      </x:c>
      <x:c r="E33" s="28" t="str">
        <x:v>Fornecedor E</x:v>
      </x:c>
      <x:c r="F33" s="28" t="str">
        <x:v>Embalagem</x:v>
      </x:c>
      <x:c r="G33" s="32" t="n">
        <x:v>21800.69</x:v>
      </x:c>
      <x:c r="H33" s="32" t="n">
        <x:v>22354.6</x:v>
      </x:c>
      <x:c r="I33" s="30" t="n">
        <x:v>0.18</x:v>
      </x:c>
      <x:c r="J33" s="32" t="n">
        <x:v>24667.14</x:v>
      </x:c>
      <x:c r="K33" s="32" t="n">
        <x:v>770.85</x:v>
      </x:c>
      <x:c r="L33" s="32" t="n">
        <x:v>32</x:v>
      </x:c>
      <x:c r="M33" s="32" t="n">
        <x:v>10</x:v>
      </x:c>
      <x:c r="N33" s="36" t="n">
        <x:v>0.95</x:v>
      </x:c>
      <x:c r="O33" s="28" t="str">
        <x:v>Não</x:v>
      </x:c>
      <x:c r="P33" s="28" t="str">
        <x:v>Baixo</x:v>
      </x:c>
      <x:c r="Q33" s="32" t="n">
        <x:v>0</x:v>
      </x:c>
      <x:c r="R33" s="30" t="n">
        <x:v>0</x:v>
      </x:c>
      <x:c r="S33" s="30" t="n">
        <x:v>0</x:v>
      </x:c>
      <x:c r="T33" s="28" t="str">
        <x:v>Cobertura adequada</x:v>
      </x:c>
    </x:row>
    <x:row r="34">
      <x:c r="A34" s="34" t="n">
        <x:v>45323</x:v>
      </x:c>
      <x:c r="B34" s="28" t="str">
        <x:v>Grupo Industrial S.A.</x:v>
      </x:c>
      <x:c r="C34" s="28" t="str">
        <x:v>Planta Campinas</x:v>
      </x:c>
      <x:c r="D34" s="28" t="str">
        <x:v>Caixa papelão P</x:v>
      </x:c>
      <x:c r="E34" s="28" t="str">
        <x:v>Fornecedor A</x:v>
      </x:c>
      <x:c r="F34" s="28" t="str">
        <x:v>Embalagem</x:v>
      </x:c>
      <x:c r="G34" s="32" t="n">
        <x:v>24613.68</x:v>
      </x:c>
      <x:c r="H34" s="32" t="n">
        <x:v>25841.44</x:v>
      </x:c>
      <x:c r="I34" s="30" t="n">
        <x:v>2.88</x:v>
      </x:c>
      <x:c r="J34" s="32" t="n">
        <x:v>28514.69</x:v>
      </x:c>
      <x:c r="K34" s="32" t="n">
        <x:v>891.08</x:v>
      </x:c>
      <x:c r="L34" s="32" t="n">
        <x:v>32</x:v>
      </x:c>
      <x:c r="M34" s="32" t="n">
        <x:v>8</x:v>
      </x:c>
      <x:c r="N34" s="36" t="n">
        <x:v>0.95</x:v>
      </x:c>
      <x:c r="O34" s="28" t="str">
        <x:v>Não</x:v>
      </x:c>
      <x:c r="P34" s="28" t="str">
        <x:v>Baixo</x:v>
      </x:c>
      <x:c r="Q34" s="32" t="n">
        <x:v>0</x:v>
      </x:c>
      <x:c r="R34" s="30" t="n">
        <x:v>0</x:v>
      </x:c>
      <x:c r="S34" s="30" t="n">
        <x:v>0</x:v>
      </x:c>
      <x:c r="T34" s="28" t="str">
        <x:v>Cobertura adequada</x:v>
      </x:c>
    </x:row>
    <x:row r="35">
      <x:c r="A35" s="34" t="n">
        <x:v>45323</x:v>
      </x:c>
      <x:c r="B35" s="28" t="str">
        <x:v>Grupo Industrial S.A.</x:v>
      </x:c>
      <x:c r="C35" s="28" t="str">
        <x:v>Planta Campinas</x:v>
      </x:c>
      <x:c r="D35" s="28" t="str">
        <x:v>Aditivo A3</x:v>
      </x:c>
      <x:c r="E35" s="28" t="str">
        <x:v>Fornecedor D</x:v>
      </x:c>
      <x:c r="F35" s="28" t="str">
        <x:v>Insumo</x:v>
      </x:c>
      <x:c r="G35" s="32" t="n">
        <x:v>27426.67</x:v>
      </x:c>
      <x:c r="H35" s="32" t="n">
        <x:v>27965.11</x:v>
      </x:c>
      <x:c r="I35" s="30" t="n">
        <x:v>16.39</x:v>
      </x:c>
      <x:c r="J35" s="32" t="n">
        <x:v>30858.05</x:v>
      </x:c>
      <x:c r="K35" s="32" t="n">
        <x:v>964.31</x:v>
      </x:c>
      <x:c r="L35" s="32" t="n">
        <x:v>32</x:v>
      </x:c>
      <x:c r="M35" s="32" t="n">
        <x:v>14</x:v>
      </x:c>
      <x:c r="N35" s="36" t="n">
        <x:v>0.95</x:v>
      </x:c>
      <x:c r="O35" s="28" t="str">
        <x:v>Não</x:v>
      </x:c>
      <x:c r="P35" s="28" t="str">
        <x:v>Baixo</x:v>
      </x:c>
      <x:c r="Q35" s="32" t="n">
        <x:v>0</x:v>
      </x:c>
      <x:c r="R35" s="30" t="n">
        <x:v>0</x:v>
      </x:c>
      <x:c r="S35" s="30" t="n">
        <x:v>0</x:v>
      </x:c>
      <x:c r="T35" s="28" t="str">
        <x:v>Cobertura adequada</x:v>
      </x:c>
    </x:row>
    <x:row r="36">
      <x:c r="A36" s="34" t="n">
        <x:v>45323</x:v>
      </x:c>
      <x:c r="B36" s="28" t="str">
        <x:v>Grupo Industrial S.A.</x:v>
      </x:c>
      <x:c r="C36" s="28" t="str">
        <x:v>Planta Campinas</x:v>
      </x:c>
      <x:c r="D36" s="28" t="str">
        <x:v>Masterbatch AZ</x:v>
      </x:c>
      <x:c r="E36" s="28" t="str">
        <x:v>Fornecedor D</x:v>
      </x:c>
      <x:c r="F36" s="28" t="str">
        <x:v>Insumo</x:v>
      </x:c>
      <x:c r="G36" s="32" t="n">
        <x:v>30239.66</x:v>
      </x:c>
      <x:c r="H36" s="32" t="n">
        <x:v>31619.65</x:v>
      </x:c>
      <x:c r="I36" s="30" t="n">
        <x:v>22.77</x:v>
      </x:c>
      <x:c r="J36" s="32" t="n">
        <x:v>23987.32</x:v>
      </x:c>
      <x:c r="K36" s="32" t="n">
        <x:v>1090.33</x:v>
      </x:c>
      <x:c r="L36" s="32" t="n">
        <x:v>22</x:v>
      </x:c>
      <x:c r="M36" s="32" t="n">
        <x:v>14</x:v>
      </x:c>
      <x:c r="N36" s="36" t="n">
        <x:v>0.93</x:v>
      </x:c>
      <x:c r="O36" s="28" t="str">
        <x:v>Não</x:v>
      </x:c>
      <x:c r="P36" s="28" t="str">
        <x:v>Médio</x:v>
      </x:c>
      <x:c r="Q36" s="32" t="n">
        <x:v>490</x:v>
      </x:c>
      <x:c r="R36" s="30" t="n">
        <x:v>0</x:v>
      </x:c>
      <x:c r="S36" s="30" t="n">
        <x:v>0</x:v>
      </x:c>
      <x:c r="T36" s="28" t="str">
        <x:v>Cobertura abaixo do nível de atenção</x:v>
      </x:c>
    </x:row>
    <x:row r="37">
      <x:c r="A37" s="34" t="n">
        <x:v>45323</x:v>
      </x:c>
      <x:c r="B37" s="28" t="str">
        <x:v>Grupo Industrial S.A.</x:v>
      </x:c>
      <x:c r="C37" s="28" t="str">
        <x:v>Planta Curitiba</x:v>
      </x:c>
      <x:c r="D37" s="28" t="str">
        <x:v>Filme PE 500mm</x:v>
      </x:c>
      <x:c r="E37" s="28" t="str">
        <x:v>Fornecedor A</x:v>
      </x:c>
      <x:c r="F37" s="28" t="str">
        <x:v>Embalagem</x:v>
      </x:c>
      <x:c r="G37" s="32" t="n">
        <x:v>12490.3</x:v>
      </x:c>
      <x:c r="H37" s="32" t="n">
        <x:v>12765.79</x:v>
      </x:c>
      <x:c r="I37" s="30" t="n">
        <x:v>12.55</x:v>
      </x:c>
      <x:c r="J37" s="32" t="n">
        <x:v>11004.99</x:v>
      </x:c>
      <x:c r="K37" s="32" t="n">
        <x:v>440.2</x:v>
      </x:c>
      <x:c r="L37" s="32" t="n">
        <x:v>25</x:v>
      </x:c>
      <x:c r="M37" s="32" t="n">
        <x:v>8</x:v>
      </x:c>
      <x:c r="N37" s="36" t="n">
        <x:v>0.93</x:v>
      </x:c>
      <x:c r="O37" s="28" t="str">
        <x:v>Não</x:v>
      </x:c>
      <x:c r="P37" s="28" t="str">
        <x:v>Baixo</x:v>
      </x:c>
      <x:c r="Q37" s="32" t="n">
        <x:v>0</x:v>
      </x:c>
      <x:c r="R37" s="30" t="n">
        <x:v>0</x:v>
      </x:c>
      <x:c r="S37" s="30" t="n">
        <x:v>0</x:v>
      </x:c>
      <x:c r="T37" s="28" t="str">
        <x:v>Cobertura adequada</x:v>
      </x:c>
    </x:row>
    <x:row r="38">
      <x:c r="A38" s="34" t="n">
        <x:v>45323</x:v>
      </x:c>
      <x:c r="B38" s="28" t="str">
        <x:v>Grupo Industrial S.A.</x:v>
      </x:c>
      <x:c r="C38" s="28" t="str">
        <x:v>Planta Curitiba</x:v>
      </x:c>
      <x:c r="D38" s="28" t="str">
        <x:v>Resina PP H103</x:v>
      </x:c>
      <x:c r="E38" s="28" t="str">
        <x:v>Fornecedor B</x:v>
      </x:c>
      <x:c r="F38" s="28" t="str">
        <x:v>Resina</x:v>
      </x:c>
      <x:c r="G38" s="32" t="n">
        <x:v>15119.83</x:v>
      </x:c>
      <x:c r="H38" s="32" t="n">
        <x:v>15749.92</x:v>
      </x:c>
      <x:c r="I38" s="30" t="n">
        <x:v>8.8</x:v>
      </x:c>
      <x:c r="J38" s="32" t="n">
        <x:v>13577.51</x:v>
      </x:c>
      <x:c r="K38" s="32" t="n">
        <x:v>543.1</x:v>
      </x:c>
      <x:c r="L38" s="32" t="n">
        <x:v>25</x:v>
      </x:c>
      <x:c r="M38" s="32" t="n">
        <x:v>10</x:v>
      </x:c>
      <x:c r="N38" s="36" t="n">
        <x:v>0.91</x:v>
      </x:c>
      <x:c r="O38" s="28" t="str">
        <x:v>Não</x:v>
      </x:c>
      <x:c r="P38" s="28" t="str">
        <x:v>Baixo</x:v>
      </x:c>
      <x:c r="Q38" s="32" t="n">
        <x:v>0</x:v>
      </x:c>
      <x:c r="R38" s="30" t="n">
        <x:v>0</x:v>
      </x:c>
      <x:c r="S38" s="30" t="n">
        <x:v>0</x:v>
      </x:c>
      <x:c r="T38" s="28" t="str">
        <x:v>Cobertura adequada</x:v>
      </x:c>
    </x:row>
    <x:row r="39">
      <x:c r="A39" s="34" t="n">
        <x:v>45323</x:v>
      </x:c>
      <x:c r="B39" s="28" t="str">
        <x:v>Grupo Industrial S.A.</x:v>
      </x:c>
      <x:c r="C39" s="28" t="str">
        <x:v>Planta Curitiba</x:v>
      </x:c>
      <x:c r="D39" s="28" t="str">
        <x:v>Tampa 28mm</x:v>
      </x:c>
      <x:c r="E39" s="28" t="str">
        <x:v>Fornecedor C</x:v>
      </x:c>
      <x:c r="F39" s="28" t="str">
        <x:v>Embalagem</x:v>
      </x:c>
      <x:c r="G39" s="32" t="n">
        <x:v>17749.37</x:v>
      </x:c>
      <x:c r="H39" s="32" t="n">
        <x:v>18627.7</x:v>
      </x:c>
      <x:c r="I39" s="30" t="n">
        <x:v>0.36</x:v>
      </x:c>
      <x:c r="J39" s="32" t="n">
        <x:v>20554.7</x:v>
      </x:c>
      <x:c r="K39" s="32" t="n">
        <x:v>642.33</x:v>
      </x:c>
      <x:c r="L39" s="32" t="n">
        <x:v>32</x:v>
      </x:c>
      <x:c r="M39" s="32" t="n">
        <x:v>14</x:v>
      </x:c>
      <x:c r="N39" s="36" t="n">
        <x:v>0.95</x:v>
      </x:c>
      <x:c r="O39" s="28" t="str">
        <x:v>Não</x:v>
      </x:c>
      <x:c r="P39" s="28" t="str">
        <x:v>Baixo</x:v>
      </x:c>
      <x:c r="Q39" s="32" t="n">
        <x:v>0</x:v>
      </x:c>
      <x:c r="R39" s="30" t="n">
        <x:v>0</x:v>
      </x:c>
      <x:c r="S39" s="30" t="n">
        <x:v>0</x:v>
      </x:c>
      <x:c r="T39" s="28" t="str">
        <x:v>Cobertura adequada</x:v>
      </x:c>
    </x:row>
    <x:row r="40">
      <x:c r="A40" s="34" t="n">
        <x:v>45323</x:v>
      </x:c>
      <x:c r="B40" s="28" t="str">
        <x:v>Grupo Industrial S.A.</x:v>
      </x:c>
      <x:c r="C40" s="28" t="str">
        <x:v>Planta Curitiba</x:v>
      </x:c>
      <x:c r="D40" s="28" t="str">
        <x:v>Rótulo L-120</x:v>
      </x:c>
      <x:c r="E40" s="28" t="str">
        <x:v>Fornecedor E</x:v>
      </x:c>
      <x:c r="F40" s="28" t="str">
        <x:v>Embalagem</x:v>
      </x:c>
      <x:c r="G40" s="32" t="n">
        <x:v>20378.9</x:v>
      </x:c>
      <x:c r="H40" s="32" t="n">
        <x:v>21128.76</x:v>
      </x:c>
      <x:c r="I40" s="30" t="n">
        <x:v>0.18</x:v>
      </x:c>
      <x:c r="J40" s="32" t="n">
        <x:v>32786.01</x:v>
      </x:c>
      <x:c r="K40" s="32" t="n">
        <x:v>728.58</x:v>
      </x:c>
      <x:c r="L40" s="32" t="n">
        <x:v>45</x:v>
      </x:c>
      <x:c r="M40" s="32" t="n">
        <x:v>8</x:v>
      </x:c>
      <x:c r="N40" s="36" t="n">
        <x:v>0.97</x:v>
      </x:c>
      <x:c r="O40" s="28" t="str">
        <x:v>Não</x:v>
      </x:c>
      <x:c r="P40" s="28" t="str">
        <x:v>Baixo</x:v>
      </x:c>
      <x:c r="Q40" s="32" t="n">
        <x:v>0</x:v>
      </x:c>
      <x:c r="R40" s="30" t="n">
        <x:v>0</x:v>
      </x:c>
      <x:c r="S40" s="30" t="n">
        <x:v>1311.44</x:v>
      </x:c>
      <x:c r="T40" s="28" t="str">
        <x:v>Cobertura adequada</x:v>
      </x:c>
    </x:row>
    <x:row r="41">
      <x:c r="A41" s="34" t="n">
        <x:v>45323</x:v>
      </x:c>
      <x:c r="B41" s="28" t="str">
        <x:v>Grupo Industrial S.A.</x:v>
      </x:c>
      <x:c r="C41" s="28" t="str">
        <x:v>Planta Curitiba</x:v>
      </x:c>
      <x:c r="D41" s="28" t="str">
        <x:v>Caixa papelão P</x:v>
      </x:c>
      <x:c r="E41" s="28" t="str">
        <x:v>Fornecedor A</x:v>
      </x:c>
      <x:c r="F41" s="28" t="str">
        <x:v>Embalagem</x:v>
      </x:c>
      <x:c r="G41" s="32" t="n">
        <x:v>23008.44</x:v>
      </x:c>
      <x:c r="H41" s="32" t="n">
        <x:v>23412.33</x:v>
      </x:c>
      <x:c r="I41" s="30" t="n">
        <x:v>2.88</x:v>
      </x:c>
      <x:c r="J41" s="32" t="n">
        <x:v>17761.08</x:v>
      </x:c>
      <x:c r="K41" s="32" t="n">
        <x:v>807.32</x:v>
      </x:c>
      <x:c r="L41" s="32" t="n">
        <x:v>22</x:v>
      </x:c>
      <x:c r="M41" s="32" t="n">
        <x:v>12</x:v>
      </x:c>
      <x:c r="N41" s="36" t="n">
        <x:v>0.93</x:v>
      </x:c>
      <x:c r="O41" s="28" t="str">
        <x:v>Não</x:v>
      </x:c>
      <x:c r="P41" s="28" t="str">
        <x:v>Médio</x:v>
      </x:c>
      <x:c r="Q41" s="32" t="n">
        <x:v>363</x:v>
      </x:c>
      <x:c r="R41" s="30" t="n">
        <x:v>0</x:v>
      </x:c>
      <x:c r="S41" s="30" t="n">
        <x:v>0</x:v>
      </x:c>
      <x:c r="T41" s="28" t="str">
        <x:v>Cobertura abaixo do nível de atenção</x:v>
      </x:c>
    </x:row>
    <x:row r="42">
      <x:c r="A42" s="34" t="n">
        <x:v>45323</x:v>
      </x:c>
      <x:c r="B42" s="28" t="str">
        <x:v>Grupo Industrial S.A.</x:v>
      </x:c>
      <x:c r="C42" s="28" t="str">
        <x:v>Planta Curitiba</x:v>
      </x:c>
      <x:c r="D42" s="28" t="str">
        <x:v>Aditivo A3</x:v>
      </x:c>
      <x:c r="E42" s="28" t="str">
        <x:v>Fornecedor D</x:v>
      </x:c>
      <x:c r="F42" s="28" t="str">
        <x:v>Insumo</x:v>
      </x:c>
      <x:c r="G42" s="32" t="n">
        <x:v>25637.98</x:v>
      </x:c>
      <x:c r="H42" s="32" t="n">
        <x:v>26425.15</x:v>
      </x:c>
      <x:c r="I42" s="30" t="n">
        <x:v>16.39</x:v>
      </x:c>
      <x:c r="J42" s="32" t="n">
        <x:v>16401.82</x:v>
      </x:c>
      <x:c r="K42" s="32" t="n">
        <x:v>911.21</x:v>
      </x:c>
      <x:c r="L42" s="32" t="n">
        <x:v>18</x:v>
      </x:c>
      <x:c r="M42" s="32" t="n">
        <x:v>8</x:v>
      </x:c>
      <x:c r="N42" s="36" t="n">
        <x:v>0.95</x:v>
      </x:c>
      <x:c r="O42" s="28" t="str">
        <x:v>Não</x:v>
      </x:c>
      <x:c r="P42" s="28" t="str">
        <x:v>Médio</x:v>
      </x:c>
      <x:c r="Q42" s="32" t="n">
        <x:v>956</x:v>
      </x:c>
      <x:c r="R42" s="30" t="n">
        <x:v>0</x:v>
      </x:c>
      <x:c r="S42" s="30" t="n">
        <x:v>0</x:v>
      </x:c>
      <x:c r="T42" s="28" t="str">
        <x:v>Cobertura abaixo do nível de atenção</x:v>
      </x:c>
    </x:row>
    <x:row r="43">
      <x:c r="A43" s="34" t="n">
        <x:v>45323</x:v>
      </x:c>
      <x:c r="B43" s="28" t="str">
        <x:v>Grupo Industrial S.A.</x:v>
      </x:c>
      <x:c r="C43" s="28" t="str">
        <x:v>Planta Curitiba</x:v>
      </x:c>
      <x:c r="D43" s="28" t="str">
        <x:v>Masterbatch AZ</x:v>
      </x:c>
      <x:c r="E43" s="28" t="str">
        <x:v>Fornecedor D</x:v>
      </x:c>
      <x:c r="F43" s="28" t="str">
        <x:v>Insumo</x:v>
      </x:c>
      <x:c r="G43" s="32" t="n">
        <x:v>28267.51</x:v>
      </x:c>
      <x:c r="H43" s="32" t="n">
        <x:v>28834.43</x:v>
      </x:c>
      <x:c r="I43" s="30" t="n">
        <x:v>22.77</x:v>
      </x:c>
      <x:c r="J43" s="32" t="n">
        <x:v>31817.3</x:v>
      </x:c>
      <x:c r="K43" s="32" t="n">
        <x:v>994.29</x:v>
      </x:c>
      <x:c r="L43" s="32" t="n">
        <x:v>32</x:v>
      </x:c>
      <x:c r="M43" s="32" t="n">
        <x:v>10</x:v>
      </x:c>
      <x:c r="N43" s="36" t="n">
        <x:v>0.95</x:v>
      </x:c>
      <x:c r="O43" s="28" t="str">
        <x:v>Não</x:v>
      </x:c>
      <x:c r="P43" s="28" t="str">
        <x:v>Baixo</x:v>
      </x:c>
      <x:c r="Q43" s="32" t="n">
        <x:v>0</x:v>
      </x:c>
      <x:c r="R43" s="30" t="n">
        <x:v>0</x:v>
      </x:c>
      <x:c r="S43" s="30" t="n">
        <x:v>0</x:v>
      </x:c>
      <x:c r="T43" s="28" t="str">
        <x:v>Cobertura adequada</x:v>
      </x:c>
    </x:row>
    <x:row r="44">
      <x:c r="A44" s="34" t="n">
        <x:v>45352</x:v>
      </x:c>
      <x:c r="B44" s="28" t="str">
        <x:v>Grupo Industrial S.A.</x:v>
      </x:c>
      <x:c r="C44" s="28" t="str">
        <x:v>Planta São Paulo</x:v>
      </x:c>
      <x:c r="D44" s="28" t="str">
        <x:v>Filme PE 500mm</x:v>
      </x:c>
      <x:c r="E44" s="28" t="str">
        <x:v>Fornecedor A</x:v>
      </x:c>
      <x:c r="F44" s="28" t="str">
        <x:v>Embalagem</x:v>
      </x:c>
      <x:c r="G44" s="32" t="n">
        <x:v>18139.68</x:v>
      </x:c>
      <x:c r="H44" s="32" t="n">
        <x:v>18607.23</x:v>
      </x:c>
      <x:c r="I44" s="30" t="n">
        <x:v>12.62</x:v>
      </x:c>
      <x:c r="J44" s="32" t="n">
        <x:v>27010.5</x:v>
      </x:c>
      <x:c r="K44" s="32" t="n">
        <x:v>600.23</x:v>
      </x:c>
      <x:c r="L44" s="32" t="n">
        <x:v>45</x:v>
      </x:c>
      <x:c r="M44" s="32" t="n">
        <x:v>12</x:v>
      </x:c>
      <x:c r="N44" s="36" t="n">
        <x:v>0.93</x:v>
      </x:c>
      <x:c r="O44" s="28" t="str">
        <x:v>Não</x:v>
      </x:c>
      <x:c r="P44" s="28" t="str">
        <x:v>Baixo</x:v>
      </x:c>
      <x:c r="Q44" s="32" t="n">
        <x:v>0</x:v>
      </x:c>
      <x:c r="R44" s="30" t="n">
        <x:v>0</x:v>
      </x:c>
      <x:c r="S44" s="30" t="n">
        <x:v>74428.94</x:v>
      </x:c>
      <x:c r="T44" s="28" t="str">
        <x:v>Cobertura adequada</x:v>
      </x:c>
    </x:row>
    <x:row r="45">
      <x:c r="A45" s="34" t="n">
        <x:v>45352</x:v>
      </x:c>
      <x:c r="B45" s="28" t="str">
        <x:v>Grupo Industrial S.A.</x:v>
      </x:c>
      <x:c r="C45" s="28" t="str">
        <x:v>Planta São Paulo</x:v>
      </x:c>
      <x:c r="D45" s="28" t="str">
        <x:v>Resina PP H103</x:v>
      </x:c>
      <x:c r="E45" s="28" t="str">
        <x:v>Fornecedor B</x:v>
      </x:c>
      <x:c r="F45" s="28" t="str">
        <x:v>Resina</x:v>
      </x:c>
      <x:c r="G45" s="32" t="n">
        <x:v>21958.56</x:v>
      </x:c>
      <x:c r="H45" s="32" t="n">
        <x:v>22948.23</x:v>
      </x:c>
      <x:c r="I45" s="30" t="n">
        <x:v>8.86</x:v>
      </x:c>
      <x:c r="J45" s="32" t="n">
        <x:v>18506.63</x:v>
      </x:c>
      <x:c r="K45" s="32" t="n">
        <x:v>740.27</x:v>
      </x:c>
      <x:c r="L45" s="32" t="n">
        <x:v>25</x:v>
      </x:c>
      <x:c r="M45" s="32" t="n">
        <x:v>12</x:v>
      </x:c>
      <x:c r="N45" s="36" t="n">
        <x:v>0.95</x:v>
      </x:c>
      <x:c r="O45" s="28" t="str">
        <x:v>Não</x:v>
      </x:c>
      <x:c r="P45" s="28" t="str">
        <x:v>Baixo</x:v>
      </x:c>
      <x:c r="Q45" s="32" t="n">
        <x:v>0</x:v>
      </x:c>
      <x:c r="R45" s="30" t="n">
        <x:v>0</x:v>
      </x:c>
      <x:c r="S45" s="30" t="n">
        <x:v>0</x:v>
      </x:c>
      <x:c r="T45" s="28" t="str">
        <x:v>Cobertura adequada</x:v>
      </x:c>
    </x:row>
    <x:row r="46">
      <x:c r="A46" s="34" t="n">
        <x:v>45352</x:v>
      </x:c>
      <x:c r="B46" s="28" t="str">
        <x:v>Grupo Industrial S.A.</x:v>
      </x:c>
      <x:c r="C46" s="28" t="str">
        <x:v>Planta São Paulo</x:v>
      </x:c>
      <x:c r="D46" s="28" t="str">
        <x:v>Tampa 28mm</x:v>
      </x:c>
      <x:c r="E46" s="28" t="str">
        <x:v>Fornecedor C</x:v>
      </x:c>
      <x:c r="F46" s="28" t="str">
        <x:v>Embalagem</x:v>
      </x:c>
      <x:c r="G46" s="32" t="n">
        <x:v>25777.44</x:v>
      </x:c>
      <x:c r="H46" s="32" t="n">
        <x:v>26735.25</x:v>
      </x:c>
      <x:c r="I46" s="30" t="n">
        <x:v>0.37</x:v>
      </x:c>
      <x:c r="J46" s="32" t="n">
        <x:v>38809.23</x:v>
      </x:c>
      <x:c r="K46" s="32" t="n">
        <x:v>862.43</x:v>
      </x:c>
      <x:c r="L46" s="32" t="n">
        <x:v>45</x:v>
      </x:c>
      <x:c r="M46" s="32" t="n">
        <x:v>12</x:v>
      </x:c>
      <x:c r="N46" s="36" t="n">
        <x:v>0.93</x:v>
      </x:c>
      <x:c r="O46" s="28" t="str">
        <x:v>Não</x:v>
      </x:c>
      <x:c r="P46" s="28" t="str">
        <x:v>Baixo</x:v>
      </x:c>
      <x:c r="Q46" s="32" t="n">
        <x:v>0</x:v>
      </x:c>
      <x:c r="R46" s="30" t="n">
        <x:v>0</x:v>
      </x:c>
      <x:c r="S46" s="30" t="n">
        <x:v>3104.74</x:v>
      </x:c>
      <x:c r="T46" s="28" t="str">
        <x:v>Cobertura adequada</x:v>
      </x:c>
    </x:row>
    <x:row r="47">
      <x:c r="A47" s="34" t="n">
        <x:v>45352</x:v>
      </x:c>
      <x:c r="B47" s="28" t="str">
        <x:v>Grupo Industrial S.A.</x:v>
      </x:c>
      <x:c r="C47" s="28" t="str">
        <x:v>Planta São Paulo</x:v>
      </x:c>
      <x:c r="D47" s="28" t="str">
        <x:v>Rótulo L-120</x:v>
      </x:c>
      <x:c r="E47" s="28" t="str">
        <x:v>Fornecedor E</x:v>
      </x:c>
      <x:c r="F47" s="28" t="str">
        <x:v>Embalagem</x:v>
      </x:c>
      <x:c r="G47" s="32" t="n">
        <x:v>29596.32</x:v>
      </x:c>
      <x:c r="H47" s="32" t="n">
        <x:v>30670.65</x:v>
      </x:c>
      <x:c r="I47" s="30" t="n">
        <x:v>0.18</x:v>
      </x:c>
      <x:c r="J47" s="32" t="n">
        <x:v>17808.77</x:v>
      </x:c>
      <x:c r="K47" s="32" t="n">
        <x:v>989.38</x:v>
      </x:c>
      <x:c r="L47" s="32" t="n">
        <x:v>18</x:v>
      </x:c>
      <x:c r="M47" s="32" t="n">
        <x:v>12</x:v>
      </x:c>
      <x:c r="N47" s="36" t="n">
        <x:v>0.95</x:v>
      </x:c>
      <x:c r="O47" s="28" t="str">
        <x:v>Não</x:v>
      </x:c>
      <x:c r="P47" s="28" t="str">
        <x:v>Médio</x:v>
      </x:c>
      <x:c r="Q47" s="32" t="n">
        <x:v>1038</x:v>
      </x:c>
      <x:c r="R47" s="30" t="n">
        <x:v>0</x:v>
      </x:c>
      <x:c r="S47" s="30" t="n">
        <x:v>0</x:v>
      </x:c>
      <x:c r="T47" s="28" t="str">
        <x:v>Cobertura abaixo do nível de atenção</x:v>
      </x:c>
    </x:row>
    <x:row r="48">
      <x:c r="A48" s="34" t="n">
        <x:v>45352</x:v>
      </x:c>
      <x:c r="B48" s="28" t="str">
        <x:v>Grupo Industrial S.A.</x:v>
      </x:c>
      <x:c r="C48" s="28" t="str">
        <x:v>Planta São Paulo</x:v>
      </x:c>
      <x:c r="D48" s="28" t="str">
        <x:v>Caixa papelão P</x:v>
      </x:c>
      <x:c r="E48" s="28" t="str">
        <x:v>Fornecedor A</x:v>
      </x:c>
      <x:c r="F48" s="28" t="str">
        <x:v>Embalagem</x:v>
      </x:c>
      <x:c r="G48" s="32" t="n">
        <x:v>33415.2</x:v>
      </x:c>
      <x:c r="H48" s="32" t="n">
        <x:v>33945.72</x:v>
      </x:c>
      <x:c r="I48" s="30" t="n">
        <x:v>2.9</x:v>
      </x:c>
      <x:c r="J48" s="32" t="n">
        <x:v>41610.88</x:v>
      </x:c>
      <x:c r="K48" s="32" t="n">
        <x:v>1095.02</x:v>
      </x:c>
      <x:c r="L48" s="32" t="n">
        <x:v>38</x:v>
      </x:c>
      <x:c r="M48" s="32" t="n">
        <x:v>10</x:v>
      </x:c>
      <x:c r="N48" s="36" t="n">
        <x:v>0.93</x:v>
      </x:c>
      <x:c r="O48" s="28" t="str">
        <x:v>Não</x:v>
      </x:c>
      <x:c r="P48" s="28" t="str">
        <x:v>Baixo</x:v>
      </x:c>
      <x:c r="Q48" s="32" t="n">
        <x:v>0</x:v>
      </x:c>
      <x:c r="R48" s="30" t="n">
        <x:v>0</x:v>
      </x:c>
      <x:c r="S48" s="30" t="n">
        <x:v>9362.45</x:v>
      </x:c>
      <x:c r="T48" s="28" t="str">
        <x:v>Cobertura adequada</x:v>
      </x:c>
    </x:row>
    <x:row r="49">
      <x:c r="A49" s="34" t="n">
        <x:v>45352</x:v>
      </x:c>
      <x:c r="B49" s="28" t="str">
        <x:v>Grupo Industrial S.A.</x:v>
      </x:c>
      <x:c r="C49" s="28" t="str">
        <x:v>Planta São Paulo</x:v>
      </x:c>
      <x:c r="D49" s="28" t="str">
        <x:v>Aditivo A3</x:v>
      </x:c>
      <x:c r="E49" s="28" t="str">
        <x:v>Fornecedor D</x:v>
      </x:c>
      <x:c r="F49" s="28" t="str">
        <x:v>Insumo</x:v>
      </x:c>
      <x:c r="G49" s="32" t="n">
        <x:v>37234.08</x:v>
      </x:c>
      <x:c r="H49" s="32" t="n">
        <x:v>38988.77</x:v>
      </x:c>
      <x:c r="I49" s="30" t="n">
        <x:v>16.49</x:v>
      </x:c>
      <x:c r="J49" s="32" t="n">
        <x:v>56596.61</x:v>
      </x:c>
      <x:c r="K49" s="32" t="n">
        <x:v>1257.7</x:v>
      </x:c>
      <x:c r="L49" s="32" t="n">
        <x:v>45</x:v>
      </x:c>
      <x:c r="M49" s="32" t="n">
        <x:v>12</x:v>
      </x:c>
      <x:c r="N49" s="36" t="n">
        <x:v>0.97</x:v>
      </x:c>
      <x:c r="O49" s="28" t="str">
        <x:v>Não</x:v>
      </x:c>
      <x:c r="P49" s="28" t="str">
        <x:v>Baixo</x:v>
      </x:c>
      <x:c r="Q49" s="32" t="n">
        <x:v>0</x:v>
      </x:c>
      <x:c r="R49" s="30" t="n">
        <x:v>0</x:v>
      </x:c>
      <x:c r="S49" s="30" t="n">
        <x:v>203747.79</x:v>
      </x:c>
      <x:c r="T49" s="28" t="str">
        <x:v>Cobertura adequada</x:v>
      </x:c>
    </x:row>
    <x:row r="50">
      <x:c r="A50" s="34" t="n">
        <x:v>45352</x:v>
      </x:c>
      <x:c r="B50" s="28" t="str">
        <x:v>Grupo Industrial S.A.</x:v>
      </x:c>
      <x:c r="C50" s="28" t="str">
        <x:v>Planta São Paulo</x:v>
      </x:c>
      <x:c r="D50" s="28" t="str">
        <x:v>Masterbatch AZ</x:v>
      </x:c>
      <x:c r="E50" s="28" t="str">
        <x:v>Fornecedor D</x:v>
      </x:c>
      <x:c r="F50" s="28" t="str">
        <x:v>Insumo</x:v>
      </x:c>
      <x:c r="G50" s="32" t="n">
        <x:v>41052.96</x:v>
      </x:c>
      <x:c r="H50" s="32" t="n">
        <x:v>42743.06</x:v>
      </x:c>
      <x:c r="I50" s="30" t="n">
        <x:v>22.91</x:v>
      </x:c>
      <x:c r="J50" s="32" t="n">
        <x:v>34470.21</x:v>
      </x:c>
      <x:c r="K50" s="32" t="n">
        <x:v>1378.81</x:v>
      </x:c>
      <x:c r="L50" s="32" t="n">
        <x:v>25</x:v>
      </x:c>
      <x:c r="M50" s="32" t="n">
        <x:v>12</x:v>
      </x:c>
      <x:c r="N50" s="36" t="n">
        <x:v>0.91</x:v>
      </x:c>
      <x:c r="O50" s="28" t="str">
        <x:v>Não</x:v>
      </x:c>
      <x:c r="P50" s="28" t="str">
        <x:v>Baixo</x:v>
      </x:c>
      <x:c r="Q50" s="32" t="n">
        <x:v>0</x:v>
      </x:c>
      <x:c r="R50" s="30" t="n">
        <x:v>0</x:v>
      </x:c>
      <x:c r="S50" s="30" t="n">
        <x:v>0</x:v>
      </x:c>
      <x:c r="T50" s="28" t="str">
        <x:v>Cobertura adequada</x:v>
      </x:c>
    </x:row>
    <x:row r="51">
      <x:c r="A51" s="34" t="n">
        <x:v>45352</x:v>
      </x:c>
      <x:c r="B51" s="28" t="str">
        <x:v>Grupo Industrial S.A.</x:v>
      </x:c>
      <x:c r="C51" s="28" t="str">
        <x:v>Planta Campinas</x:v>
      </x:c>
      <x:c r="D51" s="28" t="str">
        <x:v>Filme PE 500mm</x:v>
      </x:c>
      <x:c r="E51" s="28" t="str">
        <x:v>Fornecedor A</x:v>
      </x:c>
      <x:c r="F51" s="28" t="str">
        <x:v>Embalagem</x:v>
      </x:c>
      <x:c r="G51" s="32" t="n">
        <x:v>13907.09</x:v>
      </x:c>
      <x:c r="H51" s="32" t="n">
        <x:v>15135.5</x:v>
      </x:c>
      <x:c r="I51" s="30" t="n">
        <x:v>12.62</x:v>
      </x:c>
      <x:c r="J51" s="32" t="n">
        <x:v>10741.32</x:v>
      </x:c>
      <x:c r="K51" s="32" t="n">
        <x:v>488.24</x:v>
      </x:c>
      <x:c r="L51" s="32" t="n">
        <x:v>22</x:v>
      </x:c>
      <x:c r="M51" s="32" t="n">
        <x:v>8</x:v>
      </x:c>
      <x:c r="N51" s="36" t="n">
        <x:v>0.91</x:v>
      </x:c>
      <x:c r="O51" s="28" t="str">
        <x:v>Não</x:v>
      </x:c>
      <x:c r="P51" s="28" t="str">
        <x:v>Médio</x:v>
      </x:c>
      <x:c r="Q51" s="32" t="n">
        <x:v>219</x:v>
      </x:c>
      <x:c r="R51" s="30" t="n">
        <x:v>0</x:v>
      </x:c>
      <x:c r="S51" s="30" t="n">
        <x:v>0</x:v>
      </x:c>
      <x:c r="T51" s="28" t="str">
        <x:v>Cobertura abaixo do nível de atenção</x:v>
      </x:c>
    </x:row>
    <x:row r="52">
      <x:c r="A52" s="34" t="n">
        <x:v>45352</x:v>
      </x:c>
      <x:c r="B52" s="28" t="str">
        <x:v>Grupo Industrial S.A.</x:v>
      </x:c>
      <x:c r="C52" s="28" t="str">
        <x:v>Planta Campinas</x:v>
      </x:c>
      <x:c r="D52" s="28" t="str">
        <x:v>Resina PP H103</x:v>
      </x:c>
      <x:c r="E52" s="28" t="str">
        <x:v>Fornecedor B</x:v>
      </x:c>
      <x:c r="F52" s="28" t="str">
        <x:v>Resina</x:v>
      </x:c>
      <x:c r="G52" s="32" t="n">
        <x:v>16834.9</x:v>
      </x:c>
      <x:c r="H52" s="32" t="n">
        <x:v>18335.71</x:v>
      </x:c>
      <x:c r="I52" s="30" t="n">
        <x:v>8.86</x:v>
      </x:c>
      <x:c r="J52" s="32" t="n">
        <x:v>5323.27</x:v>
      </x:c>
      <x:c r="K52" s="32" t="n">
        <x:v>591.47</x:v>
      </x:c>
      <x:c r="L52" s="32" t="n">
        <x:v>9</x:v>
      </x:c>
      <x:c r="M52" s="32" t="n">
        <x:v>16</x:v>
      </x:c>
      <x:c r="N52" s="36" t="n">
        <x:v>0.84</x:v>
      </x:c>
      <x:c r="O52" s="28" t="str">
        <x:v>Risco</x:v>
      </x:c>
      <x:c r="P52" s="28" t="str">
        <x:v>Alto</x:v>
      </x:c>
      <x:c r="Q52" s="32" t="n">
        <x:v>3253</x:v>
      </x:c>
      <x:c r="R52" s="30" t="n">
        <x:v>3705</x:v>
      </x:c>
      <x:c r="S52" s="30" t="n">
        <x:v>0</x:v>
      </x:c>
      <x:c r="T52" s="28" t="str">
        <x:v>Cobertura &lt; lead time + margem de segurança</x:v>
      </x:c>
    </x:row>
    <x:row r="53">
      <x:c r="A53" s="34" t="n">
        <x:v>45352</x:v>
      </x:c>
      <x:c r="B53" s="28" t="str">
        <x:v>Grupo Industrial S.A.</x:v>
      </x:c>
      <x:c r="C53" s="28" t="str">
        <x:v>Planta Campinas</x:v>
      </x:c>
      <x:c r="D53" s="28" t="str">
        <x:v>Tampa 28mm</x:v>
      </x:c>
      <x:c r="E53" s="28" t="str">
        <x:v>Fornecedor C</x:v>
      </x:c>
      <x:c r="F53" s="28" t="str">
        <x:v>Embalagem</x:v>
      </x:c>
      <x:c r="G53" s="32" t="n">
        <x:v>19762.7</x:v>
      </x:c>
      <x:c r="H53" s="32" t="n">
        <x:v>20282.82</x:v>
      </x:c>
      <x:c r="I53" s="30" t="n">
        <x:v>0.37</x:v>
      </x:c>
      <x:c r="J53" s="32" t="n">
        <x:v>7197.13</x:v>
      </x:c>
      <x:c r="K53" s="32" t="n">
        <x:v>654.28</x:v>
      </x:c>
      <x:c r="L53" s="32" t="n">
        <x:v>11</x:v>
      </x:c>
      <x:c r="M53" s="32" t="n">
        <x:v>14</x:v>
      </x:c>
      <x:c r="N53" s="36" t="n">
        <x:v>0.88</x:v>
      </x:c>
      <x:c r="O53" s="28" t="str">
        <x:v>Risco</x:v>
      </x:c>
      <x:c r="P53" s="28" t="str">
        <x:v>Alto</x:v>
      </x:c>
      <x:c r="Q53" s="32" t="n">
        <x:v>2159</x:v>
      </x:c>
      <x:c r="R53" s="30" t="n">
        <x:v>113.06</x:v>
      </x:c>
      <x:c r="S53" s="30" t="n">
        <x:v>0</x:v>
      </x:c>
      <x:c r="T53" s="28" t="str">
        <x:v>Cobertura &lt; lead time + margem de segurança</x:v>
      </x:c>
    </x:row>
    <x:row r="54">
      <x:c r="A54" s="34" t="n">
        <x:v>45352</x:v>
      </x:c>
      <x:c r="B54" s="28" t="str">
        <x:v>Grupo Industrial S.A.</x:v>
      </x:c>
      <x:c r="C54" s="28" t="str">
        <x:v>Planta Campinas</x:v>
      </x:c>
      <x:c r="D54" s="28" t="str">
        <x:v>Rótulo L-120</x:v>
      </x:c>
      <x:c r="E54" s="28" t="str">
        <x:v>Fornecedor E</x:v>
      </x:c>
      <x:c r="F54" s="28" t="str">
        <x:v>Embalagem</x:v>
      </x:c>
      <x:c r="G54" s="32" t="n">
        <x:v>22690.51</x:v>
      </x:c>
      <x:c r="H54" s="32" t="n">
        <x:v>23755.74</x:v>
      </x:c>
      <x:c r="I54" s="30" t="n">
        <x:v>0.18</x:v>
      </x:c>
      <x:c r="J54" s="32" t="n">
        <x:v>34484.13</x:v>
      </x:c>
      <x:c r="K54" s="32" t="n">
        <x:v>766.31</x:v>
      </x:c>
      <x:c r="L54" s="32" t="n">
        <x:v>45</x:v>
      </x:c>
      <x:c r="M54" s="32" t="n">
        <x:v>10</x:v>
      </x:c>
      <x:c r="N54" s="36" t="n">
        <x:v>0.91</x:v>
      </x:c>
      <x:c r="O54" s="28" t="str">
        <x:v>Não</x:v>
      </x:c>
      <x:c r="P54" s="28" t="str">
        <x:v>Baixo</x:v>
      </x:c>
      <x:c r="Q54" s="32" t="n">
        <x:v>0</x:v>
      </x:c>
      <x:c r="R54" s="30" t="n">
        <x:v>0</x:v>
      </x:c>
      <x:c r="S54" s="30" t="n">
        <x:v>1379.37</x:v>
      </x:c>
      <x:c r="T54" s="28" t="str">
        <x:v>Cobertura adequada</x:v>
      </x:c>
    </x:row>
    <x:row r="55">
      <x:c r="A55" s="34" t="n">
        <x:v>45352</x:v>
      </x:c>
      <x:c r="B55" s="28" t="str">
        <x:v>Grupo Industrial S.A.</x:v>
      </x:c>
      <x:c r="C55" s="28" t="str">
        <x:v>Planta Campinas</x:v>
      </x:c>
      <x:c r="D55" s="28" t="str">
        <x:v>Caixa papelão P</x:v>
      </x:c>
      <x:c r="E55" s="28" t="str">
        <x:v>Fornecedor A</x:v>
      </x:c>
      <x:c r="F55" s="28" t="str">
        <x:v>Embalagem</x:v>
      </x:c>
      <x:c r="G55" s="32" t="n">
        <x:v>25618.32</x:v>
      </x:c>
      <x:c r="H55" s="32" t="n">
        <x:v>26383.34</x:v>
      </x:c>
      <x:c r="I55" s="30" t="n">
        <x:v>2.9</x:v>
      </x:c>
      <x:c r="J55" s="32" t="n">
        <x:v>18723.66</x:v>
      </x:c>
      <x:c r="K55" s="32" t="n">
        <x:v>851.08</x:v>
      </x:c>
      <x:c r="L55" s="32" t="n">
        <x:v>22</x:v>
      </x:c>
      <x:c r="M55" s="32" t="n">
        <x:v>12</x:v>
      </x:c>
      <x:c r="N55" s="36" t="n">
        <x:v>0.95</x:v>
      </x:c>
      <x:c r="O55" s="28" t="str">
        <x:v>Não</x:v>
      </x:c>
      <x:c r="P55" s="28" t="str">
        <x:v>Médio</x:v>
      </x:c>
      <x:c r="Q55" s="32" t="n">
        <x:v>382</x:v>
      </x:c>
      <x:c r="R55" s="30" t="n">
        <x:v>0</x:v>
      </x:c>
      <x:c r="S55" s="30" t="n">
        <x:v>0</x:v>
      </x:c>
      <x:c r="T55" s="28" t="str">
        <x:v>Cobertura abaixo do nível de atenção</x:v>
      </x:c>
    </x:row>
    <x:row r="56">
      <x:c r="A56" s="34" t="n">
        <x:v>45352</x:v>
      </x:c>
      <x:c r="B56" s="28" t="str">
        <x:v>Grupo Industrial S.A.</x:v>
      </x:c>
      <x:c r="C56" s="28" t="str">
        <x:v>Planta Campinas</x:v>
      </x:c>
      <x:c r="D56" s="28" t="str">
        <x:v>Aditivo A3</x:v>
      </x:c>
      <x:c r="E56" s="28" t="str">
        <x:v>Fornecedor D</x:v>
      </x:c>
      <x:c r="F56" s="28" t="str">
        <x:v>Insumo</x:v>
      </x:c>
      <x:c r="G56" s="32" t="n">
        <x:v>28546.13</x:v>
      </x:c>
      <x:c r="H56" s="32" t="n">
        <x:v>29927.02</x:v>
      </x:c>
      <x:c r="I56" s="30" t="n">
        <x:v>16.49</x:v>
      </x:c>
      <x:c r="J56" s="32" t="n">
        <x:v>24134.69</x:v>
      </x:c>
      <x:c r="K56" s="32" t="n">
        <x:v>965.39</x:v>
      </x:c>
      <x:c r="L56" s="32" t="n">
        <x:v>25</x:v>
      </x:c>
      <x:c r="M56" s="32" t="n">
        <x:v>8</x:v>
      </x:c>
      <x:c r="N56" s="36" t="n">
        <x:v>0.97</x:v>
      </x:c>
      <x:c r="O56" s="28" t="str">
        <x:v>Não</x:v>
      </x:c>
      <x:c r="P56" s="28" t="str">
        <x:v>Baixo</x:v>
      </x:c>
      <x:c r="Q56" s="32" t="n">
        <x:v>0</x:v>
      </x:c>
      <x:c r="R56" s="30" t="n">
        <x:v>0</x:v>
      </x:c>
      <x:c r="S56" s="30" t="n">
        <x:v>0</x:v>
      </x:c>
      <x:c r="T56" s="28" t="str">
        <x:v>Cobertura adequada</x:v>
      </x:c>
    </x:row>
    <x:row r="57">
      <x:c r="A57" s="34" t="n">
        <x:v>45352</x:v>
      </x:c>
      <x:c r="B57" s="28" t="str">
        <x:v>Grupo Industrial S.A.</x:v>
      </x:c>
      <x:c r="C57" s="28" t="str">
        <x:v>Planta Campinas</x:v>
      </x:c>
      <x:c r="D57" s="28" t="str">
        <x:v>Masterbatch AZ</x:v>
      </x:c>
      <x:c r="E57" s="28" t="str">
        <x:v>Fornecedor D</x:v>
      </x:c>
      <x:c r="F57" s="28" t="str">
        <x:v>Insumo</x:v>
      </x:c>
      <x:c r="G57" s="32" t="n">
        <x:v>31473.94</x:v>
      </x:c>
      <x:c r="H57" s="32" t="n">
        <x:v>32378.99</x:v>
      </x:c>
      <x:c r="I57" s="30" t="n">
        <x:v>22.91</x:v>
      </x:c>
      <x:c r="J57" s="32" t="n">
        <x:v>39690.37</x:v>
      </x:c>
      <x:c r="K57" s="32" t="n">
        <x:v>1044.48</x:v>
      </x:c>
      <x:c r="L57" s="32" t="n">
        <x:v>38</x:v>
      </x:c>
      <x:c r="M57" s="32" t="n">
        <x:v>10</x:v>
      </x:c>
      <x:c r="N57" s="36" t="n">
        <x:v>0.91</x:v>
      </x:c>
      <x:c r="O57" s="28" t="str">
        <x:v>Não</x:v>
      </x:c>
      <x:c r="P57" s="28" t="str">
        <x:v>Baixo</x:v>
      </x:c>
      <x:c r="Q57" s="32" t="n">
        <x:v>0</x:v>
      </x:c>
      <x:c r="R57" s="30" t="n">
        <x:v>0</x:v>
      </x:c>
      <x:c r="S57" s="30" t="n">
        <x:v>70502.64</x:v>
      </x:c>
      <x:c r="T57" s="28" t="str">
        <x:v>Cobertura adequada</x:v>
      </x:c>
    </x:row>
    <x:row r="58">
      <x:c r="A58" s="34" t="n">
        <x:v>45352</x:v>
      </x:c>
      <x:c r="B58" s="28" t="str">
        <x:v>Grupo Industrial S.A.</x:v>
      </x:c>
      <x:c r="C58" s="28" t="str">
        <x:v>Planta Curitiba</x:v>
      </x:c>
      <x:c r="D58" s="28" t="str">
        <x:v>Filme PE 500mm</x:v>
      </x:c>
      <x:c r="E58" s="28" t="str">
        <x:v>Fornecedor A</x:v>
      </x:c>
      <x:c r="F58" s="28" t="str">
        <x:v>Embalagem</x:v>
      </x:c>
      <x:c r="G58" s="32" t="n">
        <x:v>13000.1</x:v>
      </x:c>
      <x:c r="H58" s="32" t="n">
        <x:v>13404.34</x:v>
      </x:c>
      <x:c r="I58" s="30" t="n">
        <x:v>12.62</x:v>
      </x:c>
      <x:c r="J58" s="32" t="n">
        <x:v>16431.12</x:v>
      </x:c>
      <x:c r="K58" s="32" t="n">
        <x:v>432.4</x:v>
      </x:c>
      <x:c r="L58" s="32" t="n">
        <x:v>38</x:v>
      </x:c>
      <x:c r="M58" s="32" t="n">
        <x:v>12</x:v>
      </x:c>
      <x:c r="N58" s="36" t="n">
        <x:v>0.93</x:v>
      </x:c>
      <x:c r="O58" s="28" t="str">
        <x:v>Não</x:v>
      </x:c>
      <x:c r="P58" s="28" t="str">
        <x:v>Baixo</x:v>
      </x:c>
      <x:c r="Q58" s="32" t="n">
        <x:v>0</x:v>
      </x:c>
      <x:c r="R58" s="30" t="n">
        <x:v>0</x:v>
      </x:c>
      <x:c r="S58" s="30" t="n">
        <x:v>16085.2</x:v>
      </x:c>
      <x:c r="T58" s="28" t="str">
        <x:v>Cobertura adequada</x:v>
      </x:c>
    </x:row>
    <x:row r="59">
      <x:c r="A59" s="34" t="n">
        <x:v>45352</x:v>
      </x:c>
      <x:c r="B59" s="28" t="str">
        <x:v>Grupo Industrial S.A.</x:v>
      </x:c>
      <x:c r="C59" s="28" t="str">
        <x:v>Planta Curitiba</x:v>
      </x:c>
      <x:c r="D59" s="28" t="str">
        <x:v>Resina PP H103</x:v>
      </x:c>
      <x:c r="E59" s="28" t="str">
        <x:v>Fornecedor B</x:v>
      </x:c>
      <x:c r="F59" s="28" t="str">
        <x:v>Resina</x:v>
      </x:c>
      <x:c r="G59" s="32" t="n">
        <x:v>15736.97</x:v>
      </x:c>
      <x:c r="H59" s="32" t="n">
        <x:v>16019.3</x:v>
      </x:c>
      <x:c r="I59" s="30" t="n">
        <x:v>8.86</x:v>
      </x:c>
      <x:c r="J59" s="32" t="n">
        <x:v>11368.53</x:v>
      </x:c>
      <x:c r="K59" s="32" t="n">
        <x:v>516.75</x:v>
      </x:c>
      <x:c r="L59" s="32" t="n">
        <x:v>22</x:v>
      </x:c>
      <x:c r="M59" s="32" t="n">
        <x:v>8</x:v>
      </x:c>
      <x:c r="N59" s="36" t="n">
        <x:v>0.91</x:v>
      </x:c>
      <x:c r="O59" s="28" t="str">
        <x:v>Não</x:v>
      </x:c>
      <x:c r="P59" s="28" t="str">
        <x:v>Médio</x:v>
      </x:c>
      <x:c r="Q59" s="32" t="n">
        <x:v>232</x:v>
      </x:c>
      <x:c r="R59" s="30" t="n">
        <x:v>0</x:v>
      </x:c>
      <x:c r="S59" s="30" t="n">
        <x:v>0</x:v>
      </x:c>
      <x:c r="T59" s="28" t="str">
        <x:v>Cobertura abaixo do nível de atenção</x:v>
      </x:c>
    </x:row>
    <x:row r="60">
      <x:c r="A60" s="34" t="n">
        <x:v>45352</x:v>
      </x:c>
      <x:c r="B60" s="28" t="str">
        <x:v>Grupo Industrial S.A.</x:v>
      </x:c>
      <x:c r="C60" s="28" t="str">
        <x:v>Planta Curitiba</x:v>
      </x:c>
      <x:c r="D60" s="28" t="str">
        <x:v>Tampa 28mm</x:v>
      </x:c>
      <x:c r="E60" s="28" t="str">
        <x:v>Fornecedor C</x:v>
      </x:c>
      <x:c r="F60" s="28" t="str">
        <x:v>Embalagem</x:v>
      </x:c>
      <x:c r="G60" s="32" t="n">
        <x:v>18473.83</x:v>
      </x:c>
      <x:c r="H60" s="32" t="n">
        <x:v>19320.38</x:v>
      </x:c>
      <x:c r="I60" s="30" t="n">
        <x:v>0.37</x:v>
      </x:c>
      <x:c r="J60" s="32" t="n">
        <x:v>15580.96</x:v>
      </x:c>
      <x:c r="K60" s="32" t="n">
        <x:v>623.24</x:v>
      </x:c>
      <x:c r="L60" s="32" t="n">
        <x:v>25</x:v>
      </x:c>
      <x:c r="M60" s="32" t="n">
        <x:v>14</x:v>
      </x:c>
      <x:c r="N60" s="36" t="n">
        <x:v>0.97</x:v>
      </x:c>
      <x:c r="O60" s="28" t="str">
        <x:v>Não</x:v>
      </x:c>
      <x:c r="P60" s="28" t="str">
        <x:v>Baixo</x:v>
      </x:c>
      <x:c r="Q60" s="32" t="n">
        <x:v>0</x:v>
      </x:c>
      <x:c r="R60" s="30" t="n">
        <x:v>0</x:v>
      </x:c>
      <x:c r="S60" s="30" t="n">
        <x:v>0</x:v>
      </x:c>
      <x:c r="T60" s="28" t="str">
        <x:v>Cobertura adequada</x:v>
      </x:c>
    </x:row>
    <x:row r="61">
      <x:c r="A61" s="34" t="n">
        <x:v>45352</x:v>
      </x:c>
      <x:c r="B61" s="28" t="str">
        <x:v>Grupo Industrial S.A.</x:v>
      </x:c>
      <x:c r="C61" s="28" t="str">
        <x:v>Planta Curitiba</x:v>
      </x:c>
      <x:c r="D61" s="28" t="str">
        <x:v>Rótulo L-120</x:v>
      </x:c>
      <x:c r="E61" s="28" t="str">
        <x:v>Fornecedor E</x:v>
      </x:c>
      <x:c r="F61" s="28" t="str">
        <x:v>Embalagem</x:v>
      </x:c>
      <x:c r="G61" s="32" t="n">
        <x:v>21210.7</x:v>
      </x:c>
      <x:c r="H61" s="32" t="n">
        <x:v>22228.98</x:v>
      </x:c>
      <x:c r="I61" s="30" t="n">
        <x:v>0.18</x:v>
      </x:c>
      <x:c r="J61" s="32" t="n">
        <x:v>27248.42</x:v>
      </x:c>
      <x:c r="K61" s="32" t="n">
        <x:v>717.06</x:v>
      </x:c>
      <x:c r="L61" s="32" t="n">
        <x:v>38</x:v>
      </x:c>
      <x:c r="M61" s="32" t="n">
        <x:v>8</x:v>
      </x:c>
      <x:c r="N61" s="36" t="n">
        <x:v>0.97</x:v>
      </x:c>
      <x:c r="O61" s="28" t="str">
        <x:v>Não</x:v>
      </x:c>
      <x:c r="P61" s="28" t="str">
        <x:v>Baixo</x:v>
      </x:c>
      <x:c r="Q61" s="32" t="n">
        <x:v>0</x:v>
      </x:c>
      <x:c r="R61" s="30" t="n">
        <x:v>0</x:v>
      </x:c>
      <x:c r="S61" s="30" t="n">
        <x:v>387.21</x:v>
      </x:c>
      <x:c r="T61" s="28" t="str">
        <x:v>Cobertura adequada</x:v>
      </x:c>
    </x:row>
    <x:row r="62">
      <x:c r="A62" s="34" t="n">
        <x:v>45352</x:v>
      </x:c>
      <x:c r="B62" s="28" t="str">
        <x:v>Grupo Industrial S.A.</x:v>
      </x:c>
      <x:c r="C62" s="28" t="str">
        <x:v>Planta Curitiba</x:v>
      </x:c>
      <x:c r="D62" s="28" t="str">
        <x:v>Caixa papelão P</x:v>
      </x:c>
      <x:c r="E62" s="28" t="str">
        <x:v>Fornecedor A</x:v>
      </x:c>
      <x:c r="F62" s="28" t="str">
        <x:v>Embalagem</x:v>
      </x:c>
      <x:c r="G62" s="32" t="n">
        <x:v>23947.56</x:v>
      </x:c>
      <x:c r="H62" s="32" t="n">
        <x:v>24539.02</x:v>
      </x:c>
      <x:c r="I62" s="30" t="n">
        <x:v>2.9</x:v>
      </x:c>
      <x:c r="J62" s="32" t="n">
        <x:v>25330.6</x:v>
      </x:c>
      <x:c r="K62" s="32" t="n">
        <x:v>791.58</x:v>
      </x:c>
      <x:c r="L62" s="32" t="n">
        <x:v>32</x:v>
      </x:c>
      <x:c r="M62" s="32" t="n">
        <x:v>8</x:v>
      </x:c>
      <x:c r="N62" s="36" t="n">
        <x:v>0.93</x:v>
      </x:c>
      <x:c r="O62" s="28" t="str">
        <x:v>Não</x:v>
      </x:c>
      <x:c r="P62" s="28" t="str">
        <x:v>Baixo</x:v>
      </x:c>
      <x:c r="Q62" s="32" t="n">
        <x:v>0</x:v>
      </x:c>
      <x:c r="R62" s="30" t="n">
        <x:v>0</x:v>
      </x:c>
      <x:c r="S62" s="30" t="n">
        <x:v>0</x:v>
      </x:c>
      <x:c r="T62" s="28" t="str">
        <x:v>Cobertura adequada</x:v>
      </x:c>
    </x:row>
    <x:row r="63">
      <x:c r="A63" s="34" t="n">
        <x:v>45352</x:v>
      </x:c>
      <x:c r="B63" s="28" t="str">
        <x:v>Grupo Industrial S.A.</x:v>
      </x:c>
      <x:c r="C63" s="28" t="str">
        <x:v>Planta Curitiba</x:v>
      </x:c>
      <x:c r="D63" s="28" t="str">
        <x:v>Aditivo A3</x:v>
      </x:c>
      <x:c r="E63" s="28" t="str">
        <x:v>Fornecedor D</x:v>
      </x:c>
      <x:c r="F63" s="28" t="str">
        <x:v>Insumo</x:v>
      </x:c>
      <x:c r="G63" s="32" t="n">
        <x:v>26684.42</x:v>
      </x:c>
      <x:c r="H63" s="32" t="n">
        <x:v>27684.39</x:v>
      </x:c>
      <x:c r="I63" s="30" t="n">
        <x:v>16.49</x:v>
      </x:c>
      <x:c r="J63" s="32" t="n">
        <x:v>28577.44</x:v>
      </x:c>
      <x:c r="K63" s="32" t="n">
        <x:v>893.04</x:v>
      </x:c>
      <x:c r="L63" s="32" t="n">
        <x:v>32</x:v>
      </x:c>
      <x:c r="M63" s="32" t="n">
        <x:v>8</x:v>
      </x:c>
      <x:c r="N63" s="36" t="n">
        <x:v>0.93</x:v>
      </x:c>
      <x:c r="O63" s="28" t="str">
        <x:v>Não</x:v>
      </x:c>
      <x:c r="P63" s="28" t="str">
        <x:v>Baixo</x:v>
      </x:c>
      <x:c r="Q63" s="32" t="n">
        <x:v>0</x:v>
      </x:c>
      <x:c r="R63" s="30" t="n">
        <x:v>0</x:v>
      </x:c>
      <x:c r="S63" s="30" t="n">
        <x:v>0</x:v>
      </x:c>
      <x:c r="T63" s="28" t="str">
        <x:v>Cobertura adequada</x:v>
      </x:c>
    </x:row>
    <x:row r="64">
      <x:c r="A64" s="34" t="n">
        <x:v>45352</x:v>
      </x:c>
      <x:c r="B64" s="28" t="str">
        <x:v>Grupo Industrial S.A.</x:v>
      </x:c>
      <x:c r="C64" s="28" t="str">
        <x:v>Planta Curitiba</x:v>
      </x:c>
      <x:c r="D64" s="28" t="str">
        <x:v>Masterbatch AZ</x:v>
      </x:c>
      <x:c r="E64" s="28" t="str">
        <x:v>Fornecedor D</x:v>
      </x:c>
      <x:c r="F64" s="28" t="str">
        <x:v>Insumo</x:v>
      </x:c>
      <x:c r="G64" s="32" t="n">
        <x:v>29421.29</x:v>
      </x:c>
      <x:c r="H64" s="32" t="n">
        <x:v>30634.15</x:v>
      </x:c>
      <x:c r="I64" s="30" t="n">
        <x:v>22.91</x:v>
      </x:c>
      <x:c r="J64" s="32" t="n">
        <x:v>17787.57</x:v>
      </x:c>
      <x:c r="K64" s="32" t="n">
        <x:v>988.2</x:v>
      </x:c>
      <x:c r="L64" s="32" t="n">
        <x:v>18</x:v>
      </x:c>
      <x:c r="M64" s="32" t="n">
        <x:v>14</x:v>
      </x:c>
      <x:c r="N64" s="36" t="n">
        <x:v>0.93</x:v>
      </x:c>
      <x:c r="O64" s="28" t="str">
        <x:v>Não</x:v>
      </x:c>
      <x:c r="P64" s="28" t="str">
        <x:v>Médio</x:v>
      </x:c>
      <x:c r="Q64" s="32" t="n">
        <x:v>1037</x:v>
      </x:c>
      <x:c r="R64" s="30" t="n">
        <x:v>1334.07</x:v>
      </x:c>
      <x:c r="S64" s="30" t="n">
        <x:v>0</x:v>
      </x:c>
      <x:c r="T64" s="28" t="str">
        <x:v>Cobertura abaixo do nível de atenção</x:v>
      </x:c>
    </x:row>
    <x:row r="65">
      <x:c r="A65" s="34" t="n">
        <x:v>45383</x:v>
      </x:c>
      <x:c r="B65" s="28" t="str">
        <x:v>Grupo Industrial S.A.</x:v>
      </x:c>
      <x:c r="C65" s="28" t="str">
        <x:v>Planta São Paulo</x:v>
      </x:c>
      <x:c r="D65" s="28" t="str">
        <x:v>Filme PE 500mm</x:v>
      </x:c>
      <x:c r="E65" s="28" t="str">
        <x:v>Fornecedor A</x:v>
      </x:c>
      <x:c r="F65" s="28" t="str">
        <x:v>Embalagem</x:v>
      </x:c>
      <x:c r="G65" s="32" t="n">
        <x:v>17784</x:v>
      </x:c>
      <x:c r="H65" s="32" t="n">
        <x:v>18592.06</x:v>
      </x:c>
      <x:c r="I65" s="30" t="n">
        <x:v>12.7</x:v>
      </x:c>
      <x:c r="J65" s="32" t="n">
        <x:v>11155.23</x:v>
      </x:c>
      <x:c r="K65" s="32" t="n">
        <x:v>619.74</x:v>
      </x:c>
      <x:c r="L65" s="32" t="n">
        <x:v>18</x:v>
      </x:c>
      <x:c r="M65" s="32" t="n">
        <x:v>14</x:v>
      </x:c>
      <x:c r="N65" s="36" t="n">
        <x:v>0.97</x:v>
      </x:c>
      <x:c r="O65" s="28" t="str">
        <x:v>Não</x:v>
      </x:c>
      <x:c r="P65" s="28" t="str">
        <x:v>Médio</x:v>
      </x:c>
      <x:c r="Q65" s="32" t="n">
        <x:v>650</x:v>
      </x:c>
      <x:c r="R65" s="30" t="n">
        <x:v>461.08</x:v>
      </x:c>
      <x:c r="S65" s="30" t="n">
        <x:v>0</x:v>
      </x:c>
      <x:c r="T65" s="28" t="str">
        <x:v>Cobertura abaixo do nível de atenção</x:v>
      </x:c>
    </x:row>
    <x:row r="66">
      <x:c r="A66" s="34" t="n">
        <x:v>45383</x:v>
      </x:c>
      <x:c r="B66" s="28" t="str">
        <x:v>Grupo Industrial S.A.</x:v>
      </x:c>
      <x:c r="C66" s="28" t="str">
        <x:v>Planta São Paulo</x:v>
      </x:c>
      <x:c r="D66" s="28" t="str">
        <x:v>Resina PP H103</x:v>
      </x:c>
      <x:c r="E66" s="28" t="str">
        <x:v>Fornecedor B</x:v>
      </x:c>
      <x:c r="F66" s="28" t="str">
        <x:v>Resina</x:v>
      </x:c>
      <x:c r="G66" s="32" t="n">
        <x:v>21528</x:v>
      </x:c>
      <x:c r="H66" s="32" t="n">
        <x:v>22362.38</x:v>
      </x:c>
      <x:c r="I66" s="30" t="n">
        <x:v>8.91</x:v>
      </x:c>
      <x:c r="J66" s="32" t="n">
        <x:v>33543.57</x:v>
      </x:c>
      <x:c r="K66" s="32" t="n">
        <x:v>745.41</x:v>
      </x:c>
      <x:c r="L66" s="32" t="n">
        <x:v>45</x:v>
      </x:c>
      <x:c r="M66" s="32" t="n">
        <x:v>14</x:v>
      </x:c>
      <x:c r="N66" s="36" t="n">
        <x:v>0.91</x:v>
      </x:c>
      <x:c r="O66" s="28" t="str">
        <x:v>Não</x:v>
      </x:c>
      <x:c r="P66" s="28" t="str">
        <x:v>Baixo</x:v>
      </x:c>
      <x:c r="Q66" s="32" t="n">
        <x:v>0</x:v>
      </x:c>
      <x:c r="R66" s="30" t="n">
        <x:v>0</x:v>
      </x:c>
      <x:c r="S66" s="30" t="n">
        <x:v>64850.9</x:v>
      </x:c>
      <x:c r="T66" s="28" t="str">
        <x:v>Cobertura adequada</x:v>
      </x:c>
    </x:row>
    <x:row r="67">
      <x:c r="A67" s="34" t="n">
        <x:v>45383</x:v>
      </x:c>
      <x:c r="B67" s="28" t="str">
        <x:v>Grupo Industrial S.A.</x:v>
      </x:c>
      <x:c r="C67" s="28" t="str">
        <x:v>Planta São Paulo</x:v>
      </x:c>
      <x:c r="D67" s="28" t="str">
        <x:v>Tampa 28mm</x:v>
      </x:c>
      <x:c r="E67" s="28" t="str">
        <x:v>Fornecedor C</x:v>
      </x:c>
      <x:c r="F67" s="28" t="str">
        <x:v>Embalagem</x:v>
      </x:c>
      <x:c r="G67" s="32" t="n">
        <x:v>25272</x:v>
      </x:c>
      <x:c r="H67" s="32" t="n">
        <x:v>25978.88</x:v>
      </x:c>
      <x:c r="I67" s="30" t="n">
        <x:v>0.37</x:v>
      </x:c>
      <x:c r="J67" s="32" t="n">
        <x:v>15587.33</x:v>
      </x:c>
      <x:c r="K67" s="32" t="n">
        <x:v>865.96</x:v>
      </x:c>
      <x:c r="L67" s="32" t="n">
        <x:v>18</x:v>
      </x:c>
      <x:c r="M67" s="32" t="n">
        <x:v>14</x:v>
      </x:c>
      <x:c r="N67" s="36" t="n">
        <x:v>0.91</x:v>
      </x:c>
      <x:c r="O67" s="28" t="str">
        <x:v>Não</x:v>
      </x:c>
      <x:c r="P67" s="28" t="str">
        <x:v>Médio</x:v>
      </x:c>
      <x:c r="Q67" s="32" t="n">
        <x:v>909</x:v>
      </x:c>
      <x:c r="R67" s="30" t="n">
        <x:v>18.7</x:v>
      </x:c>
      <x:c r="S67" s="30" t="n">
        <x:v>0</x:v>
      </x:c>
      <x:c r="T67" s="28" t="str">
        <x:v>Cobertura abaixo do nível de atenção</x:v>
      </x:c>
    </x:row>
    <x:row r="68">
      <x:c r="A68" s="34" t="n">
        <x:v>45383</x:v>
      </x:c>
      <x:c r="B68" s="28" t="str">
        <x:v>Grupo Industrial S.A.</x:v>
      </x:c>
      <x:c r="C68" s="28" t="str">
        <x:v>Planta São Paulo</x:v>
      </x:c>
      <x:c r="D68" s="28" t="str">
        <x:v>Rótulo L-120</x:v>
      </x:c>
      <x:c r="E68" s="28" t="str">
        <x:v>Fornecedor E</x:v>
      </x:c>
      <x:c r="F68" s="28" t="str">
        <x:v>Embalagem</x:v>
      </x:c>
      <x:c r="G68" s="32" t="n">
        <x:v>29016</x:v>
      </x:c>
      <x:c r="H68" s="32" t="n">
        <x:v>30011.9</x:v>
      </x:c>
      <x:c r="I68" s="30" t="n">
        <x:v>0.18</x:v>
      </x:c>
      <x:c r="J68" s="32" t="n">
        <x:v>38015.07</x:v>
      </x:c>
      <x:c r="K68" s="32" t="n">
        <x:v>1000.4</x:v>
      </x:c>
      <x:c r="L68" s="32" t="n">
        <x:v>38</x:v>
      </x:c>
      <x:c r="M68" s="32" t="n">
        <x:v>14</x:v>
      </x:c>
      <x:c r="N68" s="36" t="n">
        <x:v>0.97</x:v>
      </x:c>
      <x:c r="O68" s="28" t="str">
        <x:v>Não</x:v>
      </x:c>
      <x:c r="P68" s="28" t="str">
        <x:v>Baixo</x:v>
      </x:c>
      <x:c r="Q68" s="32" t="n">
        <x:v>0</x:v>
      </x:c>
      <x:c r="R68" s="30" t="n">
        <x:v>0</x:v>
      </x:c>
      <x:c r="S68" s="30" t="n">
        <x:v>540.21</x:v>
      </x:c>
      <x:c r="T68" s="28" t="str">
        <x:v>Cobertura adequada</x:v>
      </x:c>
    </x:row>
    <x:row r="69">
      <x:c r="A69" s="34" t="n">
        <x:v>45383</x:v>
      </x:c>
      <x:c r="B69" s="28" t="str">
        <x:v>Grupo Industrial S.A.</x:v>
      </x:c>
      <x:c r="C69" s="28" t="str">
        <x:v>Planta São Paulo</x:v>
      </x:c>
      <x:c r="D69" s="28" t="str">
        <x:v>Caixa papelão P</x:v>
      </x:c>
      <x:c r="E69" s="28" t="str">
        <x:v>Fornecedor A</x:v>
      </x:c>
      <x:c r="F69" s="28" t="str">
        <x:v>Embalagem</x:v>
      </x:c>
      <x:c r="G69" s="32" t="n">
        <x:v>32760</x:v>
      </x:c>
      <x:c r="H69" s="32" t="n">
        <x:v>33755.43</x:v>
      </x:c>
      <x:c r="I69" s="30" t="n">
        <x:v>2.92</x:v>
      </x:c>
      <x:c r="J69" s="32" t="n">
        <x:v>28129.52</x:v>
      </x:c>
      <x:c r="K69" s="32" t="n">
        <x:v>1125.18</x:v>
      </x:c>
      <x:c r="L69" s="32" t="n">
        <x:v>25</x:v>
      </x:c>
      <x:c r="M69" s="32" t="n">
        <x:v>8</x:v>
      </x:c>
      <x:c r="N69" s="36" t="n">
        <x:v>0.91</x:v>
      </x:c>
      <x:c r="O69" s="28" t="str">
        <x:v>Não</x:v>
      </x:c>
      <x:c r="P69" s="28" t="str">
        <x:v>Baixo</x:v>
      </x:c>
      <x:c r="Q69" s="32" t="n">
        <x:v>0</x:v>
      </x:c>
      <x:c r="R69" s="30" t="n">
        <x:v>0</x:v>
      </x:c>
      <x:c r="S69" s="30" t="n">
        <x:v>0</x:v>
      </x:c>
      <x:c r="T69" s="28" t="str">
        <x:v>Cobertura adequada</x:v>
      </x:c>
    </x:row>
    <x:row r="70">
      <x:c r="A70" s="34" t="n">
        <x:v>45383</x:v>
      </x:c>
      <x:c r="B70" s="28" t="str">
        <x:v>Grupo Industrial S.A.</x:v>
      </x:c>
      <x:c r="C70" s="28" t="str">
        <x:v>Planta São Paulo</x:v>
      </x:c>
      <x:c r="D70" s="28" t="str">
        <x:v>Aditivo A3</x:v>
      </x:c>
      <x:c r="E70" s="28" t="str">
        <x:v>Fornecedor D</x:v>
      </x:c>
      <x:c r="F70" s="28" t="str">
        <x:v>Insumo</x:v>
      </x:c>
      <x:c r="G70" s="32" t="n">
        <x:v>36504</x:v>
      </x:c>
      <x:c r="H70" s="32" t="n">
        <x:v>37787.84</x:v>
      </x:c>
      <x:c r="I70" s="30" t="n">
        <x:v>16.59</x:v>
      </x:c>
      <x:c r="J70" s="32" t="n">
        <x:v>47864.6</x:v>
      </x:c>
      <x:c r="K70" s="32" t="n">
        <x:v>1259.59</x:v>
      </x:c>
      <x:c r="L70" s="32" t="n">
        <x:v>38</x:v>
      </x:c>
      <x:c r="M70" s="32" t="n">
        <x:v>12</x:v>
      </x:c>
      <x:c r="N70" s="36" t="n">
        <x:v>0.95</x:v>
      </x:c>
      <x:c r="O70" s="28" t="str">
        <x:v>Não</x:v>
      </x:c>
      <x:c r="P70" s="28" t="str">
        <x:v>Baixo</x:v>
      </x:c>
      <x:c r="Q70" s="32" t="n">
        <x:v>0</x:v>
      </x:c>
      <x:c r="R70" s="30" t="n">
        <x:v>0</x:v>
      </x:c>
      <x:c r="S70" s="30" t="n">
        <x:v>61216.31</x:v>
      </x:c>
      <x:c r="T70" s="28" t="str">
        <x:v>Cobertura adequada</x:v>
      </x:c>
    </x:row>
    <x:row r="71">
      <x:c r="A71" s="34" t="n">
        <x:v>45383</x:v>
      </x:c>
      <x:c r="B71" s="28" t="str">
        <x:v>Grupo Industrial S.A.</x:v>
      </x:c>
      <x:c r="C71" s="28" t="str">
        <x:v>Planta São Paulo</x:v>
      </x:c>
      <x:c r="D71" s="28" t="str">
        <x:v>Masterbatch AZ</x:v>
      </x:c>
      <x:c r="E71" s="28" t="str">
        <x:v>Fornecedor D</x:v>
      </x:c>
      <x:c r="F71" s="28" t="str">
        <x:v>Insumo</x:v>
      </x:c>
      <x:c r="G71" s="32" t="n">
        <x:v>40248</x:v>
      </x:c>
      <x:c r="H71" s="32" t="n">
        <x:v>41043.8</x:v>
      </x:c>
      <x:c r="I71" s="30" t="n">
        <x:v>23.04</x:v>
      </x:c>
      <x:c r="J71" s="32" t="n">
        <x:v>43780.05</x:v>
      </x:c>
      <x:c r="K71" s="32" t="n">
        <x:v>1368.13</x:v>
      </x:c>
      <x:c r="L71" s="32" t="n">
        <x:v>32</x:v>
      </x:c>
      <x:c r="M71" s="32" t="n">
        <x:v>14</x:v>
      </x:c>
      <x:c r="N71" s="36" t="n">
        <x:v>0.97</x:v>
      </x:c>
      <x:c r="O71" s="28" t="str">
        <x:v>Não</x:v>
      </x:c>
      <x:c r="P71" s="28" t="str">
        <x:v>Baixo</x:v>
      </x:c>
      <x:c r="Q71" s="32" t="n">
        <x:v>0</x:v>
      </x:c>
      <x:c r="R71" s="30" t="n">
        <x:v>0</x:v>
      </x:c>
      <x:c r="S71" s="30" t="n">
        <x:v>0</x:v>
      </x:c>
      <x:c r="T71" s="28" t="str">
        <x:v>Cobertura adequada</x:v>
      </x:c>
    </x:row>
    <x:row r="72">
      <x:c r="A72" s="34" t="n">
        <x:v>45383</x:v>
      </x:c>
      <x:c r="B72" s="28" t="str">
        <x:v>Grupo Industrial S.A.</x:v>
      </x:c>
      <x:c r="C72" s="28" t="str">
        <x:v>Planta Campinas</x:v>
      </x:c>
      <x:c r="D72" s="28" t="str">
        <x:v>Filme PE 500mm</x:v>
      </x:c>
      <x:c r="E72" s="28" t="str">
        <x:v>Fornecedor A</x:v>
      </x:c>
      <x:c r="F72" s="28" t="str">
        <x:v>Embalagem</x:v>
      </x:c>
      <x:c r="G72" s="32" t="n">
        <x:v>13634.4</x:v>
      </x:c>
      <x:c r="H72" s="32" t="n">
        <x:v>14706.07</x:v>
      </x:c>
      <x:c r="I72" s="30" t="n">
        <x:v>12.7</x:v>
      </x:c>
      <x:c r="J72" s="32" t="n">
        <x:v>8823.64</x:v>
      </x:c>
      <x:c r="K72" s="32" t="n">
        <x:v>490.2</x:v>
      </x:c>
      <x:c r="L72" s="32" t="n">
        <x:v>18</x:v>
      </x:c>
      <x:c r="M72" s="32" t="n">
        <x:v>10</x:v>
      </x:c>
      <x:c r="N72" s="36" t="n">
        <x:v>0.91</x:v>
      </x:c>
      <x:c r="O72" s="28" t="str">
        <x:v>Não</x:v>
      </x:c>
      <x:c r="P72" s="28" t="str">
        <x:v>Médio</x:v>
      </x:c>
      <x:c r="Q72" s="32" t="n">
        <x:v>514</x:v>
      </x:c>
      <x:c r="R72" s="30" t="n">
        <x:v>0</x:v>
      </x:c>
      <x:c r="S72" s="30" t="n">
        <x:v>0</x:v>
      </x:c>
      <x:c r="T72" s="28" t="str">
        <x:v>Cobertura abaixo do nível de atenção</x:v>
      </x:c>
    </x:row>
    <x:row r="73">
      <x:c r="A73" s="34" t="n">
        <x:v>45383</x:v>
      </x:c>
      <x:c r="B73" s="28" t="str">
        <x:v>Grupo Industrial S.A.</x:v>
      </x:c>
      <x:c r="C73" s="28" t="str">
        <x:v>Planta Campinas</x:v>
      </x:c>
      <x:c r="D73" s="28" t="str">
        <x:v>Resina PP H103</x:v>
      </x:c>
      <x:c r="E73" s="28" t="str">
        <x:v>Fornecedor B</x:v>
      </x:c>
      <x:c r="F73" s="28" t="str">
        <x:v>Resina</x:v>
      </x:c>
      <x:c r="G73" s="32" t="n">
        <x:v>16504.8</x:v>
      </x:c>
      <x:c r="H73" s="32" t="n">
        <x:v>18019.39</x:v>
      </x:c>
      <x:c r="I73" s="30" t="n">
        <x:v>8.91</x:v>
      </x:c>
      <x:c r="J73" s="32" t="n">
        <x:v>6006.46</x:v>
      </x:c>
      <x:c r="K73" s="32" t="n">
        <x:v>600.65</x:v>
      </x:c>
      <x:c r="L73" s="32" t="n">
        <x:v>10</x:v>
      </x:c>
      <x:c r="M73" s="32" t="n">
        <x:v>16</x:v>
      </x:c>
      <x:c r="N73" s="36" t="n">
        <x:v>0.85</x:v>
      </x:c>
      <x:c r="O73" s="28" t="str">
        <x:v>Risco</x:v>
      </x:c>
      <x:c r="P73" s="28" t="str">
        <x:v>Alto</x:v>
      </x:c>
      <x:c r="Q73" s="32" t="n">
        <x:v>2973</x:v>
      </x:c>
      <x:c r="R73" s="30" t="n">
        <x:v>3448.91</x:v>
      </x:c>
      <x:c r="S73" s="30" t="n">
        <x:v>0</x:v>
      </x:c>
      <x:c r="T73" s="28" t="str">
        <x:v>Cobertura &lt; lead time + margem de segurança</x:v>
      </x:c>
    </x:row>
    <x:row r="74">
      <x:c r="A74" s="34" t="n">
        <x:v>45383</x:v>
      </x:c>
      <x:c r="B74" s="28" t="str">
        <x:v>Grupo Industrial S.A.</x:v>
      </x:c>
      <x:c r="C74" s="28" t="str">
        <x:v>Planta Campinas</x:v>
      </x:c>
      <x:c r="D74" s="28" t="str">
        <x:v>Tampa 28mm</x:v>
      </x:c>
      <x:c r="E74" s="28" t="str">
        <x:v>Fornecedor C</x:v>
      </x:c>
      <x:c r="F74" s="28" t="str">
        <x:v>Embalagem</x:v>
      </x:c>
      <x:c r="G74" s="32" t="n">
        <x:v>19375.2</x:v>
      </x:c>
      <x:c r="H74" s="32" t="n">
        <x:v>19789.58</x:v>
      </x:c>
      <x:c r="I74" s="30" t="n">
        <x:v>0.37</x:v>
      </x:c>
      <x:c r="J74" s="32" t="n">
        <x:v>7915.83</x:v>
      </x:c>
      <x:c r="K74" s="32" t="n">
        <x:v>659.65</x:v>
      </x:c>
      <x:c r="L74" s="32" t="n">
        <x:v>12</x:v>
      </x:c>
      <x:c r="M74" s="32" t="n">
        <x:v>14</x:v>
      </x:c>
      <x:c r="N74" s="36" t="n">
        <x:v>0.88</x:v>
      </x:c>
      <x:c r="O74" s="28" t="str">
        <x:v>Risco</x:v>
      </x:c>
      <x:c r="P74" s="28" t="str">
        <x:v>Alto</x:v>
      </x:c>
      <x:c r="Q74" s="32" t="n">
        <x:v>1814</x:v>
      </x:c>
      <x:c r="R74" s="30" t="n">
        <x:v>99.74</x:v>
      </x:c>
      <x:c r="S74" s="30" t="n">
        <x:v>0</x:v>
      </x:c>
      <x:c r="T74" s="28" t="str">
        <x:v>Cobertura &lt; lead time + margem de segurança</x:v>
      </x:c>
    </x:row>
    <x:row r="75">
      <x:c r="A75" s="34" t="n">
        <x:v>45383</x:v>
      </x:c>
      <x:c r="B75" s="28" t="str">
        <x:v>Grupo Industrial S.A.</x:v>
      </x:c>
      <x:c r="C75" s="28" t="str">
        <x:v>Planta Campinas</x:v>
      </x:c>
      <x:c r="D75" s="28" t="str">
        <x:v>Rótulo L-120</x:v>
      </x:c>
      <x:c r="E75" s="28" t="str">
        <x:v>Fornecedor E</x:v>
      </x:c>
      <x:c r="F75" s="28" t="str">
        <x:v>Embalagem</x:v>
      </x:c>
      <x:c r="G75" s="32" t="n">
        <x:v>22245.6</x:v>
      </x:c>
      <x:c r="H75" s="32" t="n">
        <x:v>22931.55</x:v>
      </x:c>
      <x:c r="I75" s="30" t="n">
        <x:v>0.18</x:v>
      </x:c>
      <x:c r="J75" s="32" t="n">
        <x:v>13758.93</x:v>
      </x:c>
      <x:c r="K75" s="32" t="n">
        <x:v>764.38</x:v>
      </x:c>
      <x:c r="L75" s="32" t="n">
        <x:v>18</x:v>
      </x:c>
      <x:c r="M75" s="32" t="n">
        <x:v>12</x:v>
      </x:c>
      <x:c r="N75" s="36" t="n">
        <x:v>0.95</x:v>
      </x:c>
      <x:c r="O75" s="28" t="str">
        <x:v>Não</x:v>
      </x:c>
      <x:c r="P75" s="28" t="str">
        <x:v>Médio</x:v>
      </x:c>
      <x:c r="Q75" s="32" t="n">
        <x:v>802</x:v>
      </x:c>
      <x:c r="R75" s="30" t="n">
        <x:v>0</x:v>
      </x:c>
      <x:c r="S75" s="30" t="n">
        <x:v>0</x:v>
      </x:c>
      <x:c r="T75" s="28" t="str">
        <x:v>Cobertura abaixo do nível de atenção</x:v>
      </x:c>
    </x:row>
    <x:row r="76">
      <x:c r="A76" s="34" t="n">
        <x:v>45383</x:v>
      </x:c>
      <x:c r="B76" s="28" t="str">
        <x:v>Grupo Industrial S.A.</x:v>
      </x:c>
      <x:c r="C76" s="28" t="str">
        <x:v>Planta Campinas</x:v>
      </x:c>
      <x:c r="D76" s="28" t="str">
        <x:v>Caixa papelão P</x:v>
      </x:c>
      <x:c r="E76" s="28" t="str">
        <x:v>Fornecedor A</x:v>
      </x:c>
      <x:c r="F76" s="28" t="str">
        <x:v>Embalagem</x:v>
      </x:c>
      <x:c r="G76" s="32" t="n">
        <x:v>25116</x:v>
      </x:c>
      <x:c r="H76" s="32" t="n">
        <x:v>25766.99</x:v>
      </x:c>
      <x:c r="I76" s="30" t="n">
        <x:v>2.92</x:v>
      </x:c>
      <x:c r="J76" s="32" t="n">
        <x:v>21472.49</x:v>
      </x:c>
      <x:c r="K76" s="32" t="n">
        <x:v>858.9</x:v>
      </x:c>
      <x:c r="L76" s="32" t="n">
        <x:v>25</x:v>
      </x:c>
      <x:c r="M76" s="32" t="n">
        <x:v>10</x:v>
      </x:c>
      <x:c r="N76" s="36" t="n">
        <x:v>0.91</x:v>
      </x:c>
      <x:c r="O76" s="28" t="str">
        <x:v>Não</x:v>
      </x:c>
      <x:c r="P76" s="28" t="str">
        <x:v>Baixo</x:v>
      </x:c>
      <x:c r="Q76" s="32" t="n">
        <x:v>0</x:v>
      </x:c>
      <x:c r="R76" s="30" t="n">
        <x:v>0</x:v>
      </x:c>
      <x:c r="S76" s="30" t="n">
        <x:v>0</x:v>
      </x:c>
      <x:c r="T76" s="28" t="str">
        <x:v>Cobertura adequada</x:v>
      </x:c>
    </x:row>
    <x:row r="77">
      <x:c r="A77" s="34" t="n">
        <x:v>45383</x:v>
      </x:c>
      <x:c r="B77" s="28" t="str">
        <x:v>Grupo Industrial S.A.</x:v>
      </x:c>
      <x:c r="C77" s="28" t="str">
        <x:v>Planta Campinas</x:v>
      </x:c>
      <x:c r="D77" s="28" t="str">
        <x:v>Aditivo A3</x:v>
      </x:c>
      <x:c r="E77" s="28" t="str">
        <x:v>Fornecedor D</x:v>
      </x:c>
      <x:c r="F77" s="28" t="str">
        <x:v>Insumo</x:v>
      </x:c>
      <x:c r="G77" s="32" t="n">
        <x:v>27986.4</x:v>
      </x:c>
      <x:c r="H77" s="32" t="n">
        <x:v>28414.29</x:v>
      </x:c>
      <x:c r="I77" s="30" t="n">
        <x:v>16.59</x:v>
      </x:c>
      <x:c r="J77" s="32" t="n">
        <x:v>20837.14</x:v>
      </x:c>
      <x:c r="K77" s="32" t="n">
        <x:v>947.14</x:v>
      </x:c>
      <x:c r="L77" s="32" t="n">
        <x:v>22</x:v>
      </x:c>
      <x:c r="M77" s="32" t="n">
        <x:v>14</x:v>
      </x:c>
      <x:c r="N77" s="36" t="n">
        <x:v>0.95</x:v>
      </x:c>
      <x:c r="O77" s="28" t="str">
        <x:v>Não</x:v>
      </x:c>
      <x:c r="P77" s="28" t="str">
        <x:v>Médio</x:v>
      </x:c>
      <x:c r="Q77" s="32" t="n">
        <x:v>426</x:v>
      </x:c>
      <x:c r="R77" s="30" t="n">
        <x:v>0</x:v>
      </x:c>
      <x:c r="S77" s="30" t="n">
        <x:v>0</x:v>
      </x:c>
      <x:c r="T77" s="28" t="str">
        <x:v>Cobertura abaixo do nível de atenção</x:v>
      </x:c>
    </x:row>
    <x:row r="78">
      <x:c r="A78" s="34" t="n">
        <x:v>45383</x:v>
      </x:c>
      <x:c r="B78" s="28" t="str">
        <x:v>Grupo Industrial S.A.</x:v>
      </x:c>
      <x:c r="C78" s="28" t="str">
        <x:v>Planta Campinas</x:v>
      </x:c>
      <x:c r="D78" s="28" t="str">
        <x:v>Masterbatch AZ</x:v>
      </x:c>
      <x:c r="E78" s="28" t="str">
        <x:v>Fornecedor D</x:v>
      </x:c>
      <x:c r="F78" s="28" t="str">
        <x:v>Insumo</x:v>
      </x:c>
      <x:c r="G78" s="32" t="n">
        <x:v>30856.8</x:v>
      </x:c>
      <x:c r="H78" s="32" t="n">
        <x:v>31759.28</x:v>
      </x:c>
      <x:c r="I78" s="30" t="n">
        <x:v>23.04</x:v>
      </x:c>
      <x:c r="J78" s="32" t="n">
        <x:v>33876.57</x:v>
      </x:c>
      <x:c r="K78" s="32" t="n">
        <x:v>1058.64</x:v>
      </x:c>
      <x:c r="L78" s="32" t="n">
        <x:v>32</x:v>
      </x:c>
      <x:c r="M78" s="32" t="n">
        <x:v>14</x:v>
      </x:c>
      <x:c r="N78" s="36" t="n">
        <x:v>0.95</x:v>
      </x:c>
      <x:c r="O78" s="28" t="str">
        <x:v>Não</x:v>
      </x:c>
      <x:c r="P78" s="28" t="str">
        <x:v>Baixo</x:v>
      </x:c>
      <x:c r="Q78" s="32" t="n">
        <x:v>0</x:v>
      </x:c>
      <x:c r="R78" s="30" t="n">
        <x:v>0</x:v>
      </x:c>
      <x:c r="S78" s="30" t="n">
        <x:v>0</x:v>
      </x:c>
      <x:c r="T78" s="28" t="str">
        <x:v>Cobertura adequada</x:v>
      </x:c>
    </x:row>
    <x:row r="79">
      <x:c r="A79" s="34" t="n">
        <x:v>45383</x:v>
      </x:c>
      <x:c r="B79" s="28" t="str">
        <x:v>Grupo Industrial S.A.</x:v>
      </x:c>
      <x:c r="C79" s="28" t="str">
        <x:v>Planta Curitiba</x:v>
      </x:c>
      <x:c r="D79" s="28" t="str">
        <x:v>Filme PE 500mm</x:v>
      </x:c>
      <x:c r="E79" s="28" t="str">
        <x:v>Fornecedor A</x:v>
      </x:c>
      <x:c r="F79" s="28" t="str">
        <x:v>Embalagem</x:v>
      </x:c>
      <x:c r="G79" s="32" t="n">
        <x:v>12745.2</x:v>
      </x:c>
      <x:c r="H79" s="32" t="n">
        <x:v>13069.14</x:v>
      </x:c>
      <x:c r="I79" s="30" t="n">
        <x:v>12.7</x:v>
      </x:c>
      <x:c r="J79" s="32" t="n">
        <x:v>13940.42</x:v>
      </x:c>
      <x:c r="K79" s="32" t="n">
        <x:v>435.64</x:v>
      </x:c>
      <x:c r="L79" s="32" t="n">
        <x:v>32</x:v>
      </x:c>
      <x:c r="M79" s="32" t="n">
        <x:v>10</x:v>
      </x:c>
      <x:c r="N79" s="36" t="n">
        <x:v>0.95</x:v>
      </x:c>
      <x:c r="O79" s="28" t="str">
        <x:v>Não</x:v>
      </x:c>
      <x:c r="P79" s="28" t="str">
        <x:v>Baixo</x:v>
      </x:c>
      <x:c r="Q79" s="32" t="n">
        <x:v>0</x:v>
      </x:c>
      <x:c r="R79" s="30" t="n">
        <x:v>0</x:v>
      </x:c>
      <x:c r="S79" s="30" t="n">
        <x:v>0</x:v>
      </x:c>
      <x:c r="T79" s="28" t="str">
        <x:v>Cobertura adequada</x:v>
      </x:c>
    </x:row>
    <x:row r="80">
      <x:c r="A80" s="34" t="n">
        <x:v>45383</x:v>
      </x:c>
      <x:c r="B80" s="28" t="str">
        <x:v>Grupo Industrial S.A.</x:v>
      </x:c>
      <x:c r="C80" s="28" t="str">
        <x:v>Planta Curitiba</x:v>
      </x:c>
      <x:c r="D80" s="28" t="str">
        <x:v>Resina PP H103</x:v>
      </x:c>
      <x:c r="E80" s="28" t="str">
        <x:v>Fornecedor B</x:v>
      </x:c>
      <x:c r="F80" s="28" t="str">
        <x:v>Resina</x:v>
      </x:c>
      <x:c r="G80" s="32" t="n">
        <x:v>15428.4</x:v>
      </x:c>
      <x:c r="H80" s="32" t="n">
        <x:v>16046.85</x:v>
      </x:c>
      <x:c r="I80" s="30" t="n">
        <x:v>8.91</x:v>
      </x:c>
      <x:c r="J80" s="32" t="n">
        <x:v>17116.64</x:v>
      </x:c>
      <x:c r="K80" s="32" t="n">
        <x:v>534.89</x:v>
      </x:c>
      <x:c r="L80" s="32" t="n">
        <x:v>32</x:v>
      </x:c>
      <x:c r="M80" s="32" t="n">
        <x:v>14</x:v>
      </x:c>
      <x:c r="N80" s="36" t="n">
        <x:v>0.93</x:v>
      </x:c>
      <x:c r="O80" s="28" t="str">
        <x:v>Não</x:v>
      </x:c>
      <x:c r="P80" s="28" t="str">
        <x:v>Baixo</x:v>
      </x:c>
      <x:c r="Q80" s="32" t="n">
        <x:v>0</x:v>
      </x:c>
      <x:c r="R80" s="30" t="n">
        <x:v>0</x:v>
      </x:c>
      <x:c r="S80" s="30" t="n">
        <x:v>0</x:v>
      </x:c>
      <x:c r="T80" s="28" t="str">
        <x:v>Cobertura adequada</x:v>
      </x:c>
    </x:row>
    <x:row r="81">
      <x:c r="A81" s="34" t="n">
        <x:v>45383</x:v>
      </x:c>
      <x:c r="B81" s="28" t="str">
        <x:v>Grupo Industrial S.A.</x:v>
      </x:c>
      <x:c r="C81" s="28" t="str">
        <x:v>Planta Curitiba</x:v>
      </x:c>
      <x:c r="D81" s="28" t="str">
        <x:v>Tampa 28mm</x:v>
      </x:c>
      <x:c r="E81" s="28" t="str">
        <x:v>Fornecedor C</x:v>
      </x:c>
      <x:c r="F81" s="28" t="str">
        <x:v>Embalagem</x:v>
      </x:c>
      <x:c r="G81" s="32" t="n">
        <x:v>18111.6</x:v>
      </x:c>
      <x:c r="H81" s="32" t="n">
        <x:v>18419.7</x:v>
      </x:c>
      <x:c r="I81" s="30" t="n">
        <x:v>0.37</x:v>
      </x:c>
      <x:c r="J81" s="32" t="n">
        <x:v>13507.78</x:v>
      </x:c>
      <x:c r="K81" s="32" t="n">
        <x:v>613.99</x:v>
      </x:c>
      <x:c r="L81" s="32" t="n">
        <x:v>22</x:v>
      </x:c>
      <x:c r="M81" s="32" t="n">
        <x:v>12</x:v>
      </x:c>
      <x:c r="N81" s="36" t="n">
        <x:v>0.93</x:v>
      </x:c>
      <x:c r="O81" s="28" t="str">
        <x:v>Não</x:v>
      </x:c>
      <x:c r="P81" s="28" t="str">
        <x:v>Médio</x:v>
      </x:c>
      <x:c r="Q81" s="32" t="n">
        <x:v>276</x:v>
      </x:c>
      <x:c r="R81" s="30" t="n">
        <x:v>0</x:v>
      </x:c>
      <x:c r="S81" s="30" t="n">
        <x:v>0</x:v>
      </x:c>
      <x:c r="T81" s="28" t="str">
        <x:v>Cobertura abaixo do nível de atenção</x:v>
      </x:c>
    </x:row>
    <x:row r="82">
      <x:c r="A82" s="34" t="n">
        <x:v>45383</x:v>
      </x:c>
      <x:c r="B82" s="28" t="str">
        <x:v>Grupo Industrial S.A.</x:v>
      </x:c>
      <x:c r="C82" s="28" t="str">
        <x:v>Planta Curitiba</x:v>
      </x:c>
      <x:c r="D82" s="28" t="str">
        <x:v>Rótulo L-120</x:v>
      </x:c>
      <x:c r="E82" s="28" t="str">
        <x:v>Fornecedor E</x:v>
      </x:c>
      <x:c r="F82" s="28" t="str">
        <x:v>Embalagem</x:v>
      </x:c>
      <x:c r="G82" s="32" t="n">
        <x:v>20794.8</x:v>
      </x:c>
      <x:c r="H82" s="32" t="n">
        <x:v>21664.22</x:v>
      </x:c>
      <x:c r="I82" s="30" t="n">
        <x:v>0.18</x:v>
      </x:c>
      <x:c r="J82" s="32" t="n">
        <x:v>32496.33</x:v>
      </x:c>
      <x:c r="K82" s="32" t="n">
        <x:v>722.14</x:v>
      </x:c>
      <x:c r="L82" s="32" t="n">
        <x:v>45</x:v>
      </x:c>
      <x:c r="M82" s="32" t="n">
        <x:v>8</x:v>
      </x:c>
      <x:c r="N82" s="36" t="n">
        <x:v>0.91</x:v>
      </x:c>
      <x:c r="O82" s="28" t="str">
        <x:v>Não</x:v>
      </x:c>
      <x:c r="P82" s="28" t="str">
        <x:v>Baixo</x:v>
      </x:c>
      <x:c r="Q82" s="32" t="n">
        <x:v>0</x:v>
      </x:c>
      <x:c r="R82" s="30" t="n">
        <x:v>0</x:v>
      </x:c>
      <x:c r="S82" s="30" t="n">
        <x:v>1299.85</x:v>
      </x:c>
      <x:c r="T82" s="28" t="str">
        <x:v>Cobertura adequada</x:v>
      </x:c>
    </x:row>
    <x:row r="83">
      <x:c r="A83" s="34" t="n">
        <x:v>45383</x:v>
      </x:c>
      <x:c r="B83" s="28" t="str">
        <x:v>Grupo Industrial S.A.</x:v>
      </x:c>
      <x:c r="C83" s="28" t="str">
        <x:v>Planta Curitiba</x:v>
      </x:c>
      <x:c r="D83" s="28" t="str">
        <x:v>Caixa papelão P</x:v>
      </x:c>
      <x:c r="E83" s="28" t="str">
        <x:v>Fornecedor A</x:v>
      </x:c>
      <x:c r="F83" s="28" t="str">
        <x:v>Embalagem</x:v>
      </x:c>
      <x:c r="G83" s="32" t="n">
        <x:v>23478</x:v>
      </x:c>
      <x:c r="H83" s="32" t="n">
        <x:v>24050.71</x:v>
      </x:c>
      <x:c r="I83" s="30" t="n">
        <x:v>2.92</x:v>
      </x:c>
      <x:c r="J83" s="32" t="n">
        <x:v>14430.42</x:v>
      </x:c>
      <x:c r="K83" s="32" t="n">
        <x:v>801.69</x:v>
      </x:c>
      <x:c r="L83" s="32" t="n">
        <x:v>18</x:v>
      </x:c>
      <x:c r="M83" s="32" t="n">
        <x:v>14</x:v>
      </x:c>
      <x:c r="N83" s="36" t="n">
        <x:v>0.97</x:v>
      </x:c>
      <x:c r="O83" s="28" t="str">
        <x:v>Não</x:v>
      </x:c>
      <x:c r="P83" s="28" t="str">
        <x:v>Médio</x:v>
      </x:c>
      <x:c r="Q83" s="32" t="n">
        <x:v>841</x:v>
      </x:c>
      <x:c r="R83" s="30" t="n">
        <x:v>137.09</x:v>
      </x:c>
      <x:c r="S83" s="30" t="n">
        <x:v>0</x:v>
      </x:c>
      <x:c r="T83" s="28" t="str">
        <x:v>Cobertura abaixo do nível de atenção</x:v>
      </x:c>
    </x:row>
    <x:row r="84">
      <x:c r="A84" s="34" t="n">
        <x:v>45383</x:v>
      </x:c>
      <x:c r="B84" s="28" t="str">
        <x:v>Grupo Industrial S.A.</x:v>
      </x:c>
      <x:c r="C84" s="28" t="str">
        <x:v>Planta Curitiba</x:v>
      </x:c>
      <x:c r="D84" s="28" t="str">
        <x:v>Aditivo A3</x:v>
      </x:c>
      <x:c r="E84" s="28" t="str">
        <x:v>Fornecedor D</x:v>
      </x:c>
      <x:c r="F84" s="28" t="str">
        <x:v>Insumo</x:v>
      </x:c>
      <x:c r="G84" s="32" t="n">
        <x:v>26161.2</x:v>
      </x:c>
      <x:c r="H84" s="32" t="n">
        <x:v>26703.7</x:v>
      </x:c>
      <x:c r="I84" s="30" t="n">
        <x:v>16.59</x:v>
      </x:c>
      <x:c r="J84" s="32" t="n">
        <x:v>19582.71</x:v>
      </x:c>
      <x:c r="K84" s="32" t="n">
        <x:v>890.12</x:v>
      </x:c>
      <x:c r="L84" s="32" t="n">
        <x:v>22</x:v>
      </x:c>
      <x:c r="M84" s="32" t="n">
        <x:v>10</x:v>
      </x:c>
      <x:c r="N84" s="36" t="n">
        <x:v>0.91</x:v>
      </x:c>
      <x:c r="O84" s="28" t="str">
        <x:v>Não</x:v>
      </x:c>
      <x:c r="P84" s="28" t="str">
        <x:v>Médio</x:v>
      </x:c>
      <x:c r="Q84" s="32" t="n">
        <x:v>400</x:v>
      </x:c>
      <x:c r="R84" s="30" t="n">
        <x:v>0</x:v>
      </x:c>
      <x:c r="S84" s="30" t="n">
        <x:v>0</x:v>
      </x:c>
      <x:c r="T84" s="28" t="str">
        <x:v>Cobertura abaixo do nível de atenção</x:v>
      </x:c>
    </x:row>
    <x:row r="85">
      <x:c r="A85" s="34" t="n">
        <x:v>45383</x:v>
      </x:c>
      <x:c r="B85" s="28" t="str">
        <x:v>Grupo Industrial S.A.</x:v>
      </x:c>
      <x:c r="C85" s="28" t="str">
        <x:v>Planta Curitiba</x:v>
      </x:c>
      <x:c r="D85" s="28" t="str">
        <x:v>Masterbatch AZ</x:v>
      </x:c>
      <x:c r="E85" s="28" t="str">
        <x:v>Fornecedor D</x:v>
      </x:c>
      <x:c r="F85" s="28" t="str">
        <x:v>Insumo</x:v>
      </x:c>
      <x:c r="G85" s="32" t="n">
        <x:v>28844.4</x:v>
      </x:c>
      <x:c r="H85" s="32" t="n">
        <x:v>30143.61</x:v>
      </x:c>
      <x:c r="I85" s="30" t="n">
        <x:v>23.04</x:v>
      </x:c>
      <x:c r="J85" s="32" t="n">
        <x:v>38181.91</x:v>
      </x:c>
      <x:c r="K85" s="32" t="n">
        <x:v>1004.79</x:v>
      </x:c>
      <x:c r="L85" s="32" t="n">
        <x:v>38</x:v>
      </x:c>
      <x:c r="M85" s="32" t="n">
        <x:v>10</x:v>
      </x:c>
      <x:c r="N85" s="36" t="n">
        <x:v>0.93</x:v>
      </x:c>
      <x:c r="O85" s="28" t="str">
        <x:v>Não</x:v>
      </x:c>
      <x:c r="P85" s="28" t="str">
        <x:v>Baixo</x:v>
      </x:c>
      <x:c r="Q85" s="32" t="n">
        <x:v>0</x:v>
      </x:c>
      <x:c r="R85" s="30" t="n">
        <x:v>0</x:v>
      </x:c>
      <x:c r="S85" s="30" t="n">
        <x:v>67823.13</x:v>
      </x:c>
      <x:c r="T85" s="28" t="str">
        <x:v>Cobertura adequada</x:v>
      </x:c>
    </x:row>
    <x:row r="86">
      <x:c r="A86" s="34" t="n">
        <x:v>45413</x:v>
      </x:c>
      <x:c r="B86" s="28" t="str">
        <x:v>Grupo Industrial S.A.</x:v>
      </x:c>
      <x:c r="C86" s="28" t="str">
        <x:v>Planta São Paulo</x:v>
      </x:c>
      <x:c r="D86" s="28" t="str">
        <x:v>Filme PE 500mm</x:v>
      </x:c>
      <x:c r="E86" s="28" t="str">
        <x:v>Fornecedor A</x:v>
      </x:c>
      <x:c r="F86" s="28" t="str">
        <x:v>Embalagem</x:v>
      </x:c>
      <x:c r="G86" s="32" t="n">
        <x:v>18495.36</x:v>
      </x:c>
      <x:c r="H86" s="32" t="n">
        <x:v>18740.71</x:v>
      </x:c>
      <x:c r="I86" s="30" t="n">
        <x:v>12.77</x:v>
      </x:c>
      <x:c r="J86" s="32" t="n">
        <x:v>15113.48</x:v>
      </x:c>
      <x:c r="K86" s="32" t="n">
        <x:v>604.54</x:v>
      </x:c>
      <x:c r="L86" s="32" t="n">
        <x:v>25</x:v>
      </x:c>
      <x:c r="M86" s="32" t="n">
        <x:v>8</x:v>
      </x:c>
      <x:c r="N86" s="36" t="n">
        <x:v>0.93</x:v>
      </x:c>
      <x:c r="O86" s="28" t="str">
        <x:v>Não</x:v>
      </x:c>
      <x:c r="P86" s="28" t="str">
        <x:v>Baixo</x:v>
      </x:c>
      <x:c r="Q86" s="32" t="n">
        <x:v>0</x:v>
      </x:c>
      <x:c r="R86" s="30" t="n">
        <x:v>0</x:v>
      </x:c>
      <x:c r="S86" s="30" t="n">
        <x:v>0</x:v>
      </x:c>
      <x:c r="T86" s="28" t="str">
        <x:v>Cobertura adequada</x:v>
      </x:c>
    </x:row>
    <x:row r="87">
      <x:c r="A87" s="34" t="n">
        <x:v>45413</x:v>
      </x:c>
      <x:c r="B87" s="28" t="str">
        <x:v>Grupo Industrial S.A.</x:v>
      </x:c>
      <x:c r="C87" s="28" t="str">
        <x:v>Planta São Paulo</x:v>
      </x:c>
      <x:c r="D87" s="28" t="str">
        <x:v>Resina PP H103</x:v>
      </x:c>
      <x:c r="E87" s="28" t="str">
        <x:v>Fornecedor B</x:v>
      </x:c>
      <x:c r="F87" s="28" t="str">
        <x:v>Resina</x:v>
      </x:c>
      <x:c r="G87" s="32" t="n">
        <x:v>22389.12</x:v>
      </x:c>
      <x:c r="H87" s="32" t="n">
        <x:v>23154.02</x:v>
      </x:c>
      <x:c r="I87" s="30" t="n">
        <x:v>8.96</x:v>
      </x:c>
      <x:c r="J87" s="32" t="n">
        <x:v>18672.59</x:v>
      </x:c>
      <x:c r="K87" s="32" t="n">
        <x:v>746.9</x:v>
      </x:c>
      <x:c r="L87" s="32" t="n">
        <x:v>25</x:v>
      </x:c>
      <x:c r="M87" s="32" t="n">
        <x:v>12</x:v>
      </x:c>
      <x:c r="N87" s="36" t="n">
        <x:v>0.95</x:v>
      </x:c>
      <x:c r="O87" s="28" t="str">
        <x:v>Não</x:v>
      </x:c>
      <x:c r="P87" s="28" t="str">
        <x:v>Baixo</x:v>
      </x:c>
      <x:c r="Q87" s="32" t="n">
        <x:v>0</x:v>
      </x:c>
      <x:c r="R87" s="30" t="n">
        <x:v>0</x:v>
      </x:c>
      <x:c r="S87" s="30" t="n">
        <x:v>0</x:v>
      </x:c>
      <x:c r="T87" s="28" t="str">
        <x:v>Cobertura adequada</x:v>
      </x:c>
    </x:row>
    <x:row r="88">
      <x:c r="A88" s="34" t="n">
        <x:v>45413</x:v>
      </x:c>
      <x:c r="B88" s="28" t="str">
        <x:v>Grupo Industrial S.A.</x:v>
      </x:c>
      <x:c r="C88" s="28" t="str">
        <x:v>Planta São Paulo</x:v>
      </x:c>
      <x:c r="D88" s="28" t="str">
        <x:v>Tampa 28mm</x:v>
      </x:c>
      <x:c r="E88" s="28" t="str">
        <x:v>Fornecedor C</x:v>
      </x:c>
      <x:c r="F88" s="28" t="str">
        <x:v>Embalagem</x:v>
      </x:c>
      <x:c r="G88" s="32" t="n">
        <x:v>26282.88</x:v>
      </x:c>
      <x:c r="H88" s="32" t="n">
        <x:v>26873.34</x:v>
      </x:c>
      <x:c r="I88" s="30" t="n">
        <x:v>0.37</x:v>
      </x:c>
      <x:c r="J88" s="32" t="n">
        <x:v>39009.69</x:v>
      </x:c>
      <x:c r="K88" s="32" t="n">
        <x:v>866.88</x:v>
      </x:c>
      <x:c r="L88" s="32" t="n">
        <x:v>45</x:v>
      </x:c>
      <x:c r="M88" s="32" t="n">
        <x:v>10</x:v>
      </x:c>
      <x:c r="N88" s="36" t="n">
        <x:v>0.93</x:v>
      </x:c>
      <x:c r="O88" s="28" t="str">
        <x:v>Não</x:v>
      </x:c>
      <x:c r="P88" s="28" t="str">
        <x:v>Baixo</x:v>
      </x:c>
      <x:c r="Q88" s="32" t="n">
        <x:v>0</x:v>
      </x:c>
      <x:c r="R88" s="30" t="n">
        <x:v>0</x:v>
      </x:c>
      <x:c r="S88" s="30" t="n">
        <x:v>3120.77</x:v>
      </x:c>
      <x:c r="T88" s="28" t="str">
        <x:v>Cobertura adequada</x:v>
      </x:c>
    </x:row>
    <x:row r="89">
      <x:c r="A89" s="34" t="n">
        <x:v>45413</x:v>
      </x:c>
      <x:c r="B89" s="28" t="str">
        <x:v>Grupo Industrial S.A.</x:v>
      </x:c>
      <x:c r="C89" s="28" t="str">
        <x:v>Planta São Paulo</x:v>
      </x:c>
      <x:c r="D89" s="28" t="str">
        <x:v>Rótulo L-120</x:v>
      </x:c>
      <x:c r="E89" s="28" t="str">
        <x:v>Fornecedor E</x:v>
      </x:c>
      <x:c r="F89" s="28" t="str">
        <x:v>Embalagem</x:v>
      </x:c>
      <x:c r="G89" s="32" t="n">
        <x:v>30176.64</x:v>
      </x:c>
      <x:c r="H89" s="32" t="n">
        <x:v>31359.5</x:v>
      </x:c>
      <x:c r="I89" s="30" t="n">
        <x:v>0.19</x:v>
      </x:c>
      <x:c r="J89" s="32" t="n">
        <x:v>18208.74</x:v>
      </x:c>
      <x:c r="K89" s="32" t="n">
        <x:v>1011.6</x:v>
      </x:c>
      <x:c r="L89" s="32" t="n">
        <x:v>18</x:v>
      </x:c>
      <x:c r="M89" s="32" t="n">
        <x:v>10</x:v>
      </x:c>
      <x:c r="N89" s="36" t="n">
        <x:v>0.93</x:v>
      </x:c>
      <x:c r="O89" s="28" t="str">
        <x:v>Não</x:v>
      </x:c>
      <x:c r="P89" s="28" t="str">
        <x:v>Médio</x:v>
      </x:c>
      <x:c r="Q89" s="32" t="n">
        <x:v>1062</x:v>
      </x:c>
      <x:c r="R89" s="30" t="n">
        <x:v>0</x:v>
      </x:c>
      <x:c r="S89" s="30" t="n">
        <x:v>0</x:v>
      </x:c>
      <x:c r="T89" s="28" t="str">
        <x:v>Cobertura abaixo do nível de atenção</x:v>
      </x:c>
    </x:row>
    <x:row r="90">
      <x:c r="A90" s="34" t="n">
        <x:v>45413</x:v>
      </x:c>
      <x:c r="B90" s="28" t="str">
        <x:v>Grupo Industrial S.A.</x:v>
      </x:c>
      <x:c r="C90" s="28" t="str">
        <x:v>Planta São Paulo</x:v>
      </x:c>
      <x:c r="D90" s="28" t="str">
        <x:v>Caixa papelão P</x:v>
      </x:c>
      <x:c r="E90" s="28" t="str">
        <x:v>Fornecedor A</x:v>
      </x:c>
      <x:c r="F90" s="28" t="str">
        <x:v>Embalagem</x:v>
      </x:c>
      <x:c r="G90" s="32" t="n">
        <x:v>34070.4</x:v>
      </x:c>
      <x:c r="H90" s="32" t="n">
        <x:v>34772.86</x:v>
      </x:c>
      <x:c r="I90" s="30" t="n">
        <x:v>2.94</x:v>
      </x:c>
      <x:c r="J90" s="32" t="n">
        <x:v>42624.8</x:v>
      </x:c>
      <x:c r="K90" s="32" t="n">
        <x:v>1121.71</x:v>
      </x:c>
      <x:c r="L90" s="32" t="n">
        <x:v>38</x:v>
      </x:c>
      <x:c r="M90" s="32" t="n">
        <x:v>10</x:v>
      </x:c>
      <x:c r="N90" s="36" t="n">
        <x:v>0.91</x:v>
      </x:c>
      <x:c r="O90" s="28" t="str">
        <x:v>Não</x:v>
      </x:c>
      <x:c r="P90" s="28" t="str">
        <x:v>Baixo</x:v>
      </x:c>
      <x:c r="Q90" s="32" t="n">
        <x:v>0</x:v>
      </x:c>
      <x:c r="R90" s="30" t="n">
        <x:v>0</x:v>
      </x:c>
      <x:c r="S90" s="30" t="n">
        <x:v>9590.58</x:v>
      </x:c>
      <x:c r="T90" s="28" t="str">
        <x:v>Cobertura adequada</x:v>
      </x:c>
    </x:row>
    <x:row r="91">
      <x:c r="A91" s="34" t="n">
        <x:v>45413</x:v>
      </x:c>
      <x:c r="B91" s="28" t="str">
        <x:v>Grupo Industrial S.A.</x:v>
      </x:c>
      <x:c r="C91" s="28" t="str">
        <x:v>Planta São Paulo</x:v>
      </x:c>
      <x:c r="D91" s="28" t="str">
        <x:v>Aditivo A3</x:v>
      </x:c>
      <x:c r="E91" s="28" t="str">
        <x:v>Fornecedor D</x:v>
      </x:c>
      <x:c r="F91" s="28" t="str">
        <x:v>Insumo</x:v>
      </x:c>
      <x:c r="G91" s="32" t="n">
        <x:v>37964.16</x:v>
      </x:c>
      <x:c r="H91" s="32" t="n">
        <x:v>38469.81</x:v>
      </x:c>
      <x:c r="I91" s="30" t="n">
        <x:v>16.69</x:v>
      </x:c>
      <x:c r="J91" s="32" t="n">
        <x:v>55843.28</x:v>
      </x:c>
      <x:c r="K91" s="32" t="n">
        <x:v>1240.96</x:v>
      </x:c>
      <x:c r="L91" s="32" t="n">
        <x:v>45</x:v>
      </x:c>
      <x:c r="M91" s="32" t="n">
        <x:v>10</x:v>
      </x:c>
      <x:c r="N91" s="36" t="n">
        <x:v>0.91</x:v>
      </x:c>
      <x:c r="O91" s="28" t="str">
        <x:v>Não</x:v>
      </x:c>
      <x:c r="P91" s="28" t="str">
        <x:v>Baixo</x:v>
      </x:c>
      <x:c r="Q91" s="32" t="n">
        <x:v>0</x:v>
      </x:c>
      <x:c r="R91" s="30" t="n">
        <x:v>0</x:v>
      </x:c>
      <x:c r="S91" s="30" t="n">
        <x:v>201035.8</x:v>
      </x:c>
      <x:c r="T91" s="28" t="str">
        <x:v>Cobertura adequada</x:v>
      </x:c>
    </x:row>
    <x:row r="92">
      <x:c r="A92" s="34" t="n">
        <x:v>45413</x:v>
      </x:c>
      <x:c r="B92" s="28" t="str">
        <x:v>Grupo Industrial S.A.</x:v>
      </x:c>
      <x:c r="C92" s="28" t="str">
        <x:v>Planta São Paulo</x:v>
      </x:c>
      <x:c r="D92" s="28" t="str">
        <x:v>Masterbatch AZ</x:v>
      </x:c>
      <x:c r="E92" s="28" t="str">
        <x:v>Fornecedor D</x:v>
      </x:c>
      <x:c r="F92" s="28" t="str">
        <x:v>Insumo</x:v>
      </x:c>
      <x:c r="G92" s="32" t="n">
        <x:v>41857.92</x:v>
      </x:c>
      <x:c r="H92" s="32" t="n">
        <x:v>42563.45</x:v>
      </x:c>
      <x:c r="I92" s="30" t="n">
        <x:v>23.18</x:v>
      </x:c>
      <x:c r="J92" s="32" t="n">
        <x:v>24714.26</x:v>
      </x:c>
      <x:c r="K92" s="32" t="n">
        <x:v>1373.01</x:v>
      </x:c>
      <x:c r="L92" s="32" t="n">
        <x:v>18</x:v>
      </x:c>
      <x:c r="M92" s="32" t="n">
        <x:v>14</x:v>
      </x:c>
      <x:c r="N92" s="36" t="n">
        <x:v>0.95</x:v>
      </x:c>
      <x:c r="O92" s="28" t="str">
        <x:v>Não</x:v>
      </x:c>
      <x:c r="P92" s="28" t="str">
        <x:v>Médio</x:v>
      </x:c>
      <x:c r="Q92" s="32" t="n">
        <x:v>1441</x:v>
      </x:c>
      <x:c r="R92" s="30" t="n">
        <x:v>1853.57</x:v>
      </x:c>
      <x:c r="S92" s="30" t="n">
        <x:v>0</x:v>
      </x:c>
      <x:c r="T92" s="28" t="str">
        <x:v>Cobertura abaixo do nível de atenção</x:v>
      </x:c>
    </x:row>
    <x:row r="93">
      <x:c r="A93" s="34" t="n">
        <x:v>45413</x:v>
      </x:c>
      <x:c r="B93" s="28" t="str">
        <x:v>Grupo Industrial S.A.</x:v>
      </x:c>
      <x:c r="C93" s="28" t="str">
        <x:v>Planta Campinas</x:v>
      </x:c>
      <x:c r="D93" s="28" t="str">
        <x:v>Filme PE 500mm</x:v>
      </x:c>
      <x:c r="E93" s="28" t="str">
        <x:v>Fornecedor A</x:v>
      </x:c>
      <x:c r="F93" s="28" t="str">
        <x:v>Embalagem</x:v>
      </x:c>
      <x:c r="G93" s="32" t="n">
        <x:v>14179.78</x:v>
      </x:c>
      <x:c r="H93" s="32" t="n">
        <x:v>15400.08</x:v>
      </x:c>
      <x:c r="I93" s="30" t="n">
        <x:v>12.77</x:v>
      </x:c>
      <x:c r="J93" s="32" t="n">
        <x:v>22354.95</x:v>
      </x:c>
      <x:c r="K93" s="32" t="n">
        <x:v>496.78</x:v>
      </x:c>
      <x:c r="L93" s="32" t="n">
        <x:v>45</x:v>
      </x:c>
      <x:c r="M93" s="32" t="n">
        <x:v>14</x:v>
      </x:c>
      <x:c r="N93" s="36" t="n">
        <x:v>0.95</x:v>
      </x:c>
      <x:c r="O93" s="28" t="str">
        <x:v>Não</x:v>
      </x:c>
      <x:c r="P93" s="28" t="str">
        <x:v>Baixo</x:v>
      </x:c>
      <x:c r="Q93" s="32" t="n">
        <x:v>0</x:v>
      </x:c>
      <x:c r="R93" s="30" t="n">
        <x:v>0</x:v>
      </x:c>
      <x:c r="S93" s="30" t="n">
        <x:v>61600.31</x:v>
      </x:c>
      <x:c r="T93" s="28" t="str">
        <x:v>Cobertura adequada</x:v>
      </x:c>
    </x:row>
    <x:row r="94">
      <x:c r="A94" s="34" t="n">
        <x:v>45413</x:v>
      </x:c>
      <x:c r="B94" s="28" t="str">
        <x:v>Grupo Industrial S.A.</x:v>
      </x:c>
      <x:c r="C94" s="28" t="str">
        <x:v>Planta Campinas</x:v>
      </x:c>
      <x:c r="D94" s="28" t="str">
        <x:v>Resina PP H103</x:v>
      </x:c>
      <x:c r="E94" s="28" t="str">
        <x:v>Fornecedor B</x:v>
      </x:c>
      <x:c r="F94" s="28" t="str">
        <x:v>Resina</x:v>
      </x:c>
      <x:c r="G94" s="32" t="n">
        <x:v>17164.99</x:v>
      </x:c>
      <x:c r="H94" s="32" t="n">
        <x:v>18589.75</x:v>
      </x:c>
      <x:c r="I94" s="30" t="n">
        <x:v>8.96</x:v>
      </x:c>
      <x:c r="J94" s="32" t="n">
        <x:v>4797.36</x:v>
      </x:c>
      <x:c r="K94" s="32" t="n">
        <x:v>599.67</x:v>
      </x:c>
      <x:c r="L94" s="32" t="n">
        <x:v>8</x:v>
      </x:c>
      <x:c r="M94" s="32" t="n">
        <x:v>16</x:v>
      </x:c>
      <x:c r="N94" s="36" t="n">
        <x:v>0.86</x:v>
      </x:c>
      <x:c r="O94" s="28" t="str">
        <x:v>Risco</x:v>
      </x:c>
      <x:c r="P94" s="28" t="str">
        <x:v>Alto</x:v>
      </x:c>
      <x:c r="Q94" s="32" t="n">
        <x:v>3628</x:v>
      </x:c>
      <x:c r="R94" s="30" t="n">
        <x:v>4069.36</x:v>
      </x:c>
      <x:c r="S94" s="30" t="n">
        <x:v>0</x:v>
      </x:c>
      <x:c r="T94" s="28" t="str">
        <x:v>Cobertura &lt; lead time + margem de segurança</x:v>
      </x:c>
    </x:row>
    <x:row r="95">
      <x:c r="A95" s="34" t="n">
        <x:v>45413</x:v>
      </x:c>
      <x:c r="B95" s="28" t="str">
        <x:v>Grupo Industrial S.A.</x:v>
      </x:c>
      <x:c r="C95" s="28" t="str">
        <x:v>Planta Campinas</x:v>
      </x:c>
      <x:c r="D95" s="28" t="str">
        <x:v>Tampa 28mm</x:v>
      </x:c>
      <x:c r="E95" s="28" t="str">
        <x:v>Fornecedor C</x:v>
      </x:c>
      <x:c r="F95" s="28" t="str">
        <x:v>Embalagem</x:v>
      </x:c>
      <x:c r="G95" s="32" t="n">
        <x:v>20150.21</x:v>
      </x:c>
      <x:c r="H95" s="32" t="n">
        <x:v>21083.43</x:v>
      </x:c>
      <x:c r="I95" s="30" t="n">
        <x:v>0.37</x:v>
      </x:c>
      <x:c r="J95" s="32" t="n">
        <x:v>8841.44</x:v>
      </x:c>
      <x:c r="K95" s="32" t="n">
        <x:v>680.11</x:v>
      </x:c>
      <x:c r="L95" s="32" t="n">
        <x:v>13</x:v>
      </x:c>
      <x:c r="M95" s="32" t="n">
        <x:v>14</x:v>
      </x:c>
      <x:c r="N95" s="36" t="n">
        <x:v>0.88</x:v>
      </x:c>
      <x:c r="O95" s="28" t="str">
        <x:v>Risco</x:v>
      </x:c>
      <x:c r="P95" s="28" t="str">
        <x:v>Médio</x:v>
      </x:c>
      <x:c r="Q95" s="32" t="n">
        <x:v>1224</x:v>
      </x:c>
      <x:c r="R95" s="30" t="n">
        <x:v>88.14</x:v>
      </x:c>
      <x:c r="S95" s="30" t="n">
        <x:v>0</x:v>
      </x:c>
      <x:c r="T95" s="28" t="str">
        <x:v>Cobertura abaixo do nível de atenção</x:v>
      </x:c>
    </x:row>
    <x:row r="96">
      <x:c r="A96" s="34" t="n">
        <x:v>45413</x:v>
      </x:c>
      <x:c r="B96" s="28" t="str">
        <x:v>Grupo Industrial S.A.</x:v>
      </x:c>
      <x:c r="C96" s="28" t="str">
        <x:v>Planta Campinas</x:v>
      </x:c>
      <x:c r="D96" s="28" t="str">
        <x:v>Rótulo L-120</x:v>
      </x:c>
      <x:c r="E96" s="28" t="str">
        <x:v>Fornecedor E</x:v>
      </x:c>
      <x:c r="F96" s="28" t="str">
        <x:v>Embalagem</x:v>
      </x:c>
      <x:c r="G96" s="32" t="n">
        <x:v>23135.42</x:v>
      </x:c>
      <x:c r="H96" s="32" t="n">
        <x:v>24252.11</x:v>
      </x:c>
      <x:c r="I96" s="30" t="n">
        <x:v>0.19</x:v>
      </x:c>
      <x:c r="J96" s="32" t="n">
        <x:v>29728.39</x:v>
      </x:c>
      <x:c r="K96" s="32" t="n">
        <x:v>782.33</x:v>
      </x:c>
      <x:c r="L96" s="32" t="n">
        <x:v>38</x:v>
      </x:c>
      <x:c r="M96" s="32" t="n">
        <x:v>10</x:v>
      </x:c>
      <x:c r="N96" s="36" t="n">
        <x:v>0.93</x:v>
      </x:c>
      <x:c r="O96" s="28" t="str">
        <x:v>Não</x:v>
      </x:c>
      <x:c r="P96" s="28" t="str">
        <x:v>Baixo</x:v>
      </x:c>
      <x:c r="Q96" s="32" t="n">
        <x:v>0</x:v>
      </x:c>
      <x:c r="R96" s="30" t="n">
        <x:v>0</x:v>
      </x:c>
      <x:c r="S96" s="30" t="n">
        <x:v>422.46</x:v>
      </x:c>
      <x:c r="T96" s="28" t="str">
        <x:v>Cobertura adequada</x:v>
      </x:c>
    </x:row>
    <x:row r="97">
      <x:c r="A97" s="34" t="n">
        <x:v>45413</x:v>
      </x:c>
      <x:c r="B97" s="28" t="str">
        <x:v>Grupo Industrial S.A.</x:v>
      </x:c>
      <x:c r="C97" s="28" t="str">
        <x:v>Planta Campinas</x:v>
      </x:c>
      <x:c r="D97" s="28" t="str">
        <x:v>Caixa papelão P</x:v>
      </x:c>
      <x:c r="E97" s="28" t="str">
        <x:v>Fornecedor A</x:v>
      </x:c>
      <x:c r="F97" s="28" t="str">
        <x:v>Embalagem</x:v>
      </x:c>
      <x:c r="G97" s="32" t="n">
        <x:v>26120.64</x:v>
      </x:c>
      <x:c r="H97" s="32" t="n">
        <x:v>26639.22</x:v>
      </x:c>
      <x:c r="I97" s="30" t="n">
        <x:v>2.94</x:v>
      </x:c>
      <x:c r="J97" s="32" t="n">
        <x:v>38669.83</x:v>
      </x:c>
      <x:c r="K97" s="32" t="n">
        <x:v>859.33</x:v>
      </x:c>
      <x:c r="L97" s="32" t="n">
        <x:v>45</x:v>
      </x:c>
      <x:c r="M97" s="32" t="n">
        <x:v>8</x:v>
      </x:c>
      <x:c r="N97" s="36" t="n">
        <x:v>0.97</x:v>
      </x:c>
      <x:c r="O97" s="28" t="str">
        <x:v>Não</x:v>
      </x:c>
      <x:c r="P97" s="28" t="str">
        <x:v>Baixo</x:v>
      </x:c>
      <x:c r="Q97" s="32" t="n">
        <x:v>0</x:v>
      </x:c>
      <x:c r="R97" s="30" t="n">
        <x:v>0</x:v>
      </x:c>
      <x:c r="S97" s="30" t="n">
        <x:v>24490.9</x:v>
      </x:c>
      <x:c r="T97" s="28" t="str">
        <x:v>Cobertura adequada</x:v>
      </x:c>
    </x:row>
    <x:row r="98">
      <x:c r="A98" s="34" t="n">
        <x:v>45413</x:v>
      </x:c>
      <x:c r="B98" s="28" t="str">
        <x:v>Grupo Industrial S.A.</x:v>
      </x:c>
      <x:c r="C98" s="28" t="str">
        <x:v>Planta Campinas</x:v>
      </x:c>
      <x:c r="D98" s="28" t="str">
        <x:v>Aditivo A3</x:v>
      </x:c>
      <x:c r="E98" s="28" t="str">
        <x:v>Fornecedor D</x:v>
      </x:c>
      <x:c r="F98" s="28" t="str">
        <x:v>Insumo</x:v>
      </x:c>
      <x:c r="G98" s="32" t="n">
        <x:v>29105.86</x:v>
      </x:c>
      <x:c r="H98" s="32" t="n">
        <x:v>29846.23</x:v>
      </x:c>
      <x:c r="I98" s="30" t="n">
        <x:v>16.69</x:v>
      </x:c>
      <x:c r="J98" s="32" t="n">
        <x:v>24069.54</x:v>
      </x:c>
      <x:c r="K98" s="32" t="n">
        <x:v>962.78</x:v>
      </x:c>
      <x:c r="L98" s="32" t="n">
        <x:v>25</x:v>
      </x:c>
      <x:c r="M98" s="32" t="n">
        <x:v>14</x:v>
      </x:c>
      <x:c r="N98" s="36" t="n">
        <x:v>0.95</x:v>
      </x:c>
      <x:c r="O98" s="28" t="str">
        <x:v>Não</x:v>
      </x:c>
      <x:c r="P98" s="28" t="str">
        <x:v>Baixo</x:v>
      </x:c>
      <x:c r="Q98" s="32" t="n">
        <x:v>0</x:v>
      </x:c>
      <x:c r="R98" s="30" t="n">
        <x:v>0</x:v>
      </x:c>
      <x:c r="S98" s="30" t="n">
        <x:v>0</x:v>
      </x:c>
      <x:c r="T98" s="28" t="str">
        <x:v>Cobertura adequada</x:v>
      </x:c>
    </x:row>
    <x:row r="99">
      <x:c r="A99" s="34" t="n">
        <x:v>45413</x:v>
      </x:c>
      <x:c r="B99" s="28" t="str">
        <x:v>Grupo Industrial S.A.</x:v>
      </x:c>
      <x:c r="C99" s="28" t="str">
        <x:v>Planta Campinas</x:v>
      </x:c>
      <x:c r="D99" s="28" t="str">
        <x:v>Masterbatch AZ</x:v>
      </x:c>
      <x:c r="E99" s="28" t="str">
        <x:v>Fornecedor D</x:v>
      </x:c>
      <x:c r="F99" s="28" t="str">
        <x:v>Insumo</x:v>
      </x:c>
      <x:c r="G99" s="32" t="n">
        <x:v>32091.07</x:v>
      </x:c>
      <x:c r="H99" s="32" t="n">
        <x:v>32592.65</x:v>
      </x:c>
      <x:c r="I99" s="30" t="n">
        <x:v>23.18</x:v>
      </x:c>
      <x:c r="J99" s="32" t="n">
        <x:v>47311.92</x:v>
      </x:c>
      <x:c r="K99" s="32" t="n">
        <x:v>1051.38</x:v>
      </x:c>
      <x:c r="L99" s="32" t="n">
        <x:v>45</x:v>
      </x:c>
      <x:c r="M99" s="32" t="n">
        <x:v>10</x:v>
      </x:c>
      <x:c r="N99" s="36" t="n">
        <x:v>0.97</x:v>
      </x:c>
      <x:c r="O99" s="28" t="str">
        <x:v>Não</x:v>
      </x:c>
      <x:c r="P99" s="28" t="str">
        <x:v>Baixo</x:v>
      </x:c>
      <x:c r="Q99" s="32" t="n">
        <x:v>0</x:v>
      </x:c>
      <x:c r="R99" s="30" t="n">
        <x:v>0</x:v>
      </x:c>
      <x:c r="S99" s="30" t="n">
        <x:v>236559.59</x:v>
      </x:c>
      <x:c r="T99" s="28" t="str">
        <x:v>Cobertura adequada</x:v>
      </x:c>
    </x:row>
    <x:row r="100">
      <x:c r="A100" s="34" t="n">
        <x:v>45413</x:v>
      </x:c>
      <x:c r="B100" s="28" t="str">
        <x:v>Grupo Industrial S.A.</x:v>
      </x:c>
      <x:c r="C100" s="28" t="str">
        <x:v>Planta Curitiba</x:v>
      </x:c>
      <x:c r="D100" s="28" t="str">
        <x:v>Filme PE 500mm</x:v>
      </x:c>
      <x:c r="E100" s="28" t="str">
        <x:v>Fornecedor A</x:v>
      </x:c>
      <x:c r="F100" s="28" t="str">
        <x:v>Embalagem</x:v>
      </x:c>
      <x:c r="G100" s="32" t="n">
        <x:v>13255.01</x:v>
      </x:c>
      <x:c r="H100" s="32" t="n">
        <x:v>13659.14</x:v>
      </x:c>
      <x:c r="I100" s="30" t="n">
        <x:v>12.77</x:v>
      </x:c>
      <x:c r="J100" s="32" t="n">
        <x:v>9693.58</x:v>
      </x:c>
      <x:c r="K100" s="32" t="n">
        <x:v>440.62</x:v>
      </x:c>
      <x:c r="L100" s="32" t="n">
        <x:v>22</x:v>
      </x:c>
      <x:c r="M100" s="32" t="n">
        <x:v>10</x:v>
      </x:c>
      <x:c r="N100" s="36" t="n">
        <x:v>0.95</x:v>
      </x:c>
      <x:c r="O100" s="28" t="str">
        <x:v>Não</x:v>
      </x:c>
      <x:c r="P100" s="28" t="str">
        <x:v>Médio</x:v>
      </x:c>
      <x:c r="Q100" s="32" t="n">
        <x:v>198</x:v>
      </x:c>
      <x:c r="R100" s="30" t="n">
        <x:v>0</x:v>
      </x:c>
      <x:c r="S100" s="30" t="n">
        <x:v>0</x:v>
      </x:c>
      <x:c r="T100" s="28" t="str">
        <x:v>Cobertura abaixo do nível de atenção</x:v>
      </x:c>
    </x:row>
    <x:row r="101">
      <x:c r="A101" s="34" t="n">
        <x:v>45413</x:v>
      </x:c>
      <x:c r="B101" s="28" t="str">
        <x:v>Grupo Industrial S.A.</x:v>
      </x:c>
      <x:c r="C101" s="28" t="str">
        <x:v>Planta Curitiba</x:v>
      </x:c>
      <x:c r="D101" s="28" t="str">
        <x:v>Resina PP H103</x:v>
      </x:c>
      <x:c r="E101" s="28" t="str">
        <x:v>Fornecedor B</x:v>
      </x:c>
      <x:c r="F101" s="28" t="str">
        <x:v>Resina</x:v>
      </x:c>
      <x:c r="G101" s="32" t="n">
        <x:v>16045.54</x:v>
      </x:c>
      <x:c r="H101" s="32" t="n">
        <x:v>16354.91</x:v>
      </x:c>
      <x:c r="I101" s="30" t="n">
        <x:v>8.96</x:v>
      </x:c>
      <x:c r="J101" s="32" t="n">
        <x:v>13189.44</x:v>
      </x:c>
      <x:c r="K101" s="32" t="n">
        <x:v>527.58</x:v>
      </x:c>
      <x:c r="L101" s="32" t="n">
        <x:v>25</x:v>
      </x:c>
      <x:c r="M101" s="32" t="n">
        <x:v>14</x:v>
      </x:c>
      <x:c r="N101" s="36" t="n">
        <x:v>0.95</x:v>
      </x:c>
      <x:c r="O101" s="28" t="str">
        <x:v>Não</x:v>
      </x:c>
      <x:c r="P101" s="28" t="str">
        <x:v>Baixo</x:v>
      </x:c>
      <x:c r="Q101" s="32" t="n">
        <x:v>0</x:v>
      </x:c>
      <x:c r="R101" s="30" t="n">
        <x:v>0</x:v>
      </x:c>
      <x:c r="S101" s="30" t="n">
        <x:v>0</x:v>
      </x:c>
      <x:c r="T101" s="28" t="str">
        <x:v>Cobertura adequada</x:v>
      </x:c>
    </x:row>
    <x:row r="102">
      <x:c r="A102" s="34" t="n">
        <x:v>45413</x:v>
      </x:c>
      <x:c r="B102" s="28" t="str">
        <x:v>Grupo Industrial S.A.</x:v>
      </x:c>
      <x:c r="C102" s="28" t="str">
        <x:v>Planta Curitiba</x:v>
      </x:c>
      <x:c r="D102" s="28" t="str">
        <x:v>Tampa 28mm</x:v>
      </x:c>
      <x:c r="E102" s="28" t="str">
        <x:v>Fornecedor C</x:v>
      </x:c>
      <x:c r="F102" s="28" t="str">
        <x:v>Embalagem</x:v>
      </x:c>
      <x:c r="G102" s="32" t="n">
        <x:v>18836.06</x:v>
      </x:c>
      <x:c r="H102" s="32" t="n">
        <x:v>19232.79</x:v>
      </x:c>
      <x:c r="I102" s="30" t="n">
        <x:v>0.37</x:v>
      </x:c>
      <x:c r="J102" s="32" t="n">
        <x:v>13649.08</x:v>
      </x:c>
      <x:c r="K102" s="32" t="n">
        <x:v>620.41</x:v>
      </x:c>
      <x:c r="L102" s="32" t="n">
        <x:v>22</x:v>
      </x:c>
      <x:c r="M102" s="32" t="n">
        <x:v>10</x:v>
      </x:c>
      <x:c r="N102" s="36" t="n">
        <x:v>0.97</x:v>
      </x:c>
      <x:c r="O102" s="28" t="str">
        <x:v>Não</x:v>
      </x:c>
      <x:c r="P102" s="28" t="str">
        <x:v>Médio</x:v>
      </x:c>
      <x:c r="Q102" s="32" t="n">
        <x:v>279</x:v>
      </x:c>
      <x:c r="R102" s="30" t="n">
        <x:v>0</x:v>
      </x:c>
      <x:c r="S102" s="30" t="n">
        <x:v>0</x:v>
      </x:c>
      <x:c r="T102" s="28" t="str">
        <x:v>Cobertura abaixo do nível de atenção</x:v>
      </x:c>
    </x:row>
    <x:row r="103">
      <x:c r="A103" s="34" t="n">
        <x:v>45413</x:v>
      </x:c>
      <x:c r="B103" s="28" t="str">
        <x:v>Grupo Industrial S.A.</x:v>
      </x:c>
      <x:c r="C103" s="28" t="str">
        <x:v>Planta Curitiba</x:v>
      </x:c>
      <x:c r="D103" s="28" t="str">
        <x:v>Rótulo L-120</x:v>
      </x:c>
      <x:c r="E103" s="28" t="str">
        <x:v>Fornecedor E</x:v>
      </x:c>
      <x:c r="F103" s="28" t="str">
        <x:v>Embalagem</x:v>
      </x:c>
      <x:c r="G103" s="32" t="n">
        <x:v>21626.59</x:v>
      </x:c>
      <x:c r="H103" s="32" t="n">
        <x:v>22076.89</x:v>
      </x:c>
      <x:c r="I103" s="30" t="n">
        <x:v>0.19</x:v>
      </x:c>
      <x:c r="J103" s="32" t="n">
        <x:v>27061.99</x:v>
      </x:c>
      <x:c r="K103" s="32" t="n">
        <x:v>712.16</x:v>
      </x:c>
      <x:c r="L103" s="32" t="n">
        <x:v>38</x:v>
      </x:c>
      <x:c r="M103" s="32" t="n">
        <x:v>12</x:v>
      </x:c>
      <x:c r="N103" s="36" t="n">
        <x:v>0.97</x:v>
      </x:c>
      <x:c r="O103" s="28" t="str">
        <x:v>Não</x:v>
      </x:c>
      <x:c r="P103" s="28" t="str">
        <x:v>Baixo</x:v>
      </x:c>
      <x:c r="Q103" s="32" t="n">
        <x:v>0</x:v>
      </x:c>
      <x:c r="R103" s="30" t="n">
        <x:v>0</x:v>
      </x:c>
      <x:c r="S103" s="30" t="n">
        <x:v>384.57</x:v>
      </x:c>
      <x:c r="T103" s="28" t="str">
        <x:v>Cobertura adequada</x:v>
      </x:c>
    </x:row>
    <x:row r="104">
      <x:c r="A104" s="34" t="n">
        <x:v>45413</x:v>
      </x:c>
      <x:c r="B104" s="28" t="str">
        <x:v>Grupo Industrial S.A.</x:v>
      </x:c>
      <x:c r="C104" s="28" t="str">
        <x:v>Planta Curitiba</x:v>
      </x:c>
      <x:c r="D104" s="28" t="str">
        <x:v>Caixa papelão P</x:v>
      </x:c>
      <x:c r="E104" s="28" t="str">
        <x:v>Fornecedor A</x:v>
      </x:c>
      <x:c r="F104" s="28" t="str">
        <x:v>Embalagem</x:v>
      </x:c>
      <x:c r="G104" s="32" t="n">
        <x:v>24417.12</x:v>
      </x:c>
      <x:c r="H104" s="32" t="n">
        <x:v>25536.45</x:v>
      </x:c>
      <x:c r="I104" s="30" t="n">
        <x:v>2.94</x:v>
      </x:c>
      <x:c r="J104" s="32" t="n">
        <x:v>18122.64</x:v>
      </x:c>
      <x:c r="K104" s="32" t="n">
        <x:v>823.76</x:v>
      </x:c>
      <x:c r="L104" s="32" t="n">
        <x:v>22</x:v>
      </x:c>
      <x:c r="M104" s="32" t="n">
        <x:v>12</x:v>
      </x:c>
      <x:c r="N104" s="36" t="n">
        <x:v>0.91</x:v>
      </x:c>
      <x:c r="O104" s="28" t="str">
        <x:v>Não</x:v>
      </x:c>
      <x:c r="P104" s="28" t="str">
        <x:v>Médio</x:v>
      </x:c>
      <x:c r="Q104" s="32" t="n">
        <x:v>370</x:v>
      </x:c>
      <x:c r="R104" s="30" t="n">
        <x:v>0</x:v>
      </x:c>
      <x:c r="S104" s="30" t="n">
        <x:v>0</x:v>
      </x:c>
      <x:c r="T104" s="28" t="str">
        <x:v>Cobertura abaixo do nível de atenção</x:v>
      </x:c>
    </x:row>
    <x:row r="105">
      <x:c r="A105" s="34" t="n">
        <x:v>45413</x:v>
      </x:c>
      <x:c r="B105" s="28" t="str">
        <x:v>Grupo Industrial S.A.</x:v>
      </x:c>
      <x:c r="C105" s="28" t="str">
        <x:v>Planta Curitiba</x:v>
      </x:c>
      <x:c r="D105" s="28" t="str">
        <x:v>Aditivo A3</x:v>
      </x:c>
      <x:c r="E105" s="28" t="str">
        <x:v>Fornecedor D</x:v>
      </x:c>
      <x:c r="F105" s="28" t="str">
        <x:v>Insumo</x:v>
      </x:c>
      <x:c r="G105" s="32" t="n">
        <x:v>27207.65</x:v>
      </x:c>
      <x:c r="H105" s="32" t="n">
        <x:v>27916.85</x:v>
      </x:c>
      <x:c r="I105" s="30" t="n">
        <x:v>16.69</x:v>
      </x:c>
      <x:c r="J105" s="32" t="n">
        <x:v>16209.79</x:v>
      </x:c>
      <x:c r="K105" s="32" t="n">
        <x:v>900.54</x:v>
      </x:c>
      <x:c r="L105" s="32" t="n">
        <x:v>18</x:v>
      </x:c>
      <x:c r="M105" s="32" t="n">
        <x:v>14</x:v>
      </x:c>
      <x:c r="N105" s="36" t="n">
        <x:v>0.97</x:v>
      </x:c>
      <x:c r="O105" s="28" t="str">
        <x:v>Não</x:v>
      </x:c>
      <x:c r="P105" s="28" t="str">
        <x:v>Médio</x:v>
      </x:c>
      <x:c r="Q105" s="32" t="n">
        <x:v>945</x:v>
      </x:c>
      <x:c r="R105" s="30" t="n">
        <x:v>875.33</x:v>
      </x:c>
      <x:c r="S105" s="30" t="n">
        <x:v>0</x:v>
      </x:c>
      <x:c r="T105" s="28" t="str">
        <x:v>Cobertura abaixo do nível de atenção</x:v>
      </x:c>
    </x:row>
    <x:row r="106">
      <x:c r="A106" s="34" t="n">
        <x:v>45413</x:v>
      </x:c>
      <x:c r="B106" s="28" t="str">
        <x:v>Grupo Industrial S.A.</x:v>
      </x:c>
      <x:c r="C106" s="28" t="str">
        <x:v>Planta Curitiba</x:v>
      </x:c>
      <x:c r="D106" s="28" t="str">
        <x:v>Masterbatch AZ</x:v>
      </x:c>
      <x:c r="E106" s="28" t="str">
        <x:v>Fornecedor D</x:v>
      </x:c>
      <x:c r="F106" s="28" t="str">
        <x:v>Insumo</x:v>
      </x:c>
      <x:c r="G106" s="32" t="n">
        <x:v>29998.18</x:v>
      </x:c>
      <x:c r="H106" s="32" t="n">
        <x:v>31375.88</x:v>
      </x:c>
      <x:c r="I106" s="30" t="n">
        <x:v>23.18</x:v>
      </x:c>
      <x:c r="J106" s="32" t="n">
        <x:v>38460.75</x:v>
      </x:c>
      <x:c r="K106" s="32" t="n">
        <x:v>1012.13</x:v>
      </x:c>
      <x:c r="L106" s="32" t="n">
        <x:v>38</x:v>
      </x:c>
      <x:c r="M106" s="32" t="n">
        <x:v>8</x:v>
      </x:c>
      <x:c r="N106" s="36" t="n">
        <x:v>0.93</x:v>
      </x:c>
      <x:c r="O106" s="28" t="str">
        <x:v>Não</x:v>
      </x:c>
      <x:c r="P106" s="28" t="str">
        <x:v>Baixo</x:v>
      </x:c>
      <x:c r="Q106" s="32" t="n">
        <x:v>0</x:v>
      </x:c>
      <x:c r="R106" s="30" t="n">
        <x:v>0</x:v>
      </x:c>
      <x:c r="S106" s="30" t="n">
        <x:v>68318.45</x:v>
      </x:c>
      <x:c r="T106" s="28" t="str">
        <x:v>Cobertura adequada</x:v>
      </x:c>
    </x:row>
    <x:row r="107">
      <x:c r="A107" s="34" t="n">
        <x:v>45444</x:v>
      </x:c>
      <x:c r="B107" s="28" t="str">
        <x:v>Grupo Industrial S.A.</x:v>
      </x:c>
      <x:c r="C107" s="28" t="str">
        <x:v>Planta São Paulo</x:v>
      </x:c>
      <x:c r="D107" s="28" t="str">
        <x:v>Filme PE 500mm</x:v>
      </x:c>
      <x:c r="E107" s="28" t="str">
        <x:v>Fornecedor A</x:v>
      </x:c>
      <x:c r="F107" s="28" t="str">
        <x:v>Embalagem</x:v>
      </x:c>
      <x:c r="G107" s="32" t="n">
        <x:v>17961.84</x:v>
      </x:c>
      <x:c r="H107" s="32" t="n">
        <x:v>18464.13</x:v>
      </x:c>
      <x:c r="I107" s="30" t="n">
        <x:v>12.85</x:v>
      </x:c>
      <x:c r="J107" s="32" t="n">
        <x:v>15386.77</x:v>
      </x:c>
      <x:c r="K107" s="32" t="n">
        <x:v>615.47</x:v>
      </x:c>
      <x:c r="L107" s="32" t="n">
        <x:v>25</x:v>
      </x:c>
      <x:c r="M107" s="32" t="n">
        <x:v>14</x:v>
      </x:c>
      <x:c r="N107" s="36" t="n">
        <x:v>0.91</x:v>
      </x:c>
      <x:c r="O107" s="28" t="str">
        <x:v>Não</x:v>
      </x:c>
      <x:c r="P107" s="28" t="str">
        <x:v>Baixo</x:v>
      </x:c>
      <x:c r="Q107" s="32" t="n">
        <x:v>0</x:v>
      </x:c>
      <x:c r="R107" s="30" t="n">
        <x:v>0</x:v>
      </x:c>
      <x:c r="S107" s="30" t="n">
        <x:v>0</x:v>
      </x:c>
      <x:c r="T107" s="28" t="str">
        <x:v>Cobertura adequada</x:v>
      </x:c>
    </x:row>
    <x:row r="108">
      <x:c r="A108" s="34" t="n">
        <x:v>45444</x:v>
      </x:c>
      <x:c r="B108" s="28" t="str">
        <x:v>Grupo Industrial S.A.</x:v>
      </x:c>
      <x:c r="C108" s="28" t="str">
        <x:v>Planta São Paulo</x:v>
      </x:c>
      <x:c r="D108" s="28" t="str">
        <x:v>Resina PP H103</x:v>
      </x:c>
      <x:c r="E108" s="28" t="str">
        <x:v>Fornecedor B</x:v>
      </x:c>
      <x:c r="F108" s="28" t="str">
        <x:v>Resina</x:v>
      </x:c>
      <x:c r="G108" s="32" t="n">
        <x:v>21743.28</x:v>
      </x:c>
      <x:c r="H108" s="32" t="n">
        <x:v>22354.93</x:v>
      </x:c>
      <x:c r="I108" s="30" t="n">
        <x:v>9.01</x:v>
      </x:c>
      <x:c r="J108" s="32" t="n">
        <x:v>18629.11</x:v>
      </x:c>
      <x:c r="K108" s="32" t="n">
        <x:v>745.16</x:v>
      </x:c>
      <x:c r="L108" s="32" t="n">
        <x:v>25</x:v>
      </x:c>
      <x:c r="M108" s="32" t="n">
        <x:v>8</x:v>
      </x:c>
      <x:c r="N108" s="36" t="n">
        <x:v>0.91</x:v>
      </x:c>
      <x:c r="O108" s="28" t="str">
        <x:v>Não</x:v>
      </x:c>
      <x:c r="P108" s="28" t="str">
        <x:v>Baixo</x:v>
      </x:c>
      <x:c r="Q108" s="32" t="n">
        <x:v>0</x:v>
      </x:c>
      <x:c r="R108" s="30" t="n">
        <x:v>0</x:v>
      </x:c>
      <x:c r="S108" s="30" t="n">
        <x:v>0</x:v>
      </x:c>
      <x:c r="T108" s="28" t="str">
        <x:v>Cobertura adequada</x:v>
      </x:c>
    </x:row>
    <x:row r="109">
      <x:c r="A109" s="34" t="n">
        <x:v>45444</x:v>
      </x:c>
      <x:c r="B109" s="28" t="str">
        <x:v>Grupo Industrial S.A.</x:v>
      </x:c>
      <x:c r="C109" s="28" t="str">
        <x:v>Planta São Paulo</x:v>
      </x:c>
      <x:c r="D109" s="28" t="str">
        <x:v>Tampa 28mm</x:v>
      </x:c>
      <x:c r="E109" s="28" t="str">
        <x:v>Fornecedor C</x:v>
      </x:c>
      <x:c r="F109" s="28" t="str">
        <x:v>Embalagem</x:v>
      </x:c>
      <x:c r="G109" s="32" t="n">
        <x:v>25524.72</x:v>
      </x:c>
      <x:c r="H109" s="32" t="n">
        <x:v>26064.56</x:v>
      </x:c>
      <x:c r="I109" s="30" t="n">
        <x:v>0.37</x:v>
      </x:c>
      <x:c r="J109" s="32" t="n">
        <x:v>33015.1</x:v>
      </x:c>
      <x:c r="K109" s="32" t="n">
        <x:v>868.82</x:v>
      </x:c>
      <x:c r="L109" s="32" t="n">
        <x:v>38</x:v>
      </x:c>
      <x:c r="M109" s="32" t="n">
        <x:v>10</x:v>
      </x:c>
      <x:c r="N109" s="36" t="n">
        <x:v>0.97</x:v>
      </x:c>
      <x:c r="O109" s="28" t="str">
        <x:v>Não</x:v>
      </x:c>
      <x:c r="P109" s="28" t="str">
        <x:v>Baixo</x:v>
      </x:c>
      <x:c r="Q109" s="32" t="n">
        <x:v>0</x:v>
      </x:c>
      <x:c r="R109" s="30" t="n">
        <x:v>0</x:v>
      </x:c>
      <x:c r="S109" s="30" t="n">
        <x:v>938.32</x:v>
      </x:c>
      <x:c r="T109" s="28" t="str">
        <x:v>Cobertura adequada</x:v>
      </x:c>
    </x:row>
    <x:row r="110">
      <x:c r="A110" s="34" t="n">
        <x:v>45444</x:v>
      </x:c>
      <x:c r="B110" s="28" t="str">
        <x:v>Grupo Industrial S.A.</x:v>
      </x:c>
      <x:c r="C110" s="28" t="str">
        <x:v>Planta São Paulo</x:v>
      </x:c>
      <x:c r="D110" s="28" t="str">
        <x:v>Rótulo L-120</x:v>
      </x:c>
      <x:c r="E110" s="28" t="str">
        <x:v>Fornecedor E</x:v>
      </x:c>
      <x:c r="F110" s="28" t="str">
        <x:v>Embalagem</x:v>
      </x:c>
      <x:c r="G110" s="32" t="n">
        <x:v>29306.16</x:v>
      </x:c>
      <x:c r="H110" s="32" t="n">
        <x:v>30762.72</x:v>
      </x:c>
      <x:c r="I110" s="30" t="n">
        <x:v>0.19</x:v>
      </x:c>
      <x:c r="J110" s="32" t="n">
        <x:v>46144.08</x:v>
      </x:c>
      <x:c r="K110" s="32" t="n">
        <x:v>1025.42</x:v>
      </x:c>
      <x:c r="L110" s="32" t="n">
        <x:v>45</x:v>
      </x:c>
      <x:c r="M110" s="32" t="n">
        <x:v>8</x:v>
      </x:c>
      <x:c r="N110" s="36" t="n">
        <x:v>0.91</x:v>
      </x:c>
      <x:c r="O110" s="28" t="str">
        <x:v>Não</x:v>
      </x:c>
      <x:c r="P110" s="28" t="str">
        <x:v>Baixo</x:v>
      </x:c>
      <x:c r="Q110" s="32" t="n">
        <x:v>0</x:v>
      </x:c>
      <x:c r="R110" s="30" t="n">
        <x:v>0</x:v>
      </x:c>
      <x:c r="S110" s="30" t="n">
        <x:v>1845.76</x:v>
      </x:c>
      <x:c r="T110" s="28" t="str">
        <x:v>Cobertura adequada</x:v>
      </x:c>
    </x:row>
    <x:row r="111">
      <x:c r="A111" s="34" t="n">
        <x:v>45444</x:v>
      </x:c>
      <x:c r="B111" s="28" t="str">
        <x:v>Grupo Industrial S.A.</x:v>
      </x:c>
      <x:c r="C111" s="28" t="str">
        <x:v>Planta São Paulo</x:v>
      </x:c>
      <x:c r="D111" s="28" t="str">
        <x:v>Caixa papelão P</x:v>
      </x:c>
      <x:c r="E111" s="28" t="str">
        <x:v>Fornecedor A</x:v>
      </x:c>
      <x:c r="F111" s="28" t="str">
        <x:v>Embalagem</x:v>
      </x:c>
      <x:c r="G111" s="32" t="n">
        <x:v>33087.6</x:v>
      </x:c>
      <x:c r="H111" s="32" t="n">
        <x:v>34049.41</x:v>
      </x:c>
      <x:c r="I111" s="30" t="n">
        <x:v>2.95</x:v>
      </x:c>
      <x:c r="J111" s="32" t="n">
        <x:v>36319.38</x:v>
      </x:c>
      <x:c r="K111" s="32" t="n">
        <x:v>1134.98</x:v>
      </x:c>
      <x:c r="L111" s="32" t="n">
        <x:v>32</x:v>
      </x:c>
      <x:c r="M111" s="32" t="n">
        <x:v>8</x:v>
      </x:c>
      <x:c r="N111" s="36" t="n">
        <x:v>0.91</x:v>
      </x:c>
      <x:c r="O111" s="28" t="str">
        <x:v>Não</x:v>
      </x:c>
      <x:c r="P111" s="28" t="str">
        <x:v>Baixo</x:v>
      </x:c>
      <x:c r="Q111" s="32" t="n">
        <x:v>0</x:v>
      </x:c>
      <x:c r="R111" s="30" t="n">
        <x:v>0</x:v>
      </x:c>
      <x:c r="S111" s="30" t="n">
        <x:v>0</x:v>
      </x:c>
      <x:c r="T111" s="28" t="str">
        <x:v>Cobertura adequada</x:v>
      </x:c>
    </x:row>
    <x:row r="112">
      <x:c r="A112" s="34" t="n">
        <x:v>45444</x:v>
      </x:c>
      <x:c r="B112" s="28" t="str">
        <x:v>Grupo Industrial S.A.</x:v>
      </x:c>
      <x:c r="C112" s="28" t="str">
        <x:v>Planta São Paulo</x:v>
      </x:c>
      <x:c r="D112" s="28" t="str">
        <x:v>Aditivo A3</x:v>
      </x:c>
      <x:c r="E112" s="28" t="str">
        <x:v>Fornecedor D</x:v>
      </x:c>
      <x:c r="F112" s="28" t="str">
        <x:v>Insumo</x:v>
      </x:c>
      <x:c r="G112" s="32" t="n">
        <x:v>36869.04</x:v>
      </x:c>
      <x:c r="H112" s="32" t="n">
        <x:v>37739.53</x:v>
      </x:c>
      <x:c r="I112" s="30" t="n">
        <x:v>16.78</x:v>
      </x:c>
      <x:c r="J112" s="32" t="n">
        <x:v>27675.65</x:v>
      </x:c>
      <x:c r="K112" s="32" t="n">
        <x:v>1257.98</x:v>
      </x:c>
      <x:c r="L112" s="32" t="n">
        <x:v>22</x:v>
      </x:c>
      <x:c r="M112" s="32" t="n">
        <x:v>12</x:v>
      </x:c>
      <x:c r="N112" s="36" t="n">
        <x:v>0.91</x:v>
      </x:c>
      <x:c r="O112" s="28" t="str">
        <x:v>Não</x:v>
      </x:c>
      <x:c r="P112" s="28" t="str">
        <x:v>Médio</x:v>
      </x:c>
      <x:c r="Q112" s="32" t="n">
        <x:v>566</x:v>
      </x:c>
      <x:c r="R112" s="30" t="n">
        <x:v>0</x:v>
      </x:c>
      <x:c r="S112" s="30" t="n">
        <x:v>0</x:v>
      </x:c>
      <x:c r="T112" s="28" t="str">
        <x:v>Cobertura abaixo do nível de atenção</x:v>
      </x:c>
    </x:row>
    <x:row r="113">
      <x:c r="A113" s="34" t="n">
        <x:v>45444</x:v>
      </x:c>
      <x:c r="B113" s="28" t="str">
        <x:v>Grupo Industrial S.A.</x:v>
      </x:c>
      <x:c r="C113" s="28" t="str">
        <x:v>Planta São Paulo</x:v>
      </x:c>
      <x:c r="D113" s="28" t="str">
        <x:v>Masterbatch AZ</x:v>
      </x:c>
      <x:c r="E113" s="28" t="str">
        <x:v>Fornecedor D</x:v>
      </x:c>
      <x:c r="F113" s="28" t="str">
        <x:v>Insumo</x:v>
      </x:c>
      <x:c r="G113" s="32" t="n">
        <x:v>40650.48</x:v>
      </x:c>
      <x:c r="H113" s="32" t="n">
        <x:v>41265.14</x:v>
      </x:c>
      <x:c r="I113" s="30" t="n">
        <x:v>23.31</x:v>
      </x:c>
      <x:c r="J113" s="32" t="n">
        <x:v>34387.62</x:v>
      </x:c>
      <x:c r="K113" s="32" t="n">
        <x:v>1375.5</x:v>
      </x:c>
      <x:c r="L113" s="32" t="n">
        <x:v>25</x:v>
      </x:c>
      <x:c r="M113" s="32" t="n">
        <x:v>14</x:v>
      </x:c>
      <x:c r="N113" s="36" t="n">
        <x:v>0.93</x:v>
      </x:c>
      <x:c r="O113" s="28" t="str">
        <x:v>Não</x:v>
      </x:c>
      <x:c r="P113" s="28" t="str">
        <x:v>Baixo</x:v>
      </x:c>
      <x:c r="Q113" s="32" t="n">
        <x:v>0</x:v>
      </x:c>
      <x:c r="R113" s="30" t="n">
        <x:v>0</x:v>
      </x:c>
      <x:c r="S113" s="30" t="n">
        <x:v>0</x:v>
      </x:c>
      <x:c r="T113" s="28" t="str">
        <x:v>Cobertura adequada</x:v>
      </x:c>
    </x:row>
    <x:row r="114">
      <x:c r="A114" s="34" t="n">
        <x:v>45444</x:v>
      </x:c>
      <x:c r="B114" s="28" t="str">
        <x:v>Grupo Industrial S.A.</x:v>
      </x:c>
      <x:c r="C114" s="28" t="str">
        <x:v>Planta Campinas</x:v>
      </x:c>
      <x:c r="D114" s="28" t="str">
        <x:v>Filme PE 500mm</x:v>
      </x:c>
      <x:c r="E114" s="28" t="str">
        <x:v>Fornecedor A</x:v>
      </x:c>
      <x:c r="F114" s="28" t="str">
        <x:v>Embalagem</x:v>
      </x:c>
      <x:c r="G114" s="32" t="n">
        <x:v>13770.74</x:v>
      </x:c>
      <x:c r="H114" s="32" t="n">
        <x:v>14843.17</x:v>
      </x:c>
      <x:c r="I114" s="30" t="n">
        <x:v>12.85</x:v>
      </x:c>
      <x:c r="J114" s="32" t="n">
        <x:v>10884.99</x:v>
      </x:c>
      <x:c r="K114" s="32" t="n">
        <x:v>494.77</x:v>
      </x:c>
      <x:c r="L114" s="32" t="n">
        <x:v>22</x:v>
      </x:c>
      <x:c r="M114" s="32" t="n">
        <x:v>12</x:v>
      </x:c>
      <x:c r="N114" s="36" t="n">
        <x:v>0.93</x:v>
      </x:c>
      <x:c r="O114" s="28" t="str">
        <x:v>Não</x:v>
      </x:c>
      <x:c r="P114" s="28" t="str">
        <x:v>Médio</x:v>
      </x:c>
      <x:c r="Q114" s="32" t="n">
        <x:v>222</x:v>
      </x:c>
      <x:c r="R114" s="30" t="n">
        <x:v>0</x:v>
      </x:c>
      <x:c r="S114" s="30" t="n">
        <x:v>0</x:v>
      </x:c>
      <x:c r="T114" s="28" t="str">
        <x:v>Cobertura abaixo do nível de atenção</x:v>
      </x:c>
    </x:row>
    <x:row r="115">
      <x:c r="A115" s="34" t="n">
        <x:v>45444</x:v>
      </x:c>
      <x:c r="B115" s="28" t="str">
        <x:v>Grupo Industrial S.A.</x:v>
      </x:c>
      <x:c r="C115" s="28" t="str">
        <x:v>Planta Campinas</x:v>
      </x:c>
      <x:c r="D115" s="28" t="str">
        <x:v>Resina PP H103</x:v>
      </x:c>
      <x:c r="E115" s="28" t="str">
        <x:v>Fornecedor B</x:v>
      </x:c>
      <x:c r="F115" s="28" t="str">
        <x:v>Resina</x:v>
      </x:c>
      <x:c r="G115" s="32" t="n">
        <x:v>16669.85</x:v>
      </x:c>
      <x:c r="H115" s="32" t="n">
        <x:v>17801.94</x:v>
      </x:c>
      <x:c r="I115" s="30" t="n">
        <x:v>9.01</x:v>
      </x:c>
      <x:c r="J115" s="32" t="n">
        <x:v>5340.58</x:v>
      </x:c>
      <x:c r="K115" s="32" t="n">
        <x:v>593.4</x:v>
      </x:c>
      <x:c r="L115" s="32" t="n">
        <x:v>9</x:v>
      </x:c>
      <x:c r="M115" s="32" t="n">
        <x:v>16</x:v>
      </x:c>
      <x:c r="N115" s="36" t="n">
        <x:v>0.84</x:v>
      </x:c>
      <x:c r="O115" s="28" t="str">
        <x:v>Risco</x:v>
      </x:c>
      <x:c r="P115" s="28" t="str">
        <x:v>Alto</x:v>
      </x:c>
      <x:c r="Q115" s="32" t="n">
        <x:v>3263</x:v>
      </x:c>
      <x:c r="R115" s="30" t="n">
        <x:v>3717.04</x:v>
      </x:c>
      <x:c r="S115" s="30" t="n">
        <x:v>0</x:v>
      </x:c>
      <x:c r="T115" s="28" t="str">
        <x:v>Cobertura &lt; lead time + margem de segurança</x:v>
      </x:c>
    </x:row>
    <x:row r="116">
      <x:c r="A116" s="34" t="n">
        <x:v>45444</x:v>
      </x:c>
      <x:c r="B116" s="28" t="str">
        <x:v>Grupo Industrial S.A.</x:v>
      </x:c>
      <x:c r="C116" s="28" t="str">
        <x:v>Planta Campinas</x:v>
      </x:c>
      <x:c r="D116" s="28" t="str">
        <x:v>Tampa 28mm</x:v>
      </x:c>
      <x:c r="E116" s="28" t="str">
        <x:v>Fornecedor C</x:v>
      </x:c>
      <x:c r="F116" s="28" t="str">
        <x:v>Embalagem</x:v>
      </x:c>
      <x:c r="G116" s="32" t="n">
        <x:v>19568.95</x:v>
      </x:c>
      <x:c r="H116" s="32" t="n">
        <x:v>20007.42</x:v>
      </x:c>
      <x:c r="I116" s="30" t="n">
        <x:v>0.37</x:v>
      </x:c>
      <x:c r="J116" s="32" t="n">
        <x:v>7336.05</x:v>
      </x:c>
      <x:c r="K116" s="32" t="n">
        <x:v>666.91</x:v>
      </x:c>
      <x:c r="L116" s="32" t="n">
        <x:v>11</x:v>
      </x:c>
      <x:c r="M116" s="32" t="n">
        <x:v>14</x:v>
      </x:c>
      <x:c r="N116" s="36" t="n">
        <x:v>0.88</x:v>
      </x:c>
      <x:c r="O116" s="28" t="str">
        <x:v>Risco</x:v>
      </x:c>
      <x:c r="P116" s="28" t="str">
        <x:v>Alto</x:v>
      </x:c>
      <x:c r="Q116" s="32" t="n">
        <x:v>2200</x:v>
      </x:c>
      <x:c r="R116" s="30" t="n">
        <x:v>115.24</x:v>
      </x:c>
      <x:c r="S116" s="30" t="n">
        <x:v>0</x:v>
      </x:c>
      <x:c r="T116" s="28" t="str">
        <x:v>Cobertura &lt; lead time + margem de segurança</x:v>
      </x:c>
    </x:row>
    <x:row r="117">
      <x:c r="A117" s="34" t="n">
        <x:v>45444</x:v>
      </x:c>
      <x:c r="B117" s="28" t="str">
        <x:v>Grupo Industrial S.A.</x:v>
      </x:c>
      <x:c r="C117" s="28" t="str">
        <x:v>Planta Campinas</x:v>
      </x:c>
      <x:c r="D117" s="28" t="str">
        <x:v>Rótulo L-120</x:v>
      </x:c>
      <x:c r="E117" s="28" t="str">
        <x:v>Fornecedor E</x:v>
      </x:c>
      <x:c r="F117" s="28" t="str">
        <x:v>Embalagem</x:v>
      </x:c>
      <x:c r="G117" s="32" t="n">
        <x:v>22468.06</x:v>
      </x:c>
      <x:c r="H117" s="32" t="n">
        <x:v>22972.36</x:v>
      </x:c>
      <x:c r="I117" s="30" t="n">
        <x:v>0.19</x:v>
      </x:c>
      <x:c r="J117" s="32" t="n">
        <x:v>24503.85</x:v>
      </x:c>
      <x:c r="K117" s="32" t="n">
        <x:v>765.75</x:v>
      </x:c>
      <x:c r="L117" s="32" t="n">
        <x:v>32</x:v>
      </x:c>
      <x:c r="M117" s="32" t="n">
        <x:v>14</x:v>
      </x:c>
      <x:c r="N117" s="36" t="n">
        <x:v>0.95</x:v>
      </x:c>
      <x:c r="O117" s="28" t="str">
        <x:v>Não</x:v>
      </x:c>
      <x:c r="P117" s="28" t="str">
        <x:v>Baixo</x:v>
      </x:c>
      <x:c r="Q117" s="32" t="n">
        <x:v>0</x:v>
      </x:c>
      <x:c r="R117" s="30" t="n">
        <x:v>0</x:v>
      </x:c>
      <x:c r="S117" s="30" t="n">
        <x:v>0</x:v>
      </x:c>
      <x:c r="T117" s="28" t="str">
        <x:v>Cobertura adequada</x:v>
      </x:c>
    </x:row>
    <x:row r="118">
      <x:c r="A118" s="34" t="n">
        <x:v>45444</x:v>
      </x:c>
      <x:c r="B118" s="28" t="str">
        <x:v>Grupo Industrial S.A.</x:v>
      </x:c>
      <x:c r="C118" s="28" t="str">
        <x:v>Planta Campinas</x:v>
      </x:c>
      <x:c r="D118" s="28" t="str">
        <x:v>Caixa papelão P</x:v>
      </x:c>
      <x:c r="E118" s="28" t="str">
        <x:v>Fornecedor A</x:v>
      </x:c>
      <x:c r="F118" s="28" t="str">
        <x:v>Embalagem</x:v>
      </x:c>
      <x:c r="G118" s="32" t="n">
        <x:v>25367.16</x:v>
      </x:c>
      <x:c r="H118" s="32" t="n">
        <x:v>25824.16</x:v>
      </x:c>
      <x:c r="I118" s="30" t="n">
        <x:v>2.95</x:v>
      </x:c>
      <x:c r="J118" s="32" t="n">
        <x:v>15494.49</x:v>
      </x:c>
      <x:c r="K118" s="32" t="n">
        <x:v>860.81</x:v>
      </x:c>
      <x:c r="L118" s="32" t="n">
        <x:v>18</x:v>
      </x:c>
      <x:c r="M118" s="32" t="n">
        <x:v>14</x:v>
      </x:c>
      <x:c r="N118" s="36" t="n">
        <x:v>0.91</x:v>
      </x:c>
      <x:c r="O118" s="28" t="str">
        <x:v>Não</x:v>
      </x:c>
      <x:c r="P118" s="28" t="str">
        <x:v>Médio</x:v>
      </x:c>
      <x:c r="Q118" s="32" t="n">
        <x:v>903</x:v>
      </x:c>
      <x:c r="R118" s="30" t="n">
        <x:v>147.2</x:v>
      </x:c>
      <x:c r="S118" s="30" t="n">
        <x:v>0</x:v>
      </x:c>
      <x:c r="T118" s="28" t="str">
        <x:v>Cobertura abaixo do nível de atenção</x:v>
      </x:c>
    </x:row>
    <x:row r="119">
      <x:c r="A119" s="34" t="n">
        <x:v>45444</x:v>
      </x:c>
      <x:c r="B119" s="28" t="str">
        <x:v>Grupo Industrial S.A.</x:v>
      </x:c>
      <x:c r="C119" s="28" t="str">
        <x:v>Planta Campinas</x:v>
      </x:c>
      <x:c r="D119" s="28" t="str">
        <x:v>Aditivo A3</x:v>
      </x:c>
      <x:c r="E119" s="28" t="str">
        <x:v>Fornecedor D</x:v>
      </x:c>
      <x:c r="F119" s="28" t="str">
        <x:v>Insumo</x:v>
      </x:c>
      <x:c r="G119" s="32" t="n">
        <x:v>28266.26</x:v>
      </x:c>
      <x:c r="H119" s="32" t="n">
        <x:v>29652.62</x:v>
      </x:c>
      <x:c r="I119" s="30" t="n">
        <x:v>16.78</x:v>
      </x:c>
      <x:c r="J119" s="32" t="n">
        <x:v>17791.57</x:v>
      </x:c>
      <x:c r="K119" s="32" t="n">
        <x:v>988.42</x:v>
      </x:c>
      <x:c r="L119" s="32" t="n">
        <x:v>18</x:v>
      </x:c>
      <x:c r="M119" s="32" t="n">
        <x:v>10</x:v>
      </x:c>
      <x:c r="N119" s="36" t="n">
        <x:v>0.91</x:v>
      </x:c>
      <x:c r="O119" s="28" t="str">
        <x:v>Não</x:v>
      </x:c>
      <x:c r="P119" s="28" t="str">
        <x:v>Médio</x:v>
      </x:c>
      <x:c r="Q119" s="32" t="n">
        <x:v>1037</x:v>
      </x:c>
      <x:c r="R119" s="30" t="n">
        <x:v>0</x:v>
      </x:c>
      <x:c r="S119" s="30" t="n">
        <x:v>0</x:v>
      </x:c>
      <x:c r="T119" s="28" t="str">
        <x:v>Cobertura abaixo do nível de atenção</x:v>
      </x:c>
    </x:row>
    <x:row r="120">
      <x:c r="A120" s="34" t="n">
        <x:v>45444</x:v>
      </x:c>
      <x:c r="B120" s="28" t="str">
        <x:v>Grupo Industrial S.A.</x:v>
      </x:c>
      <x:c r="C120" s="28" t="str">
        <x:v>Planta Campinas</x:v>
      </x:c>
      <x:c r="D120" s="28" t="str">
        <x:v>Masterbatch AZ</x:v>
      </x:c>
      <x:c r="E120" s="28" t="str">
        <x:v>Fornecedor D</x:v>
      </x:c>
      <x:c r="F120" s="28" t="str">
        <x:v>Insumo</x:v>
      </x:c>
      <x:c r="G120" s="32" t="n">
        <x:v>31165.37</x:v>
      </x:c>
      <x:c r="H120" s="32" t="n">
        <x:v>32716.87</x:v>
      </x:c>
      <x:c r="I120" s="30" t="n">
        <x:v>23.31</x:v>
      </x:c>
      <x:c r="J120" s="32" t="n">
        <x:v>27264.06</x:v>
      </x:c>
      <x:c r="K120" s="32" t="n">
        <x:v>1090.56</x:v>
      </x:c>
      <x:c r="L120" s="32" t="n">
        <x:v>25</x:v>
      </x:c>
      <x:c r="M120" s="32" t="n">
        <x:v>8</x:v>
      </x:c>
      <x:c r="N120" s="36" t="n">
        <x:v>0.97</x:v>
      </x:c>
      <x:c r="O120" s="28" t="str">
        <x:v>Não</x:v>
      </x:c>
      <x:c r="P120" s="28" t="str">
        <x:v>Baixo</x:v>
      </x:c>
      <x:c r="Q120" s="32" t="n">
        <x:v>0</x:v>
      </x:c>
      <x:c r="R120" s="30" t="n">
        <x:v>0</x:v>
      </x:c>
      <x:c r="S120" s="30" t="n">
        <x:v>0</x:v>
      </x:c>
      <x:c r="T120" s="28" t="str">
        <x:v>Cobertura adequada</x:v>
      </x:c>
    </x:row>
    <x:row r="121">
      <x:c r="A121" s="34" t="n">
        <x:v>45444</x:v>
      </x:c>
      <x:c r="B121" s="28" t="str">
        <x:v>Grupo Industrial S.A.</x:v>
      </x:c>
      <x:c r="C121" s="28" t="str">
        <x:v>Planta Curitiba</x:v>
      </x:c>
      <x:c r="D121" s="28" t="str">
        <x:v>Filme PE 500mm</x:v>
      </x:c>
      <x:c r="E121" s="28" t="str">
        <x:v>Fornecedor A</x:v>
      </x:c>
      <x:c r="F121" s="28" t="str">
        <x:v>Embalagem</x:v>
      </x:c>
      <x:c r="G121" s="32" t="n">
        <x:v>12872.65</x:v>
      </x:c>
      <x:c r="H121" s="32" t="n">
        <x:v>13434.5</x:v>
      </x:c>
      <x:c r="I121" s="30" t="n">
        <x:v>12.85</x:v>
      </x:c>
      <x:c r="J121" s="32" t="n">
        <x:v>11195.42</x:v>
      </x:c>
      <x:c r="K121" s="32" t="n">
        <x:v>447.82</x:v>
      </x:c>
      <x:c r="L121" s="32" t="n">
        <x:v>25</x:v>
      </x:c>
      <x:c r="M121" s="32" t="n">
        <x:v>14</x:v>
      </x:c>
      <x:c r="N121" s="36" t="n">
        <x:v>0.93</x:v>
      </x:c>
      <x:c r="O121" s="28" t="str">
        <x:v>Não</x:v>
      </x:c>
      <x:c r="P121" s="28" t="str">
        <x:v>Baixo</x:v>
      </x:c>
      <x:c r="Q121" s="32" t="n">
        <x:v>0</x:v>
      </x:c>
      <x:c r="R121" s="30" t="n">
        <x:v>0</x:v>
      </x:c>
      <x:c r="S121" s="30" t="n">
        <x:v>0</x:v>
      </x:c>
      <x:c r="T121" s="28" t="str">
        <x:v>Cobertura adequada</x:v>
      </x:c>
    </x:row>
    <x:row r="122">
      <x:c r="A122" s="34" t="n">
        <x:v>45444</x:v>
      </x:c>
      <x:c r="B122" s="28" t="str">
        <x:v>Grupo Industrial S.A.</x:v>
      </x:c>
      <x:c r="C122" s="28" t="str">
        <x:v>Planta Curitiba</x:v>
      </x:c>
      <x:c r="D122" s="28" t="str">
        <x:v>Resina PP H103</x:v>
      </x:c>
      <x:c r="E122" s="28" t="str">
        <x:v>Fornecedor B</x:v>
      </x:c>
      <x:c r="F122" s="28" t="str">
        <x:v>Resina</x:v>
      </x:c>
      <x:c r="G122" s="32" t="n">
        <x:v>15582.68</x:v>
      </x:c>
      <x:c r="H122" s="32" t="n">
        <x:v>15951.1</x:v>
      </x:c>
      <x:c r="I122" s="30" t="n">
        <x:v>9.01</x:v>
      </x:c>
      <x:c r="J122" s="32" t="n">
        <x:v>9570.66</x:v>
      </x:c>
      <x:c r="K122" s="32" t="n">
        <x:v>531.7</x:v>
      </x:c>
      <x:c r="L122" s="32" t="n">
        <x:v>18</x:v>
      </x:c>
      <x:c r="M122" s="32" t="n">
        <x:v>8</x:v>
      </x:c>
      <x:c r="N122" s="36" t="n">
        <x:v>0.91</x:v>
      </x:c>
      <x:c r="O122" s="28" t="str">
        <x:v>Não</x:v>
      </x:c>
      <x:c r="P122" s="28" t="str">
        <x:v>Médio</x:v>
      </x:c>
      <x:c r="Q122" s="32" t="n">
        <x:v>558</x:v>
      </x:c>
      <x:c r="R122" s="30" t="n">
        <x:v>0</x:v>
      </x:c>
      <x:c r="S122" s="30" t="n">
        <x:v>0</x:v>
      </x:c>
      <x:c r="T122" s="28" t="str">
        <x:v>Cobertura abaixo do nível de atenção</x:v>
      </x:c>
    </x:row>
    <x:row r="123">
      <x:c r="A123" s="34" t="n">
        <x:v>45444</x:v>
      </x:c>
      <x:c r="B123" s="28" t="str">
        <x:v>Grupo Industrial S.A.</x:v>
      </x:c>
      <x:c r="C123" s="28" t="str">
        <x:v>Planta Curitiba</x:v>
      </x:c>
      <x:c r="D123" s="28" t="str">
        <x:v>Tampa 28mm</x:v>
      </x:c>
      <x:c r="E123" s="28" t="str">
        <x:v>Fornecedor C</x:v>
      </x:c>
      <x:c r="F123" s="28" t="str">
        <x:v>Embalagem</x:v>
      </x:c>
      <x:c r="G123" s="32" t="n">
        <x:v>18292.72</x:v>
      </x:c>
      <x:c r="H123" s="32" t="n">
        <x:v>18619.23</x:v>
      </x:c>
      <x:c r="I123" s="30" t="n">
        <x:v>0.37</x:v>
      </x:c>
      <x:c r="J123" s="32" t="n">
        <x:v>13654.1</x:v>
      </x:c>
      <x:c r="K123" s="32" t="n">
        <x:v>620.64</x:v>
      </x:c>
      <x:c r="L123" s="32" t="n">
        <x:v>22</x:v>
      </x:c>
      <x:c r="M123" s="32" t="n">
        <x:v>14</x:v>
      </x:c>
      <x:c r="N123" s="36" t="n">
        <x:v>0.93</x:v>
      </x:c>
      <x:c r="O123" s="28" t="str">
        <x:v>Não</x:v>
      </x:c>
      <x:c r="P123" s="28" t="str">
        <x:v>Médio</x:v>
      </x:c>
      <x:c r="Q123" s="32" t="n">
        <x:v>279</x:v>
      </x:c>
      <x:c r="R123" s="30" t="n">
        <x:v>0</x:v>
      </x:c>
      <x:c r="S123" s="30" t="n">
        <x:v>0</x:v>
      </x:c>
      <x:c r="T123" s="28" t="str">
        <x:v>Cobertura abaixo do nível de atenção</x:v>
      </x:c>
    </x:row>
    <x:row r="124">
      <x:c r="A124" s="34" t="n">
        <x:v>45444</x:v>
      </x:c>
      <x:c r="B124" s="28" t="str">
        <x:v>Grupo Industrial S.A.</x:v>
      </x:c>
      <x:c r="C124" s="28" t="str">
        <x:v>Planta Curitiba</x:v>
      </x:c>
      <x:c r="D124" s="28" t="str">
        <x:v>Rótulo L-120</x:v>
      </x:c>
      <x:c r="E124" s="28" t="str">
        <x:v>Fornecedor E</x:v>
      </x:c>
      <x:c r="F124" s="28" t="str">
        <x:v>Embalagem</x:v>
      </x:c>
      <x:c r="G124" s="32" t="n">
        <x:v>21002.75</x:v>
      </x:c>
      <x:c r="H124" s="32" t="n">
        <x:v>21277.63</x:v>
      </x:c>
      <x:c r="I124" s="30" t="n">
        <x:v>0.19</x:v>
      </x:c>
      <x:c r="J124" s="32" t="n">
        <x:v>22696.14</x:v>
      </x:c>
      <x:c r="K124" s="32" t="n">
        <x:v>709.25</x:v>
      </x:c>
      <x:c r="L124" s="32" t="n">
        <x:v>32</x:v>
      </x:c>
      <x:c r="M124" s="32" t="n">
        <x:v>12</x:v>
      </x:c>
      <x:c r="N124" s="36" t="n">
        <x:v>0.91</x:v>
      </x:c>
      <x:c r="O124" s="28" t="str">
        <x:v>Não</x:v>
      </x:c>
      <x:c r="P124" s="28" t="str">
        <x:v>Baixo</x:v>
      </x:c>
      <x:c r="Q124" s="32" t="n">
        <x:v>0</x:v>
      </x:c>
      <x:c r="R124" s="30" t="n">
        <x:v>0</x:v>
      </x:c>
      <x:c r="S124" s="30" t="n">
        <x:v>0</x:v>
      </x:c>
      <x:c r="T124" s="28" t="str">
        <x:v>Cobertura adequada</x:v>
      </x:c>
    </x:row>
    <x:row r="125">
      <x:c r="A125" s="34" t="n">
        <x:v>45444</x:v>
      </x:c>
      <x:c r="B125" s="28" t="str">
        <x:v>Grupo Industrial S.A.</x:v>
      </x:c>
      <x:c r="C125" s="28" t="str">
        <x:v>Planta Curitiba</x:v>
      </x:c>
      <x:c r="D125" s="28" t="str">
        <x:v>Caixa papelão P</x:v>
      </x:c>
      <x:c r="E125" s="28" t="str">
        <x:v>Fornecedor A</x:v>
      </x:c>
      <x:c r="F125" s="28" t="str">
        <x:v>Embalagem</x:v>
      </x:c>
      <x:c r="G125" s="32" t="n">
        <x:v>23712.78</x:v>
      </x:c>
      <x:c r="H125" s="32" t="n">
        <x:v>24671.96</x:v>
      </x:c>
      <x:c r="I125" s="30" t="n">
        <x:v>2.95</x:v>
      </x:c>
      <x:c r="J125" s="32" t="n">
        <x:v>14803.18</x:v>
      </x:c>
      <x:c r="K125" s="32" t="n">
        <x:v>822.4</x:v>
      </x:c>
      <x:c r="L125" s="32" t="n">
        <x:v>18</x:v>
      </x:c>
      <x:c r="M125" s="32" t="n">
        <x:v>14</x:v>
      </x:c>
      <x:c r="N125" s="36" t="n">
        <x:v>0.97</x:v>
      </x:c>
      <x:c r="O125" s="28" t="str">
        <x:v>Não</x:v>
      </x:c>
      <x:c r="P125" s="28" t="str">
        <x:v>Médio</x:v>
      </x:c>
      <x:c r="Q125" s="32" t="n">
        <x:v>863</x:v>
      </x:c>
      <x:c r="R125" s="30" t="n">
        <x:v>140.63</x:v>
      </x:c>
      <x:c r="S125" s="30" t="n">
        <x:v>0</x:v>
      </x:c>
      <x:c r="T125" s="28" t="str">
        <x:v>Cobertura abaixo do nível de atenção</x:v>
      </x:c>
    </x:row>
    <x:row r="126">
      <x:c r="A126" s="34" t="n">
        <x:v>45444</x:v>
      </x:c>
      <x:c r="B126" s="28" t="str">
        <x:v>Grupo Industrial S.A.</x:v>
      </x:c>
      <x:c r="C126" s="28" t="str">
        <x:v>Planta Curitiba</x:v>
      </x:c>
      <x:c r="D126" s="28" t="str">
        <x:v>Aditivo A3</x:v>
      </x:c>
      <x:c r="E126" s="28" t="str">
        <x:v>Fornecedor D</x:v>
      </x:c>
      <x:c r="F126" s="28" t="str">
        <x:v>Insumo</x:v>
      </x:c>
      <x:c r="G126" s="32" t="n">
        <x:v>26422.81</x:v>
      </x:c>
      <x:c r="H126" s="32" t="n">
        <x:v>27308.94</x:v>
      </x:c>
      <x:c r="I126" s="30" t="n">
        <x:v>16.78</x:v>
      </x:c>
      <x:c r="J126" s="32" t="n">
        <x:v>40963.42</x:v>
      </x:c>
      <x:c r="K126" s="32" t="n">
        <x:v>910.3</x:v>
      </x:c>
      <x:c r="L126" s="32" t="n">
        <x:v>45</x:v>
      </x:c>
      <x:c r="M126" s="32" t="n">
        <x:v>12</x:v>
      </x:c>
      <x:c r="N126" s="36" t="n">
        <x:v>0.95</x:v>
      </x:c>
      <x:c r="O126" s="28" t="str">
        <x:v>Não</x:v>
      </x:c>
      <x:c r="P126" s="28" t="str">
        <x:v>Baixo</x:v>
      </x:c>
      <x:c r="Q126" s="32" t="n">
        <x:v>0</x:v>
      </x:c>
      <x:c r="R126" s="30" t="n">
        <x:v>0</x:v>
      </x:c>
      <x:c r="S126" s="30" t="n">
        <x:v>147468.29</x:v>
      </x:c>
      <x:c r="T126" s="28" t="str">
        <x:v>Cobertura adequada</x:v>
      </x:c>
    </x:row>
    <x:row r="127">
      <x:c r="A127" s="34" t="n">
        <x:v>45444</x:v>
      </x:c>
      <x:c r="B127" s="28" t="str">
        <x:v>Grupo Industrial S.A.</x:v>
      </x:c>
      <x:c r="C127" s="28" t="str">
        <x:v>Planta Curitiba</x:v>
      </x:c>
      <x:c r="D127" s="28" t="str">
        <x:v>Masterbatch AZ</x:v>
      </x:c>
      <x:c r="E127" s="28" t="str">
        <x:v>Fornecedor D</x:v>
      </x:c>
      <x:c r="F127" s="28" t="str">
        <x:v>Insumo</x:v>
      </x:c>
      <x:c r="G127" s="32" t="n">
        <x:v>29132.84</x:v>
      </x:c>
      <x:c r="H127" s="32" t="n">
        <x:v>29761.13</x:v>
      </x:c>
      <x:c r="I127" s="30" t="n">
        <x:v>23.31</x:v>
      </x:c>
      <x:c r="J127" s="32" t="n">
        <x:v>24800.94</x:v>
      </x:c>
      <x:c r="K127" s="32" t="n">
        <x:v>992.04</x:v>
      </x:c>
      <x:c r="L127" s="32" t="n">
        <x:v>25</x:v>
      </x:c>
      <x:c r="M127" s="32" t="n">
        <x:v>10</x:v>
      </x:c>
      <x:c r="N127" s="36" t="n">
        <x:v>0.91</x:v>
      </x:c>
      <x:c r="O127" s="28" t="str">
        <x:v>Não</x:v>
      </x:c>
      <x:c r="P127" s="28" t="str">
        <x:v>Baixo</x:v>
      </x:c>
      <x:c r="Q127" s="32" t="n">
        <x:v>0</x:v>
      </x:c>
      <x:c r="R127" s="30" t="n">
        <x:v>0</x:v>
      </x:c>
      <x:c r="S127" s="30" t="n">
        <x:v>0</x:v>
      </x:c>
      <x:c r="T127" s="28" t="str">
        <x:v>Cobertura adequada</x:v>
      </x:c>
    </x:row>
    <x:row r="128">
      <x:c r="A128" s="34" t="n">
        <x:v>45474</x:v>
      </x:c>
      <x:c r="B128" s="28" t="str">
        <x:v>Grupo Industrial S.A.</x:v>
      </x:c>
      <x:c r="C128" s="28" t="str">
        <x:v>Planta São Paulo</x:v>
      </x:c>
      <x:c r="D128" s="28" t="str">
        <x:v>Filme PE 500mm</x:v>
      </x:c>
      <x:c r="E128" s="28" t="str">
        <x:v>Fornecedor A</x:v>
      </x:c>
      <x:c r="F128" s="28" t="str">
        <x:v>Embalagem</x:v>
      </x:c>
      <x:c r="G128" s="32" t="n">
        <x:v>17250.48</x:v>
      </x:c>
      <x:c r="H128" s="32" t="n">
        <x:v>18064.87</x:v>
      </x:c>
      <x:c r="I128" s="30" t="n">
        <x:v>12.92</x:v>
      </x:c>
      <x:c r="J128" s="32" t="n">
        <x:v>18647.61</x:v>
      </x:c>
      <x:c r="K128" s="32" t="n">
        <x:v>582.74</x:v>
      </x:c>
      <x:c r="L128" s="32" t="n">
        <x:v>32</x:v>
      </x:c>
      <x:c r="M128" s="32" t="n">
        <x:v>12</x:v>
      </x:c>
      <x:c r="N128" s="36" t="n">
        <x:v>0.93</x:v>
      </x:c>
      <x:c r="O128" s="28" t="str">
        <x:v>Não</x:v>
      </x:c>
      <x:c r="P128" s="28" t="str">
        <x:v>Baixo</x:v>
      </x:c>
      <x:c r="Q128" s="32" t="n">
        <x:v>0</x:v>
      </x:c>
      <x:c r="R128" s="30" t="n">
        <x:v>0</x:v>
      </x:c>
      <x:c r="S128" s="30" t="n">
        <x:v>0</x:v>
      </x:c>
      <x:c r="T128" s="28" t="str">
        <x:v>Cobertura adequada</x:v>
      </x:c>
    </x:row>
    <x:row r="129">
      <x:c r="A129" s="34" t="n">
        <x:v>45474</x:v>
      </x:c>
      <x:c r="B129" s="28" t="str">
        <x:v>Grupo Industrial S.A.</x:v>
      </x:c>
      <x:c r="C129" s="28" t="str">
        <x:v>Planta São Paulo</x:v>
      </x:c>
      <x:c r="D129" s="28" t="str">
        <x:v>Resina PP H103</x:v>
      </x:c>
      <x:c r="E129" s="28" t="str">
        <x:v>Fornecedor B</x:v>
      </x:c>
      <x:c r="F129" s="28" t="str">
        <x:v>Resina</x:v>
      </x:c>
      <x:c r="G129" s="32" t="n">
        <x:v>20882.16</x:v>
      </x:c>
      <x:c r="H129" s="32" t="n">
        <x:v>21205.38</x:v>
      </x:c>
      <x:c r="I129" s="30" t="n">
        <x:v>9.07</x:v>
      </x:c>
      <x:c r="J129" s="32" t="n">
        <x:v>30782.01</x:v>
      </x:c>
      <x:c r="K129" s="32" t="n">
        <x:v>684.04</x:v>
      </x:c>
      <x:c r="L129" s="32" t="n">
        <x:v>45</x:v>
      </x:c>
      <x:c r="M129" s="32" t="n">
        <x:v>14</x:v>
      </x:c>
      <x:c r="N129" s="36" t="n">
        <x:v>0.97</x:v>
      </x:c>
      <x:c r="O129" s="28" t="str">
        <x:v>Não</x:v>
      </x:c>
      <x:c r="P129" s="28" t="str">
        <x:v>Baixo</x:v>
      </x:c>
      <x:c r="Q129" s="32" t="n">
        <x:v>0</x:v>
      </x:c>
      <x:c r="R129" s="30" t="n">
        <x:v>0</x:v>
      </x:c>
      <x:c r="S129" s="30" t="n">
        <x:v>59511.88</x:v>
      </x:c>
      <x:c r="T129" s="28" t="str">
        <x:v>Cobertura adequada</x:v>
      </x:c>
    </x:row>
    <x:row r="130">
      <x:c r="A130" s="34" t="n">
        <x:v>45474</x:v>
      </x:c>
      <x:c r="B130" s="28" t="str">
        <x:v>Grupo Industrial S.A.</x:v>
      </x:c>
      <x:c r="C130" s="28" t="str">
        <x:v>Planta São Paulo</x:v>
      </x:c>
      <x:c r="D130" s="28" t="str">
        <x:v>Tampa 28mm</x:v>
      </x:c>
      <x:c r="E130" s="28" t="str">
        <x:v>Fornecedor C</x:v>
      </x:c>
      <x:c r="F130" s="28" t="str">
        <x:v>Embalagem</x:v>
      </x:c>
      <x:c r="G130" s="32" t="n">
        <x:v>24513.84</x:v>
      </x:c>
      <x:c r="H130" s="32" t="n">
        <x:v>25229.37</x:v>
      </x:c>
      <x:c r="I130" s="30" t="n">
        <x:v>0.38</x:v>
      </x:c>
      <x:c r="J130" s="32" t="n">
        <x:v>30926.33</x:v>
      </x:c>
      <x:c r="K130" s="32" t="n">
        <x:v>813.85</x:v>
      </x:c>
      <x:c r="L130" s="32" t="n">
        <x:v>38</x:v>
      </x:c>
      <x:c r="M130" s="32" t="n">
        <x:v>12</x:v>
      </x:c>
      <x:c r="N130" s="36" t="n">
        <x:v>0.93</x:v>
      </x:c>
      <x:c r="O130" s="28" t="str">
        <x:v>Não</x:v>
      </x:c>
      <x:c r="P130" s="28" t="str">
        <x:v>Baixo</x:v>
      </x:c>
      <x:c r="Q130" s="32" t="n">
        <x:v>0</x:v>
      </x:c>
      <x:c r="R130" s="30" t="n">
        <x:v>0</x:v>
      </x:c>
      <x:c r="S130" s="30" t="n">
        <x:v>878.96</x:v>
      </x:c>
      <x:c r="T130" s="28" t="str">
        <x:v>Cobertura adequada</x:v>
      </x:c>
    </x:row>
    <x:row r="131">
      <x:c r="A131" s="34" t="n">
        <x:v>45474</x:v>
      </x:c>
      <x:c r="B131" s="28" t="str">
        <x:v>Grupo Industrial S.A.</x:v>
      </x:c>
      <x:c r="C131" s="28" t="str">
        <x:v>Planta São Paulo</x:v>
      </x:c>
      <x:c r="D131" s="28" t="str">
        <x:v>Rótulo L-120</x:v>
      </x:c>
      <x:c r="E131" s="28" t="str">
        <x:v>Fornecedor E</x:v>
      </x:c>
      <x:c r="F131" s="28" t="str">
        <x:v>Embalagem</x:v>
      </x:c>
      <x:c r="G131" s="32" t="n">
        <x:v>28145.52</x:v>
      </x:c>
      <x:c r="H131" s="32" t="n">
        <x:v>29230.02</x:v>
      </x:c>
      <x:c r="I131" s="30" t="n">
        <x:v>0.19</x:v>
      </x:c>
      <x:c r="J131" s="32" t="n">
        <x:v>20743.89</x:v>
      </x:c>
      <x:c r="K131" s="32" t="n">
        <x:v>942.9</x:v>
      </x:c>
      <x:c r="L131" s="32" t="n">
        <x:v>22</x:v>
      </x:c>
      <x:c r="M131" s="32" t="n">
        <x:v>14</x:v>
      </x:c>
      <x:c r="N131" s="36" t="n">
        <x:v>0.95</x:v>
      </x:c>
      <x:c r="O131" s="28" t="str">
        <x:v>Não</x:v>
      </x:c>
      <x:c r="P131" s="28" t="str">
        <x:v>Médio</x:v>
      </x:c>
      <x:c r="Q131" s="32" t="n">
        <x:v>424</x:v>
      </x:c>
      <x:c r="R131" s="30" t="n">
        <x:v>0</x:v>
      </x:c>
      <x:c r="S131" s="30" t="n">
        <x:v>0</x:v>
      </x:c>
      <x:c r="T131" s="28" t="str">
        <x:v>Cobertura abaixo do nível de atenção</x:v>
      </x:c>
    </x:row>
    <x:row r="132">
      <x:c r="A132" s="34" t="n">
        <x:v>45474</x:v>
      </x:c>
      <x:c r="B132" s="28" t="str">
        <x:v>Grupo Industrial S.A.</x:v>
      </x:c>
      <x:c r="C132" s="28" t="str">
        <x:v>Planta São Paulo</x:v>
      </x:c>
      <x:c r="D132" s="28" t="str">
        <x:v>Caixa papelão P</x:v>
      </x:c>
      <x:c r="E132" s="28" t="str">
        <x:v>Fornecedor A</x:v>
      </x:c>
      <x:c r="F132" s="28" t="str">
        <x:v>Embalagem</x:v>
      </x:c>
      <x:c r="G132" s="32" t="n">
        <x:v>31777.2</x:v>
      </x:c>
      <x:c r="H132" s="32" t="n">
        <x:v>33099.82</x:v>
      </x:c>
      <x:c r="I132" s="30" t="n">
        <x:v>2.97</x:v>
      </x:c>
      <x:c r="J132" s="32" t="n">
        <x:v>19219.25</x:v>
      </x:c>
      <x:c r="K132" s="32" t="n">
        <x:v>1067.74</x:v>
      </x:c>
      <x:c r="L132" s="32" t="n">
        <x:v>18</x:v>
      </x:c>
      <x:c r="M132" s="32" t="n">
        <x:v>8</x:v>
      </x:c>
      <x:c r="N132" s="36" t="n">
        <x:v>0.95</x:v>
      </x:c>
      <x:c r="O132" s="28" t="str">
        <x:v>Não</x:v>
      </x:c>
      <x:c r="P132" s="28" t="str">
        <x:v>Médio</x:v>
      </x:c>
      <x:c r="Q132" s="32" t="n">
        <x:v>1121</x:v>
      </x:c>
      <x:c r="R132" s="30" t="n">
        <x:v>0</x:v>
      </x:c>
      <x:c r="S132" s="30" t="n">
        <x:v>0</x:v>
      </x:c>
      <x:c r="T132" s="28" t="str">
        <x:v>Cobertura abaixo do nível de atenção</x:v>
      </x:c>
    </x:row>
    <x:row r="133">
      <x:c r="A133" s="34" t="n">
        <x:v>45474</x:v>
      </x:c>
      <x:c r="B133" s="28" t="str">
        <x:v>Grupo Industrial S.A.</x:v>
      </x:c>
      <x:c r="C133" s="28" t="str">
        <x:v>Planta São Paulo</x:v>
      </x:c>
      <x:c r="D133" s="28" t="str">
        <x:v>Aditivo A3</x:v>
      </x:c>
      <x:c r="E133" s="28" t="str">
        <x:v>Fornecedor D</x:v>
      </x:c>
      <x:c r="F133" s="28" t="str">
        <x:v>Insumo</x:v>
      </x:c>
      <x:c r="G133" s="32" t="n">
        <x:v>35408.88</x:v>
      </x:c>
      <x:c r="H133" s="32" t="n">
        <x:v>37162.56</x:v>
      </x:c>
      <x:c r="I133" s="30" t="n">
        <x:v>16.88</x:v>
      </x:c>
      <x:c r="J133" s="32" t="n">
        <x:v>38361.35</x:v>
      </x:c>
      <x:c r="K133" s="32" t="n">
        <x:v>1198.79</x:v>
      </x:c>
      <x:c r="L133" s="32" t="n">
        <x:v>32</x:v>
      </x:c>
      <x:c r="M133" s="32" t="n">
        <x:v>10</x:v>
      </x:c>
      <x:c r="N133" s="36" t="n">
        <x:v>0.91</x:v>
      </x:c>
      <x:c r="O133" s="28" t="str">
        <x:v>Não</x:v>
      </x:c>
      <x:c r="P133" s="28" t="str">
        <x:v>Baixo</x:v>
      </x:c>
      <x:c r="Q133" s="32" t="n">
        <x:v>0</x:v>
      </x:c>
      <x:c r="R133" s="30" t="n">
        <x:v>0</x:v>
      </x:c>
      <x:c r="S133" s="30" t="n">
        <x:v>0</x:v>
      </x:c>
      <x:c r="T133" s="28" t="str">
        <x:v>Cobertura adequada</x:v>
      </x:c>
    </x:row>
    <x:row r="134">
      <x:c r="A134" s="34" t="n">
        <x:v>45474</x:v>
      </x:c>
      <x:c r="B134" s="28" t="str">
        <x:v>Grupo Industrial S.A.</x:v>
      </x:c>
      <x:c r="C134" s="28" t="str">
        <x:v>Planta São Paulo</x:v>
      </x:c>
      <x:c r="D134" s="28" t="str">
        <x:v>Masterbatch AZ</x:v>
      </x:c>
      <x:c r="E134" s="28" t="str">
        <x:v>Fornecedor D</x:v>
      </x:c>
      <x:c r="F134" s="28" t="str">
        <x:v>Insumo</x:v>
      </x:c>
      <x:c r="G134" s="32" t="n">
        <x:v>39040.56</x:v>
      </x:c>
      <x:c r="H134" s="32" t="n">
        <x:v>40069.06</x:v>
      </x:c>
      <x:c r="I134" s="30" t="n">
        <x:v>23.45</x:v>
      </x:c>
      <x:c r="J134" s="32" t="n">
        <x:v>41361.61</x:v>
      </x:c>
      <x:c r="K134" s="32" t="n">
        <x:v>1292.55</x:v>
      </x:c>
      <x:c r="L134" s="32" t="n">
        <x:v>32</x:v>
      </x:c>
      <x:c r="M134" s="32" t="n">
        <x:v>12</x:v>
      </x:c>
      <x:c r="N134" s="36" t="n">
        <x:v>0.93</x:v>
      </x:c>
      <x:c r="O134" s="28" t="str">
        <x:v>Não</x:v>
      </x:c>
      <x:c r="P134" s="28" t="str">
        <x:v>Baixo</x:v>
      </x:c>
      <x:c r="Q134" s="32" t="n">
        <x:v>0</x:v>
      </x:c>
      <x:c r="R134" s="30" t="n">
        <x:v>0</x:v>
      </x:c>
      <x:c r="S134" s="30" t="n">
        <x:v>0</x:v>
      </x:c>
      <x:c r="T134" s="28" t="str">
        <x:v>Cobertura adequada</x:v>
      </x:c>
    </x:row>
    <x:row r="135">
      <x:c r="A135" s="34" t="n">
        <x:v>45474</x:v>
      </x:c>
      <x:c r="B135" s="28" t="str">
        <x:v>Grupo Industrial S.A.</x:v>
      </x:c>
      <x:c r="C135" s="28" t="str">
        <x:v>Planta Campinas</x:v>
      </x:c>
      <x:c r="D135" s="28" t="str">
        <x:v>Filme PE 500mm</x:v>
      </x:c>
      <x:c r="E135" s="28" t="str">
        <x:v>Fornecedor A</x:v>
      </x:c>
      <x:c r="F135" s="28" t="str">
        <x:v>Embalagem</x:v>
      </x:c>
      <x:c r="G135" s="32" t="n">
        <x:v>13225.37</x:v>
      </x:c>
      <x:c r="H135" s="32" t="n">
        <x:v>14186.91</x:v>
      </x:c>
      <x:c r="I135" s="30" t="n">
        <x:v>12.92</x:v>
      </x:c>
      <x:c r="J135" s="32" t="n">
        <x:v>14644.55</x:v>
      </x:c>
      <x:c r="K135" s="32" t="n">
        <x:v>457.64</x:v>
      </x:c>
      <x:c r="L135" s="32" t="n">
        <x:v>32</x:v>
      </x:c>
      <x:c r="M135" s="32" t="n">
        <x:v>8</x:v>
      </x:c>
      <x:c r="N135" s="36" t="n">
        <x:v>0.91</x:v>
      </x:c>
      <x:c r="O135" s="28" t="str">
        <x:v>Não</x:v>
      </x:c>
      <x:c r="P135" s="28" t="str">
        <x:v>Baixo</x:v>
      </x:c>
      <x:c r="Q135" s="32" t="n">
        <x:v>0</x:v>
      </x:c>
      <x:c r="R135" s="30" t="n">
        <x:v>0</x:v>
      </x:c>
      <x:c r="S135" s="30" t="n">
        <x:v>0</x:v>
      </x:c>
      <x:c r="T135" s="28" t="str">
        <x:v>Cobertura adequada</x:v>
      </x:c>
    </x:row>
    <x:row r="136">
      <x:c r="A136" s="34" t="n">
        <x:v>45474</x:v>
      </x:c>
      <x:c r="B136" s="28" t="str">
        <x:v>Grupo Industrial S.A.</x:v>
      </x:c>
      <x:c r="C136" s="28" t="str">
        <x:v>Planta Campinas</x:v>
      </x:c>
      <x:c r="D136" s="28" t="str">
        <x:v>Resina PP H103</x:v>
      </x:c>
      <x:c r="E136" s="28" t="str">
        <x:v>Fornecedor B</x:v>
      </x:c>
      <x:c r="F136" s="28" t="str">
        <x:v>Resina</x:v>
      </x:c>
      <x:c r="G136" s="32" t="n">
        <x:v>16009.66</x:v>
      </x:c>
      <x:c r="H136" s="32" t="n">
        <x:v>17023.62</x:v>
      </x:c>
      <x:c r="I136" s="30" t="n">
        <x:v>9.07</x:v>
      </x:c>
      <x:c r="J136" s="32" t="n">
        <x:v>5491.49</x:v>
      </x:c>
      <x:c r="K136" s="32" t="n">
        <x:v>549.15</x:v>
      </x:c>
      <x:c r="L136" s="32" t="n">
        <x:v>10</x:v>
      </x:c>
      <x:c r="M136" s="32" t="n">
        <x:v>16</x:v>
      </x:c>
      <x:c r="N136" s="36" t="n">
        <x:v>0.85</x:v>
      </x:c>
      <x:c r="O136" s="28" t="str">
        <x:v>Risco</x:v>
      </x:c>
      <x:c r="P136" s="28" t="str">
        <x:v>Alto</x:v>
      </x:c>
      <x:c r="Q136" s="32" t="n">
        <x:v>2718</x:v>
      </x:c>
      <x:c r="R136" s="30" t="n">
        <x:v>3153.21</x:v>
      </x:c>
      <x:c r="S136" s="30" t="n">
        <x:v>0</x:v>
      </x:c>
      <x:c r="T136" s="28" t="str">
        <x:v>Cobertura &lt; lead time + margem de segurança</x:v>
      </x:c>
    </x:row>
    <x:row r="137">
      <x:c r="A137" s="34" t="n">
        <x:v>45474</x:v>
      </x:c>
      <x:c r="B137" s="28" t="str">
        <x:v>Grupo Industrial S.A.</x:v>
      </x:c>
      <x:c r="C137" s="28" t="str">
        <x:v>Planta Campinas</x:v>
      </x:c>
      <x:c r="D137" s="28" t="str">
        <x:v>Tampa 28mm</x:v>
      </x:c>
      <x:c r="E137" s="28" t="str">
        <x:v>Fornecedor C</x:v>
      </x:c>
      <x:c r="F137" s="28" t="str">
        <x:v>Embalagem</x:v>
      </x:c>
      <x:c r="G137" s="32" t="n">
        <x:v>18793.94</x:v>
      </x:c>
      <x:c r="H137" s="32" t="n">
        <x:v>19187.38</x:v>
      </x:c>
      <x:c r="I137" s="30" t="n">
        <x:v>0.38</x:v>
      </x:c>
      <x:c r="J137" s="32" t="n">
        <x:v>7427.37</x:v>
      </x:c>
      <x:c r="K137" s="32" t="n">
        <x:v>618.95</x:v>
      </x:c>
      <x:c r="L137" s="32" t="n">
        <x:v>12</x:v>
      </x:c>
      <x:c r="M137" s="32" t="n">
        <x:v>14</x:v>
      </x:c>
      <x:c r="N137" s="36" t="n">
        <x:v>0.88</x:v>
      </x:c>
      <x:c r="O137" s="28" t="str">
        <x:v>Risco</x:v>
      </x:c>
      <x:c r="P137" s="28" t="str">
        <x:v>Alto</x:v>
      </x:c>
      <x:c r="Q137" s="32" t="n">
        <x:v>1702</x:v>
      </x:c>
      <x:c r="R137" s="30" t="n">
        <x:v>93.58</x:v>
      </x:c>
      <x:c r="S137" s="30" t="n">
        <x:v>0</x:v>
      </x:c>
      <x:c r="T137" s="28" t="str">
        <x:v>Cobertura &lt; lead time + margem de segurança</x:v>
      </x:c>
    </x:row>
    <x:row r="138">
      <x:c r="A138" s="34" t="n">
        <x:v>45474</x:v>
      </x:c>
      <x:c r="B138" s="28" t="str">
        <x:v>Grupo Industrial S.A.</x:v>
      </x:c>
      <x:c r="C138" s="28" t="str">
        <x:v>Planta Campinas</x:v>
      </x:c>
      <x:c r="D138" s="28" t="str">
        <x:v>Rótulo L-120</x:v>
      </x:c>
      <x:c r="E138" s="28" t="str">
        <x:v>Fornecedor E</x:v>
      </x:c>
      <x:c r="F138" s="28" t="str">
        <x:v>Embalagem</x:v>
      </x:c>
      <x:c r="G138" s="32" t="n">
        <x:v>21578.23</x:v>
      </x:c>
      <x:c r="H138" s="32" t="n">
        <x:v>22581.46</x:v>
      </x:c>
      <x:c r="I138" s="30" t="n">
        <x:v>0.19</x:v>
      </x:c>
      <x:c r="J138" s="32" t="n">
        <x:v>16025.55</x:v>
      </x:c>
      <x:c r="K138" s="32" t="n">
        <x:v>728.43</x:v>
      </x:c>
      <x:c r="L138" s="32" t="n">
        <x:v>22</x:v>
      </x:c>
      <x:c r="M138" s="32" t="n">
        <x:v>10</x:v>
      </x:c>
      <x:c r="N138" s="36" t="n">
        <x:v>0.97</x:v>
      </x:c>
      <x:c r="O138" s="28" t="str">
        <x:v>Não</x:v>
      </x:c>
      <x:c r="P138" s="28" t="str">
        <x:v>Médio</x:v>
      </x:c>
      <x:c r="Q138" s="32" t="n">
        <x:v>327</x:v>
      </x:c>
      <x:c r="R138" s="30" t="n">
        <x:v>0</x:v>
      </x:c>
      <x:c r="S138" s="30" t="n">
        <x:v>0</x:v>
      </x:c>
      <x:c r="T138" s="28" t="str">
        <x:v>Cobertura abaixo do nível de atenção</x:v>
      </x:c>
    </x:row>
    <x:row r="139">
      <x:c r="A139" s="34" t="n">
        <x:v>45474</x:v>
      </x:c>
      <x:c r="B139" s="28" t="str">
        <x:v>Grupo Industrial S.A.</x:v>
      </x:c>
      <x:c r="C139" s="28" t="str">
        <x:v>Planta Campinas</x:v>
      </x:c>
      <x:c r="D139" s="28" t="str">
        <x:v>Caixa papelão P</x:v>
      </x:c>
      <x:c r="E139" s="28" t="str">
        <x:v>Fornecedor A</x:v>
      </x:c>
      <x:c r="F139" s="28" t="str">
        <x:v>Embalagem</x:v>
      </x:c>
      <x:c r="G139" s="32" t="n">
        <x:v>24362.52</x:v>
      </x:c>
      <x:c r="H139" s="32" t="n">
        <x:v>25142.64</x:v>
      </x:c>
      <x:c r="I139" s="30" t="n">
        <x:v>2.97</x:v>
      </x:c>
      <x:c r="J139" s="32" t="n">
        <x:v>30820.02</x:v>
      </x:c>
      <x:c r="K139" s="32" t="n">
        <x:v>811.05</x:v>
      </x:c>
      <x:c r="L139" s="32" t="n">
        <x:v>38</x:v>
      </x:c>
      <x:c r="M139" s="32" t="n">
        <x:v>8</x:v>
      </x:c>
      <x:c r="N139" s="36" t="n">
        <x:v>0.95</x:v>
      </x:c>
      <x:c r="O139" s="28" t="str">
        <x:v>Não</x:v>
      </x:c>
      <x:c r="P139" s="28" t="str">
        <x:v>Baixo</x:v>
      </x:c>
      <x:c r="Q139" s="32" t="n">
        <x:v>0</x:v>
      </x:c>
      <x:c r="R139" s="30" t="n">
        <x:v>0</x:v>
      </x:c>
      <x:c r="S139" s="30" t="n">
        <x:v>6934.5</x:v>
      </x:c>
      <x:c r="T139" s="28" t="str">
        <x:v>Cobertura adequada</x:v>
      </x:c>
    </x:row>
    <x:row r="140">
      <x:c r="A140" s="34" t="n">
        <x:v>45474</x:v>
      </x:c>
      <x:c r="B140" s="28" t="str">
        <x:v>Grupo Industrial S.A.</x:v>
      </x:c>
      <x:c r="C140" s="28" t="str">
        <x:v>Planta Campinas</x:v>
      </x:c>
      <x:c r="D140" s="28" t="str">
        <x:v>Aditivo A3</x:v>
      </x:c>
      <x:c r="E140" s="28" t="str">
        <x:v>Fornecedor D</x:v>
      </x:c>
      <x:c r="F140" s="28" t="str">
        <x:v>Insumo</x:v>
      </x:c>
      <x:c r="G140" s="32" t="n">
        <x:v>27146.81</x:v>
      </x:c>
      <x:c r="H140" s="32" t="n">
        <x:v>28273.44</x:v>
      </x:c>
      <x:c r="I140" s="30" t="n">
        <x:v>16.88</x:v>
      </x:c>
      <x:c r="J140" s="32" t="n">
        <x:v>20065.02</x:v>
      </x:c>
      <x:c r="K140" s="32" t="n">
        <x:v>912.05</x:v>
      </x:c>
      <x:c r="L140" s="32" t="n">
        <x:v>22</x:v>
      </x:c>
      <x:c r="M140" s="32" t="n">
        <x:v>8</x:v>
      </x:c>
      <x:c r="N140" s="36" t="n">
        <x:v>0.95</x:v>
      </x:c>
      <x:c r="O140" s="28" t="str">
        <x:v>Não</x:v>
      </x:c>
      <x:c r="P140" s="28" t="str">
        <x:v>Médio</x:v>
      </x:c>
      <x:c r="Q140" s="32" t="n">
        <x:v>410</x:v>
      </x:c>
      <x:c r="R140" s="30" t="n">
        <x:v>0</x:v>
      </x:c>
      <x:c r="S140" s="30" t="n">
        <x:v>0</x:v>
      </x:c>
      <x:c r="T140" s="28" t="str">
        <x:v>Cobertura abaixo do nível de atenção</x:v>
      </x:c>
    </x:row>
    <x:row r="141">
      <x:c r="A141" s="34" t="n">
        <x:v>45474</x:v>
      </x:c>
      <x:c r="B141" s="28" t="str">
        <x:v>Grupo Industrial S.A.</x:v>
      </x:c>
      <x:c r="C141" s="28" t="str">
        <x:v>Planta Campinas</x:v>
      </x:c>
      <x:c r="D141" s="28" t="str">
        <x:v>Masterbatch AZ</x:v>
      </x:c>
      <x:c r="E141" s="28" t="str">
        <x:v>Fornecedor D</x:v>
      </x:c>
      <x:c r="F141" s="28" t="str">
        <x:v>Insumo</x:v>
      </x:c>
      <x:c r="G141" s="32" t="n">
        <x:v>29931.1</x:v>
      </x:c>
      <x:c r="H141" s="32" t="n">
        <x:v>31085.06</x:v>
      </x:c>
      <x:c r="I141" s="30" t="n">
        <x:v>23.45</x:v>
      </x:c>
      <x:c r="J141" s="32" t="n">
        <x:v>22060.36</x:v>
      </x:c>
      <x:c r="K141" s="32" t="n">
        <x:v>1002.74</x:v>
      </x:c>
      <x:c r="L141" s="32" t="n">
        <x:v>22</x:v>
      </x:c>
      <x:c r="M141" s="32" t="n">
        <x:v>8</x:v>
      </x:c>
      <x:c r="N141" s="36" t="n">
        <x:v>0.91</x:v>
      </x:c>
      <x:c r="O141" s="28" t="str">
        <x:v>Não</x:v>
      </x:c>
      <x:c r="P141" s="28" t="str">
        <x:v>Médio</x:v>
      </x:c>
      <x:c r="Q141" s="32" t="n">
        <x:v>451</x:v>
      </x:c>
      <x:c r="R141" s="30" t="n">
        <x:v>0</x:v>
      </x:c>
      <x:c r="S141" s="30" t="n">
        <x:v>0</x:v>
      </x:c>
      <x:c r="T141" s="28" t="str">
        <x:v>Cobertura abaixo do nível de atenção</x:v>
      </x:c>
    </x:row>
    <x:row r="142">
      <x:c r="A142" s="34" t="n">
        <x:v>45474</x:v>
      </x:c>
      <x:c r="B142" s="28" t="str">
        <x:v>Grupo Industrial S.A.</x:v>
      </x:c>
      <x:c r="C142" s="28" t="str">
        <x:v>Planta Curitiba</x:v>
      </x:c>
      <x:c r="D142" s="28" t="str">
        <x:v>Filme PE 500mm</x:v>
      </x:c>
      <x:c r="E142" s="28" t="str">
        <x:v>Fornecedor A</x:v>
      </x:c>
      <x:c r="F142" s="28" t="str">
        <x:v>Embalagem</x:v>
      </x:c>
      <x:c r="G142" s="32" t="n">
        <x:v>12362.84</x:v>
      </x:c>
      <x:c r="H142" s="32" t="n">
        <x:v>12781.88</x:v>
      </x:c>
      <x:c r="I142" s="30" t="n">
        <x:v>12.92</x:v>
      </x:c>
      <x:c r="J142" s="32" t="n">
        <x:v>9071.01</x:v>
      </x:c>
      <x:c r="K142" s="32" t="n">
        <x:v>412.32</x:v>
      </x:c>
      <x:c r="L142" s="32" t="n">
        <x:v>22</x:v>
      </x:c>
      <x:c r="M142" s="32" t="n">
        <x:v>8</x:v>
      </x:c>
      <x:c r="N142" s="36" t="n">
        <x:v>0.91</x:v>
      </x:c>
      <x:c r="O142" s="28" t="str">
        <x:v>Não</x:v>
      </x:c>
      <x:c r="P142" s="28" t="str">
        <x:v>Médio</x:v>
      </x:c>
      <x:c r="Q142" s="32" t="n">
        <x:v>185</x:v>
      </x:c>
      <x:c r="R142" s="30" t="n">
        <x:v>0</x:v>
      </x:c>
      <x:c r="S142" s="30" t="n">
        <x:v>0</x:v>
      </x:c>
      <x:c r="T142" s="28" t="str">
        <x:v>Cobertura abaixo do nível de atenção</x:v>
      </x:c>
    </x:row>
    <x:row r="143">
      <x:c r="A143" s="34" t="n">
        <x:v>45474</x:v>
      </x:c>
      <x:c r="B143" s="28" t="str">
        <x:v>Grupo Industrial S.A.</x:v>
      </x:c>
      <x:c r="C143" s="28" t="str">
        <x:v>Planta Curitiba</x:v>
      </x:c>
      <x:c r="D143" s="28" t="str">
        <x:v>Resina PP H103</x:v>
      </x:c>
      <x:c r="E143" s="28" t="str">
        <x:v>Fornecedor B</x:v>
      </x:c>
      <x:c r="F143" s="28" t="str">
        <x:v>Resina</x:v>
      </x:c>
      <x:c r="G143" s="32" t="n">
        <x:v>14965.55</x:v>
      </x:c>
      <x:c r="H143" s="32" t="n">
        <x:v>15373.97</x:v>
      </x:c>
      <x:c r="I143" s="30" t="n">
        <x:v>9.07</x:v>
      </x:c>
      <x:c r="J143" s="32" t="n">
        <x:v>18845.51</x:v>
      </x:c>
      <x:c r="K143" s="32" t="n">
        <x:v>495.93</x:v>
      </x:c>
      <x:c r="L143" s="32" t="n">
        <x:v>38</x:v>
      </x:c>
      <x:c r="M143" s="32" t="n">
        <x:v>8</x:v>
      </x:c>
      <x:c r="N143" s="36" t="n">
        <x:v>0.91</x:v>
      </x:c>
      <x:c r="O143" s="28" t="str">
        <x:v>Não</x:v>
      </x:c>
      <x:c r="P143" s="28" t="str">
        <x:v>Baixo</x:v>
      </x:c>
      <x:c r="Q143" s="32" t="n">
        <x:v>0</x:v>
      </x:c>
      <x:c r="R143" s="30" t="n">
        <x:v>0</x:v>
      </x:c>
      <x:c r="S143" s="30" t="n">
        <x:v>12943.89</x:v>
      </x:c>
      <x:c r="T143" s="28" t="str">
        <x:v>Cobertura adequada</x:v>
      </x:c>
    </x:row>
    <x:row r="144">
      <x:c r="A144" s="34" t="n">
        <x:v>45474</x:v>
      </x:c>
      <x:c r="B144" s="28" t="str">
        <x:v>Grupo Industrial S.A.</x:v>
      </x:c>
      <x:c r="C144" s="28" t="str">
        <x:v>Planta Curitiba</x:v>
      </x:c>
      <x:c r="D144" s="28" t="str">
        <x:v>Tampa 28mm</x:v>
      </x:c>
      <x:c r="E144" s="28" t="str">
        <x:v>Fornecedor C</x:v>
      </x:c>
      <x:c r="F144" s="28" t="str">
        <x:v>Embalagem</x:v>
      </x:c>
      <x:c r="G144" s="32" t="n">
        <x:v>17568.25</x:v>
      </x:c>
      <x:c r="H144" s="32" t="n">
        <x:v>18080.83</x:v>
      </x:c>
      <x:c r="I144" s="30" t="n">
        <x:v>0.38</x:v>
      </x:c>
      <x:c r="J144" s="32" t="n">
        <x:v>26246.37</x:v>
      </x:c>
      <x:c r="K144" s="32" t="n">
        <x:v>583.25</x:v>
      </x:c>
      <x:c r="L144" s="32" t="n">
        <x:v>45</x:v>
      </x:c>
      <x:c r="M144" s="32" t="n">
        <x:v>12</x:v>
      </x:c>
      <x:c r="N144" s="36" t="n">
        <x:v>0.95</x:v>
      </x:c>
      <x:c r="O144" s="28" t="str">
        <x:v>Não</x:v>
      </x:c>
      <x:c r="P144" s="28" t="str">
        <x:v>Baixo</x:v>
      </x:c>
      <x:c r="Q144" s="32" t="n">
        <x:v>0</x:v>
      </x:c>
      <x:c r="R144" s="30" t="n">
        <x:v>0</x:v>
      </x:c>
      <x:c r="S144" s="30" t="n">
        <x:v>2099.71</x:v>
      </x:c>
      <x:c r="T144" s="28" t="str">
        <x:v>Cobertura adequada</x:v>
      </x:c>
    </x:row>
    <x:row r="145">
      <x:c r="A145" s="34" t="n">
        <x:v>45474</x:v>
      </x:c>
      <x:c r="B145" s="28" t="str">
        <x:v>Grupo Industrial S.A.</x:v>
      </x:c>
      <x:c r="C145" s="28" t="str">
        <x:v>Planta Curitiba</x:v>
      </x:c>
      <x:c r="D145" s="28" t="str">
        <x:v>Rótulo L-120</x:v>
      </x:c>
      <x:c r="E145" s="28" t="str">
        <x:v>Fornecedor E</x:v>
      </x:c>
      <x:c r="F145" s="28" t="str">
        <x:v>Embalagem</x:v>
      </x:c>
      <x:c r="G145" s="32" t="n">
        <x:v>20170.96</x:v>
      </x:c>
      <x:c r="H145" s="32" t="n">
        <x:v>20991.88</x:v>
      </x:c>
      <x:c r="I145" s="30" t="n">
        <x:v>0.19</x:v>
      </x:c>
      <x:c r="J145" s="32" t="n">
        <x:v>25731.98</x:v>
      </x:c>
      <x:c r="K145" s="32" t="n">
        <x:v>677.16</x:v>
      </x:c>
      <x:c r="L145" s="32" t="n">
        <x:v>38</x:v>
      </x:c>
      <x:c r="M145" s="32" t="n">
        <x:v>14</x:v>
      </x:c>
      <x:c r="N145" s="36" t="n">
        <x:v>0.93</x:v>
      </x:c>
      <x:c r="O145" s="28" t="str">
        <x:v>Não</x:v>
      </x:c>
      <x:c r="P145" s="28" t="str">
        <x:v>Baixo</x:v>
      </x:c>
      <x:c r="Q145" s="32" t="n">
        <x:v>0</x:v>
      </x:c>
      <x:c r="R145" s="30" t="n">
        <x:v>0</x:v>
      </x:c>
      <x:c r="S145" s="30" t="n">
        <x:v>365.66</x:v>
      </x:c>
      <x:c r="T145" s="28" t="str">
        <x:v>Cobertura adequada</x:v>
      </x:c>
    </x:row>
    <x:row r="146">
      <x:c r="A146" s="34" t="n">
        <x:v>45474</x:v>
      </x:c>
      <x:c r="B146" s="28" t="str">
        <x:v>Grupo Industrial S.A.</x:v>
      </x:c>
      <x:c r="C146" s="28" t="str">
        <x:v>Planta Curitiba</x:v>
      </x:c>
      <x:c r="D146" s="28" t="str">
        <x:v>Caixa papelão P</x:v>
      </x:c>
      <x:c r="E146" s="28" t="str">
        <x:v>Fornecedor A</x:v>
      </x:c>
      <x:c r="F146" s="28" t="str">
        <x:v>Embalagem</x:v>
      </x:c>
      <x:c r="G146" s="32" t="n">
        <x:v>22773.66</x:v>
      </x:c>
      <x:c r="H146" s="32" t="n">
        <x:v>23129.32</x:v>
      </x:c>
      <x:c r="I146" s="30" t="n">
        <x:v>2.97</x:v>
      </x:c>
      <x:c r="J146" s="32" t="n">
        <x:v>13429.93</x:v>
      </x:c>
      <x:c r="K146" s="32" t="n">
        <x:v>746.11</x:v>
      </x:c>
      <x:c r="L146" s="32" t="n">
        <x:v>18</x:v>
      </x:c>
      <x:c r="M146" s="32" t="n">
        <x:v>14</x:v>
      </x:c>
      <x:c r="N146" s="36" t="n">
        <x:v>0.93</x:v>
      </x:c>
      <x:c r="O146" s="28" t="str">
        <x:v>Não</x:v>
      </x:c>
      <x:c r="P146" s="28" t="str">
        <x:v>Médio</x:v>
      </x:c>
      <x:c r="Q146" s="32" t="n">
        <x:v>783</x:v>
      </x:c>
      <x:c r="R146" s="30" t="n">
        <x:v>127.58</x:v>
      </x:c>
      <x:c r="S146" s="30" t="n">
        <x:v>0</x:v>
      </x:c>
      <x:c r="T146" s="28" t="str">
        <x:v>Cobertura abaixo do nível de atenção</x:v>
      </x:c>
    </x:row>
    <x:row r="147">
      <x:c r="A147" s="34" t="n">
        <x:v>45474</x:v>
      </x:c>
      <x:c r="B147" s="28" t="str">
        <x:v>Grupo Industrial S.A.</x:v>
      </x:c>
      <x:c r="C147" s="28" t="str">
        <x:v>Planta Curitiba</x:v>
      </x:c>
      <x:c r="D147" s="28" t="str">
        <x:v>Aditivo A3</x:v>
      </x:c>
      <x:c r="E147" s="28" t="str">
        <x:v>Fornecedor D</x:v>
      </x:c>
      <x:c r="F147" s="28" t="str">
        <x:v>Insumo</x:v>
      </x:c>
      <x:c r="G147" s="32" t="n">
        <x:v>25376.36</x:v>
      </x:c>
      <x:c r="H147" s="32" t="n">
        <x:v>26045.43</x:v>
      </x:c>
      <x:c r="I147" s="30" t="n">
        <x:v>16.88</x:v>
      </x:c>
      <x:c r="J147" s="32" t="n">
        <x:v>31926.66</x:v>
      </x:c>
      <x:c r="K147" s="32" t="n">
        <x:v>840.18</x:v>
      </x:c>
      <x:c r="L147" s="32" t="n">
        <x:v>38</x:v>
      </x:c>
      <x:c r="M147" s="32" t="n">
        <x:v>14</x:v>
      </x:c>
      <x:c r="N147" s="36" t="n">
        <x:v>0.95</x:v>
      </x:c>
      <x:c r="O147" s="28" t="str">
        <x:v>Não</x:v>
      </x:c>
      <x:c r="P147" s="28" t="str">
        <x:v>Baixo</x:v>
      </x:c>
      <x:c r="Q147" s="32" t="n">
        <x:v>0</x:v>
      </x:c>
      <x:c r="R147" s="30" t="n">
        <x:v>0</x:v>
      </x:c>
      <x:c r="S147" s="30" t="n">
        <x:v>40832.52</x:v>
      </x:c>
      <x:c r="T147" s="28" t="str">
        <x:v>Cobertura adequada</x:v>
      </x:c>
    </x:row>
    <x:row r="148">
      <x:c r="A148" s="34" t="n">
        <x:v>45474</x:v>
      </x:c>
      <x:c r="B148" s="28" t="str">
        <x:v>Grupo Industrial S.A.</x:v>
      </x:c>
      <x:c r="C148" s="28" t="str">
        <x:v>Planta Curitiba</x:v>
      </x:c>
      <x:c r="D148" s="28" t="str">
        <x:v>Masterbatch AZ</x:v>
      </x:c>
      <x:c r="E148" s="28" t="str">
        <x:v>Fornecedor D</x:v>
      </x:c>
      <x:c r="F148" s="28" t="str">
        <x:v>Insumo</x:v>
      </x:c>
      <x:c r="G148" s="32" t="n">
        <x:v>27979.07</x:v>
      </x:c>
      <x:c r="H148" s="32" t="n">
        <x:v>28806.44</x:v>
      </x:c>
      <x:c r="I148" s="30" t="n">
        <x:v>23.45</x:v>
      </x:c>
      <x:c r="J148" s="32" t="n">
        <x:v>23231</x:v>
      </x:c>
      <x:c r="K148" s="32" t="n">
        <x:v>929.24</x:v>
      </x:c>
      <x:c r="L148" s="32" t="n">
        <x:v>25</x:v>
      </x:c>
      <x:c r="M148" s="32" t="n">
        <x:v>8</x:v>
      </x:c>
      <x:c r="N148" s="36" t="n">
        <x:v>0.95</x:v>
      </x:c>
      <x:c r="O148" s="28" t="str">
        <x:v>Não</x:v>
      </x:c>
      <x:c r="P148" s="28" t="str">
        <x:v>Baixo</x:v>
      </x:c>
      <x:c r="Q148" s="32" t="n">
        <x:v>0</x:v>
      </x:c>
      <x:c r="R148" s="30" t="n">
        <x:v>0</x:v>
      </x:c>
      <x:c r="S148" s="30" t="n">
        <x:v>0</x:v>
      </x:c>
      <x:c r="T148" s="28" t="str">
        <x:v>Cobertura adequada</x:v>
      </x:c>
    </x:row>
    <x:row r="149">
      <x:c r="A149" s="34" t="n">
        <x:v>45505</x:v>
      </x:c>
      <x:c r="B149" s="28" t="str">
        <x:v>Grupo Industrial S.A.</x:v>
      </x:c>
      <x:c r="C149" s="28" t="str">
        <x:v>Planta São Paulo</x:v>
      </x:c>
      <x:c r="D149" s="28" t="str">
        <x:v>Filme PE 500mm</x:v>
      </x:c>
      <x:c r="E149" s="28" t="str">
        <x:v>Fornecedor A</x:v>
      </x:c>
      <x:c r="F149" s="28" t="str">
        <x:v>Embalagem</x:v>
      </x:c>
      <x:c r="G149" s="32" t="n">
        <x:v>18317.52</x:v>
      </x:c>
      <x:c r="H149" s="32" t="n">
        <x:v>19146.91</x:v>
      </x:c>
      <x:c r="I149" s="30" t="n">
        <x:v>13</x:v>
      </x:c>
      <x:c r="J149" s="32" t="n">
        <x:v>19764.56</x:v>
      </x:c>
      <x:c r="K149" s="32" t="n">
        <x:v>617.64</x:v>
      </x:c>
      <x:c r="L149" s="32" t="n">
        <x:v>32</x:v>
      </x:c>
      <x:c r="M149" s="32" t="n">
        <x:v>8</x:v>
      </x:c>
      <x:c r="N149" s="36" t="n">
        <x:v>0.93</x:v>
      </x:c>
      <x:c r="O149" s="28" t="str">
        <x:v>Não</x:v>
      </x:c>
      <x:c r="P149" s="28" t="str">
        <x:v>Baixo</x:v>
      </x:c>
      <x:c r="Q149" s="32" t="n">
        <x:v>0</x:v>
      </x:c>
      <x:c r="R149" s="30" t="n">
        <x:v>0</x:v>
      </x:c>
      <x:c r="S149" s="30" t="n">
        <x:v>0</x:v>
      </x:c>
      <x:c r="T149" s="28" t="str">
        <x:v>Cobertura adequada</x:v>
      </x:c>
    </x:row>
    <x:row r="150">
      <x:c r="A150" s="34" t="n">
        <x:v>45505</x:v>
      </x:c>
      <x:c r="B150" s="28" t="str">
        <x:v>Grupo Industrial S.A.</x:v>
      </x:c>
      <x:c r="C150" s="28" t="str">
        <x:v>Planta São Paulo</x:v>
      </x:c>
      <x:c r="D150" s="28" t="str">
        <x:v>Resina PP H103</x:v>
      </x:c>
      <x:c r="E150" s="28" t="str">
        <x:v>Fornecedor B</x:v>
      </x:c>
      <x:c r="F150" s="28" t="str">
        <x:v>Resina</x:v>
      </x:c>
      <x:c r="G150" s="32" t="n">
        <x:v>22173.84</x:v>
      </x:c>
      <x:c r="H150" s="32" t="n">
        <x:v>22482.54</x:v>
      </x:c>
      <x:c r="I150" s="30" t="n">
        <x:v>9.12</x:v>
      </x:c>
      <x:c r="J150" s="32" t="n">
        <x:v>18131.08</x:v>
      </x:c>
      <x:c r="K150" s="32" t="n">
        <x:v>725.24</x:v>
      </x:c>
      <x:c r="L150" s="32" t="n">
        <x:v>25</x:v>
      </x:c>
      <x:c r="M150" s="32" t="n">
        <x:v>8</x:v>
      </x:c>
      <x:c r="N150" s="36" t="n">
        <x:v>0.93</x:v>
      </x:c>
      <x:c r="O150" s="28" t="str">
        <x:v>Não</x:v>
      </x:c>
      <x:c r="P150" s="28" t="str">
        <x:v>Baixo</x:v>
      </x:c>
      <x:c r="Q150" s="32" t="n">
        <x:v>0</x:v>
      </x:c>
      <x:c r="R150" s="30" t="n">
        <x:v>0</x:v>
      </x:c>
      <x:c r="S150" s="30" t="n">
        <x:v>0</x:v>
      </x:c>
      <x:c r="T150" s="28" t="str">
        <x:v>Cobertura adequada</x:v>
      </x:c>
    </x:row>
    <x:row r="151">
      <x:c r="A151" s="34" t="n">
        <x:v>45505</x:v>
      </x:c>
      <x:c r="B151" s="28" t="str">
        <x:v>Grupo Industrial S.A.</x:v>
      </x:c>
      <x:c r="C151" s="28" t="str">
        <x:v>Planta São Paulo</x:v>
      </x:c>
      <x:c r="D151" s="28" t="str">
        <x:v>Tampa 28mm</x:v>
      </x:c>
      <x:c r="E151" s="28" t="str">
        <x:v>Fornecedor C</x:v>
      </x:c>
      <x:c r="F151" s="28" t="str">
        <x:v>Embalagem</x:v>
      </x:c>
      <x:c r="G151" s="32" t="n">
        <x:v>26030.16</x:v>
      </x:c>
      <x:c r="H151" s="32" t="n">
        <x:v>26754.71</x:v>
      </x:c>
      <x:c r="I151" s="30" t="n">
        <x:v>0.38</x:v>
      </x:c>
      <x:c r="J151" s="32" t="n">
        <x:v>27617.77</x:v>
      </x:c>
      <x:c r="K151" s="32" t="n">
        <x:v>863.06</x:v>
      </x:c>
      <x:c r="L151" s="32" t="n">
        <x:v>32</x:v>
      </x:c>
      <x:c r="M151" s="32" t="n">
        <x:v>10</x:v>
      </x:c>
      <x:c r="N151" s="36" t="n">
        <x:v>0.93</x:v>
      </x:c>
      <x:c r="O151" s="28" t="str">
        <x:v>Não</x:v>
      </x:c>
      <x:c r="P151" s="28" t="str">
        <x:v>Baixo</x:v>
      </x:c>
      <x:c r="Q151" s="32" t="n">
        <x:v>0</x:v>
      </x:c>
      <x:c r="R151" s="30" t="n">
        <x:v>0</x:v>
      </x:c>
      <x:c r="S151" s="30" t="n">
        <x:v>0</x:v>
      </x:c>
      <x:c r="T151" s="28" t="str">
        <x:v>Cobertura adequada</x:v>
      </x:c>
    </x:row>
    <x:row r="152">
      <x:c r="A152" s="34" t="n">
        <x:v>45505</x:v>
      </x:c>
      <x:c r="B152" s="28" t="str">
        <x:v>Grupo Industrial S.A.</x:v>
      </x:c>
      <x:c r="C152" s="28" t="str">
        <x:v>Planta São Paulo</x:v>
      </x:c>
      <x:c r="D152" s="28" t="str">
        <x:v>Rótulo L-120</x:v>
      </x:c>
      <x:c r="E152" s="28" t="str">
        <x:v>Fornecedor E</x:v>
      </x:c>
      <x:c r="F152" s="28" t="str">
        <x:v>Embalagem</x:v>
      </x:c>
      <x:c r="G152" s="32" t="n">
        <x:v>29886.48</x:v>
      </x:c>
      <x:c r="H152" s="32" t="n">
        <x:v>31149.16</x:v>
      </x:c>
      <x:c r="I152" s="30" t="n">
        <x:v>0.19</x:v>
      </x:c>
      <x:c r="J152" s="32" t="n">
        <x:v>25120.29</x:v>
      </x:c>
      <x:c r="K152" s="32" t="n">
        <x:v>1004.81</x:v>
      </x:c>
      <x:c r="L152" s="32" t="n">
        <x:v>25</x:v>
      </x:c>
      <x:c r="M152" s="32" t="n">
        <x:v>10</x:v>
      </x:c>
      <x:c r="N152" s="36" t="n">
        <x:v>0.93</x:v>
      </x:c>
      <x:c r="O152" s="28" t="str">
        <x:v>Não</x:v>
      </x:c>
      <x:c r="P152" s="28" t="str">
        <x:v>Baixo</x:v>
      </x:c>
      <x:c r="Q152" s="32" t="n">
        <x:v>0</x:v>
      </x:c>
      <x:c r="R152" s="30" t="n">
        <x:v>0</x:v>
      </x:c>
      <x:c r="S152" s="30" t="n">
        <x:v>0</x:v>
      </x:c>
      <x:c r="T152" s="28" t="str">
        <x:v>Cobertura adequada</x:v>
      </x:c>
    </x:row>
    <x:row r="153">
      <x:c r="A153" s="34" t="n">
        <x:v>45505</x:v>
      </x:c>
      <x:c r="B153" s="28" t="str">
        <x:v>Grupo Industrial S.A.</x:v>
      </x:c>
      <x:c r="C153" s="28" t="str">
        <x:v>Planta São Paulo</x:v>
      </x:c>
      <x:c r="D153" s="28" t="str">
        <x:v>Caixa papelão P</x:v>
      </x:c>
      <x:c r="E153" s="28" t="str">
        <x:v>Fornecedor A</x:v>
      </x:c>
      <x:c r="F153" s="28" t="str">
        <x:v>Embalagem</x:v>
      </x:c>
      <x:c r="G153" s="32" t="n">
        <x:v>33742.8</x:v>
      </x:c>
      <x:c r="H153" s="32" t="n">
        <x:v>34301.93</x:v>
      </x:c>
      <x:c r="I153" s="30" t="n">
        <x:v>2.99</x:v>
      </x:c>
      <x:c r="J153" s="32" t="n">
        <x:v>27662.84</x:v>
      </x:c>
      <x:c r="K153" s="32" t="n">
        <x:v>1106.51</x:v>
      </x:c>
      <x:c r="L153" s="32" t="n">
        <x:v>25</x:v>
      </x:c>
      <x:c r="M153" s="32" t="n">
        <x:v>8</x:v>
      </x:c>
      <x:c r="N153" s="36" t="n">
        <x:v>0.93</x:v>
      </x:c>
      <x:c r="O153" s="28" t="str">
        <x:v>Não</x:v>
      </x:c>
      <x:c r="P153" s="28" t="str">
        <x:v>Baixo</x:v>
      </x:c>
      <x:c r="Q153" s="32" t="n">
        <x:v>0</x:v>
      </x:c>
      <x:c r="R153" s="30" t="n">
        <x:v>0</x:v>
      </x:c>
      <x:c r="S153" s="30" t="n">
        <x:v>0</x:v>
      </x:c>
      <x:c r="T153" s="28" t="str">
        <x:v>Cobertura adequada</x:v>
      </x:c>
    </x:row>
    <x:row r="154">
      <x:c r="A154" s="34" t="n">
        <x:v>45505</x:v>
      </x:c>
      <x:c r="B154" s="28" t="str">
        <x:v>Grupo Industrial S.A.</x:v>
      </x:c>
      <x:c r="C154" s="28" t="str">
        <x:v>Planta São Paulo</x:v>
      </x:c>
      <x:c r="D154" s="28" t="str">
        <x:v>Aditivo A3</x:v>
      </x:c>
      <x:c r="E154" s="28" t="str">
        <x:v>Fornecedor D</x:v>
      </x:c>
      <x:c r="F154" s="28" t="str">
        <x:v>Insumo</x:v>
      </x:c>
      <x:c r="G154" s="32" t="n">
        <x:v>37599.12</x:v>
      </x:c>
      <x:c r="H154" s="32" t="n">
        <x:v>38816.19</x:v>
      </x:c>
      <x:c r="I154" s="30" t="n">
        <x:v>16.98</x:v>
      </x:c>
      <x:c r="J154" s="32" t="n">
        <x:v>22538.43</x:v>
      </x:c>
      <x:c r="K154" s="32" t="n">
        <x:v>1252.14</x:v>
      </x:c>
      <x:c r="L154" s="32" t="n">
        <x:v>18</x:v>
      </x:c>
      <x:c r="M154" s="32" t="n">
        <x:v>12</x:v>
      </x:c>
      <x:c r="N154" s="36" t="n">
        <x:v>0.97</x:v>
      </x:c>
      <x:c r="O154" s="28" t="str">
        <x:v>Não</x:v>
      </x:c>
      <x:c r="P154" s="28" t="str">
        <x:v>Médio</x:v>
      </x:c>
      <x:c r="Q154" s="32" t="n">
        <x:v>1314</x:v>
      </x:c>
      <x:c r="R154" s="30" t="n">
        <x:v>0</x:v>
      </x:c>
      <x:c r="S154" s="30" t="n">
        <x:v>0</x:v>
      </x:c>
      <x:c r="T154" s="28" t="str">
        <x:v>Cobertura abaixo do nível de atenção</x:v>
      </x:c>
    </x:row>
    <x:row r="155">
      <x:c r="A155" s="34" t="n">
        <x:v>45505</x:v>
      </x:c>
      <x:c r="B155" s="28" t="str">
        <x:v>Grupo Industrial S.A.</x:v>
      </x:c>
      <x:c r="C155" s="28" t="str">
        <x:v>Planta São Paulo</x:v>
      </x:c>
      <x:c r="D155" s="28" t="str">
        <x:v>Masterbatch AZ</x:v>
      </x:c>
      <x:c r="E155" s="28" t="str">
        <x:v>Fornecedor D</x:v>
      </x:c>
      <x:c r="F155" s="28" t="str">
        <x:v>Insumo</x:v>
      </x:c>
      <x:c r="G155" s="32" t="n">
        <x:v>41455.44</x:v>
      </x:c>
      <x:c r="H155" s="32" t="n">
        <x:v>43470.57</x:v>
      </x:c>
      <x:c r="I155" s="30" t="n">
        <x:v>23.58</x:v>
      </x:c>
      <x:c r="J155" s="32" t="n">
        <x:v>53286.51</x:v>
      </x:c>
      <x:c r="K155" s="32" t="n">
        <x:v>1402.28</x:v>
      </x:c>
      <x:c r="L155" s="32" t="n">
        <x:v>38</x:v>
      </x:c>
      <x:c r="M155" s="32" t="n">
        <x:v>14</x:v>
      </x:c>
      <x:c r="N155" s="36" t="n">
        <x:v>0.97</x:v>
      </x:c>
      <x:c r="O155" s="28" t="str">
        <x:v>Não</x:v>
      </x:c>
      <x:c r="P155" s="28" t="str">
        <x:v>Baixo</x:v>
      </x:c>
      <x:c r="Q155" s="32" t="n">
        <x:v>0</x:v>
      </x:c>
      <x:c r="R155" s="30" t="n">
        <x:v>0</x:v>
      </x:c>
      <x:c r="S155" s="30" t="n">
        <x:v>94653.66</x:v>
      </x:c>
      <x:c r="T155" s="28" t="str">
        <x:v>Cobertura adequada</x:v>
      </x:c>
    </x:row>
    <x:row r="156">
      <x:c r="A156" s="34" t="n">
        <x:v>45505</x:v>
      </x:c>
      <x:c r="B156" s="28" t="str">
        <x:v>Grupo Industrial S.A.</x:v>
      </x:c>
      <x:c r="C156" s="28" t="str">
        <x:v>Planta Campinas</x:v>
      </x:c>
      <x:c r="D156" s="28" t="str">
        <x:v>Filme PE 500mm</x:v>
      </x:c>
      <x:c r="E156" s="28" t="str">
        <x:v>Fornecedor A</x:v>
      </x:c>
      <x:c r="F156" s="28" t="str">
        <x:v>Embalagem</x:v>
      </x:c>
      <x:c r="G156" s="32" t="n">
        <x:v>14043.43</x:v>
      </x:c>
      <x:c r="H156" s="32" t="n">
        <x:v>15349.92</x:v>
      </x:c>
      <x:c r="I156" s="30" t="n">
        <x:v>13</x:v>
      </x:c>
      <x:c r="J156" s="32" t="n">
        <x:v>12378.97</x:v>
      </x:c>
      <x:c r="K156" s="32" t="n">
        <x:v>495.16</x:v>
      </x:c>
      <x:c r="L156" s="32" t="n">
        <x:v>25</x:v>
      </x:c>
      <x:c r="M156" s="32" t="n">
        <x:v>8</x:v>
      </x:c>
      <x:c r="N156" s="36" t="n">
        <x:v>0.91</x:v>
      </x:c>
      <x:c r="O156" s="28" t="str">
        <x:v>Não</x:v>
      </x:c>
      <x:c r="P156" s="28" t="str">
        <x:v>Baixo</x:v>
      </x:c>
      <x:c r="Q156" s="32" t="n">
        <x:v>0</x:v>
      </x:c>
      <x:c r="R156" s="30" t="n">
        <x:v>0</x:v>
      </x:c>
      <x:c r="S156" s="30" t="n">
        <x:v>0</x:v>
      </x:c>
      <x:c r="T156" s="28" t="str">
        <x:v>Cobertura adequada</x:v>
      </x:c>
    </x:row>
    <x:row r="157">
      <x:c r="A157" s="34" t="n">
        <x:v>45505</x:v>
      </x:c>
      <x:c r="B157" s="28" t="str">
        <x:v>Grupo Industrial S.A.</x:v>
      </x:c>
      <x:c r="C157" s="28" t="str">
        <x:v>Planta Campinas</x:v>
      </x:c>
      <x:c r="D157" s="28" t="str">
        <x:v>Resina PP H103</x:v>
      </x:c>
      <x:c r="E157" s="28" t="str">
        <x:v>Fornecedor B</x:v>
      </x:c>
      <x:c r="F157" s="28" t="str">
        <x:v>Resina</x:v>
      </x:c>
      <x:c r="G157" s="32" t="n">
        <x:v>16999.94</x:v>
      </x:c>
      <x:c r="H157" s="32" t="n">
        <x:v>18441.22</x:v>
      </x:c>
      <x:c r="I157" s="30" t="n">
        <x:v>9.12</x:v>
      </x:c>
      <x:c r="J157" s="32" t="n">
        <x:v>4759.02</x:v>
      </x:c>
      <x:c r="K157" s="32" t="n">
        <x:v>594.88</x:v>
      </x:c>
      <x:c r="L157" s="32" t="n">
        <x:v>8</x:v>
      </x:c>
      <x:c r="M157" s="32" t="n">
        <x:v>16</x:v>
      </x:c>
      <x:c r="N157" s="36" t="n">
        <x:v>0.86</x:v>
      </x:c>
      <x:c r="O157" s="28" t="str">
        <x:v>Risco</x:v>
      </x:c>
      <x:c r="P157" s="28" t="str">
        <x:v>Alto</x:v>
      </x:c>
      <x:c r="Q157" s="32" t="n">
        <x:v>3599</x:v>
      </x:c>
      <x:c r="R157" s="30" t="n">
        <x:v>4036.84</x:v>
      </x:c>
      <x:c r="S157" s="30" t="n">
        <x:v>0</x:v>
      </x:c>
      <x:c r="T157" s="28" t="str">
        <x:v>Cobertura &lt; lead time + margem de segurança</x:v>
      </x:c>
    </x:row>
    <x:row r="158">
      <x:c r="A158" s="34" t="n">
        <x:v>45505</x:v>
      </x:c>
      <x:c r="B158" s="28" t="str">
        <x:v>Grupo Industrial S.A.</x:v>
      </x:c>
      <x:c r="C158" s="28" t="str">
        <x:v>Planta Campinas</x:v>
      </x:c>
      <x:c r="D158" s="28" t="str">
        <x:v>Tampa 28mm</x:v>
      </x:c>
      <x:c r="E158" s="28" t="str">
        <x:v>Fornecedor C</x:v>
      </x:c>
      <x:c r="F158" s="28" t="str">
        <x:v>Embalagem</x:v>
      </x:c>
      <x:c r="G158" s="32" t="n">
        <x:v>19956.46</x:v>
      </x:c>
      <x:c r="H158" s="32" t="n">
        <x:v>20824.35</x:v>
      </x:c>
      <x:c r="I158" s="30" t="n">
        <x:v>0.38</x:v>
      </x:c>
      <x:c r="J158" s="32" t="n">
        <x:v>8732.79</x:v>
      </x:c>
      <x:c r="K158" s="32" t="n">
        <x:v>671.75</x:v>
      </x:c>
      <x:c r="L158" s="32" t="n">
        <x:v>13</x:v>
      </x:c>
      <x:c r="M158" s="32" t="n">
        <x:v>14</x:v>
      </x:c>
      <x:c r="N158" s="36" t="n">
        <x:v>0.88</x:v>
      </x:c>
      <x:c r="O158" s="28" t="str">
        <x:v>Risco</x:v>
      </x:c>
      <x:c r="P158" s="28" t="str">
        <x:v>Médio</x:v>
      </x:c>
      <x:c r="Q158" s="32" t="n">
        <x:v>1209</x:v>
      </x:c>
      <x:c r="R158" s="30" t="n">
        <x:v>87.06</x:v>
      </x:c>
      <x:c r="S158" s="30" t="n">
        <x:v>0</x:v>
      </x:c>
      <x:c r="T158" s="28" t="str">
        <x:v>Cobertura abaixo do nível de atenção</x:v>
      </x:c>
    </x:row>
    <x:row r="159">
      <x:c r="A159" s="34" t="n">
        <x:v>45505</x:v>
      </x:c>
      <x:c r="B159" s="28" t="str">
        <x:v>Grupo Industrial S.A.</x:v>
      </x:c>
      <x:c r="C159" s="28" t="str">
        <x:v>Planta Campinas</x:v>
      </x:c>
      <x:c r="D159" s="28" t="str">
        <x:v>Rótulo L-120</x:v>
      </x:c>
      <x:c r="E159" s="28" t="str">
        <x:v>Fornecedor E</x:v>
      </x:c>
      <x:c r="F159" s="28" t="str">
        <x:v>Embalagem</x:v>
      </x:c>
      <x:c r="G159" s="32" t="n">
        <x:v>22912.97</x:v>
      </x:c>
      <x:c r="H159" s="32" t="n">
        <x:v>23765.53</x:v>
      </x:c>
      <x:c r="I159" s="30" t="n">
        <x:v>0.19</x:v>
      </x:c>
      <x:c r="J159" s="32" t="n">
        <x:v>29131.93</x:v>
      </x:c>
      <x:c r="K159" s="32" t="n">
        <x:v>766.63</x:v>
      </x:c>
      <x:c r="L159" s="32" t="n">
        <x:v>38</x:v>
      </x:c>
      <x:c r="M159" s="32" t="n">
        <x:v>8</x:v>
      </x:c>
      <x:c r="N159" s="36" t="n">
        <x:v>0.97</x:v>
      </x:c>
      <x:c r="O159" s="28" t="str">
        <x:v>Não</x:v>
      </x:c>
      <x:c r="P159" s="28" t="str">
        <x:v>Baixo</x:v>
      </x:c>
      <x:c r="Q159" s="32" t="n">
        <x:v>0</x:v>
      </x:c>
      <x:c r="R159" s="30" t="n">
        <x:v>0</x:v>
      </x:c>
      <x:c r="S159" s="30" t="n">
        <x:v>413.98</x:v>
      </x:c>
      <x:c r="T159" s="28" t="str">
        <x:v>Cobertura adequada</x:v>
      </x:c>
    </x:row>
    <x:row r="160">
      <x:c r="A160" s="34" t="n">
        <x:v>45505</x:v>
      </x:c>
      <x:c r="B160" s="28" t="str">
        <x:v>Grupo Industrial S.A.</x:v>
      </x:c>
      <x:c r="C160" s="28" t="str">
        <x:v>Planta Campinas</x:v>
      </x:c>
      <x:c r="D160" s="28" t="str">
        <x:v>Caixa papelão P</x:v>
      </x:c>
      <x:c r="E160" s="28" t="str">
        <x:v>Fornecedor A</x:v>
      </x:c>
      <x:c r="F160" s="28" t="str">
        <x:v>Embalagem</x:v>
      </x:c>
      <x:c r="G160" s="32" t="n">
        <x:v>25869.48</x:v>
      </x:c>
      <x:c r="H160" s="32" t="n">
        <x:v>26541.91</x:v>
      </x:c>
      <x:c r="I160" s="30" t="n">
        <x:v>2.99</x:v>
      </x:c>
      <x:c r="J160" s="32" t="n">
        <x:v>27398.1</x:v>
      </x:c>
      <x:c r="K160" s="32" t="n">
        <x:v>856.19</x:v>
      </x:c>
      <x:c r="L160" s="32" t="n">
        <x:v>32</x:v>
      </x:c>
      <x:c r="M160" s="32" t="n">
        <x:v>8</x:v>
      </x:c>
      <x:c r="N160" s="36" t="n">
        <x:v>0.93</x:v>
      </x:c>
      <x:c r="O160" s="28" t="str">
        <x:v>Não</x:v>
      </x:c>
      <x:c r="P160" s="28" t="str">
        <x:v>Baixo</x:v>
      </x:c>
      <x:c r="Q160" s="32" t="n">
        <x:v>0</x:v>
      </x:c>
      <x:c r="R160" s="30" t="n">
        <x:v>0</x:v>
      </x:c>
      <x:c r="S160" s="30" t="n">
        <x:v>0</x:v>
      </x:c>
      <x:c r="T160" s="28" t="str">
        <x:v>Cobertura adequada</x:v>
      </x:c>
    </x:row>
    <x:row r="161">
      <x:c r="A161" s="34" t="n">
        <x:v>45505</x:v>
      </x:c>
      <x:c r="B161" s="28" t="str">
        <x:v>Grupo Industrial S.A.</x:v>
      </x:c>
      <x:c r="C161" s="28" t="str">
        <x:v>Planta Campinas</x:v>
      </x:c>
      <x:c r="D161" s="28" t="str">
        <x:v>Aditivo A3</x:v>
      </x:c>
      <x:c r="E161" s="28" t="str">
        <x:v>Fornecedor D</x:v>
      </x:c>
      <x:c r="F161" s="28" t="str">
        <x:v>Insumo</x:v>
      </x:c>
      <x:c r="G161" s="32" t="n">
        <x:v>28825.99</x:v>
      </x:c>
      <x:c r="H161" s="32" t="n">
        <x:v>29765.13</x:v>
      </x:c>
      <x:c r="I161" s="30" t="n">
        <x:v>16.98</x:v>
      </x:c>
      <x:c r="J161" s="32" t="n">
        <x:v>30725.29</x:v>
      </x:c>
      <x:c r="K161" s="32" t="n">
        <x:v>960.17</x:v>
      </x:c>
      <x:c r="L161" s="32" t="n">
        <x:v>32</x:v>
      </x:c>
      <x:c r="M161" s="32" t="n">
        <x:v>8</x:v>
      </x:c>
      <x:c r="N161" s="36" t="n">
        <x:v>0.97</x:v>
      </x:c>
      <x:c r="O161" s="28" t="str">
        <x:v>Não</x:v>
      </x:c>
      <x:c r="P161" s="28" t="str">
        <x:v>Baixo</x:v>
      </x:c>
      <x:c r="Q161" s="32" t="n">
        <x:v>0</x:v>
      </x:c>
      <x:c r="R161" s="30" t="n">
        <x:v>0</x:v>
      </x:c>
      <x:c r="S161" s="30" t="n">
        <x:v>0</x:v>
      </x:c>
      <x:c r="T161" s="28" t="str">
        <x:v>Cobertura adequada</x:v>
      </x:c>
    </x:row>
    <x:row r="162">
      <x:c r="A162" s="34" t="n">
        <x:v>45505</x:v>
      </x:c>
      <x:c r="B162" s="28" t="str">
        <x:v>Grupo Industrial S.A.</x:v>
      </x:c>
      <x:c r="C162" s="28" t="str">
        <x:v>Planta Campinas</x:v>
      </x:c>
      <x:c r="D162" s="28" t="str">
        <x:v>Masterbatch AZ</x:v>
      </x:c>
      <x:c r="E162" s="28" t="str">
        <x:v>Fornecedor D</x:v>
      </x:c>
      <x:c r="F162" s="28" t="str">
        <x:v>Insumo</x:v>
      </x:c>
      <x:c r="G162" s="32" t="n">
        <x:v>31782.5</x:v>
      </x:c>
      <x:c r="H162" s="32" t="n">
        <x:v>33322.59</x:v>
      </x:c>
      <x:c r="I162" s="30" t="n">
        <x:v>23.58</x:v>
      </x:c>
      <x:c r="J162" s="32" t="n">
        <x:v>40847.04</x:v>
      </x:c>
      <x:c r="K162" s="32" t="n">
        <x:v>1074.92</x:v>
      </x:c>
      <x:c r="L162" s="32" t="n">
        <x:v>38</x:v>
      </x:c>
      <x:c r="M162" s="32" t="n">
        <x:v>10</x:v>
      </x:c>
      <x:c r="N162" s="36" t="n">
        <x:v>0.91</x:v>
      </x:c>
      <x:c r="O162" s="28" t="str">
        <x:v>Não</x:v>
      </x:c>
      <x:c r="P162" s="28" t="str">
        <x:v>Baixo</x:v>
      </x:c>
      <x:c r="Q162" s="32" t="n">
        <x:v>0</x:v>
      </x:c>
      <x:c r="R162" s="30" t="n">
        <x:v>0</x:v>
      </x:c>
      <x:c r="S162" s="30" t="n">
        <x:v>72557.25</x:v>
      </x:c>
      <x:c r="T162" s="28" t="str">
        <x:v>Cobertura adequada</x:v>
      </x:c>
    </x:row>
    <x:row r="163">
      <x:c r="A163" s="34" t="n">
        <x:v>45505</x:v>
      </x:c>
      <x:c r="B163" s="28" t="str">
        <x:v>Grupo Industrial S.A.</x:v>
      </x:c>
      <x:c r="C163" s="28" t="str">
        <x:v>Planta Curitiba</x:v>
      </x:c>
      <x:c r="D163" s="28" t="str">
        <x:v>Filme PE 500mm</x:v>
      </x:c>
      <x:c r="E163" s="28" t="str">
        <x:v>Fornecedor A</x:v>
      </x:c>
      <x:c r="F163" s="28" t="str">
        <x:v>Embalagem</x:v>
      </x:c>
      <x:c r="G163" s="32" t="n">
        <x:v>13127.56</x:v>
      </x:c>
      <x:c r="H163" s="32" t="n">
        <x:v>13341.68</x:v>
      </x:c>
      <x:c r="I163" s="30" t="n">
        <x:v>13</x:v>
      </x:c>
      <x:c r="J163" s="32" t="n">
        <x:v>13772.06</x:v>
      </x:c>
      <x:c r="K163" s="32" t="n">
        <x:v>430.38</x:v>
      </x:c>
      <x:c r="L163" s="32" t="n">
        <x:v>32</x:v>
      </x:c>
      <x:c r="M163" s="32" t="n">
        <x:v>12</x:v>
      </x:c>
      <x:c r="N163" s="36" t="n">
        <x:v>0.91</x:v>
      </x:c>
      <x:c r="O163" s="28" t="str">
        <x:v>Não</x:v>
      </x:c>
      <x:c r="P163" s="28" t="str">
        <x:v>Baixo</x:v>
      </x:c>
      <x:c r="Q163" s="32" t="n">
        <x:v>0</x:v>
      </x:c>
      <x:c r="R163" s="30" t="n">
        <x:v>0</x:v>
      </x:c>
      <x:c r="S163" s="30" t="n">
        <x:v>0</x:v>
      </x:c>
      <x:c r="T163" s="28" t="str">
        <x:v>Cobertura adequada</x:v>
      </x:c>
    </x:row>
    <x:row r="164">
      <x:c r="A164" s="34" t="n">
        <x:v>45505</x:v>
      </x:c>
      <x:c r="B164" s="28" t="str">
        <x:v>Grupo Industrial S.A.</x:v>
      </x:c>
      <x:c r="C164" s="28" t="str">
        <x:v>Planta Curitiba</x:v>
      </x:c>
      <x:c r="D164" s="28" t="str">
        <x:v>Resina PP H103</x:v>
      </x:c>
      <x:c r="E164" s="28" t="str">
        <x:v>Fornecedor B</x:v>
      </x:c>
      <x:c r="F164" s="28" t="str">
        <x:v>Resina</x:v>
      </x:c>
      <x:c r="G164" s="32" t="n">
        <x:v>15891.25</x:v>
      </x:c>
      <x:c r="H164" s="32" t="n">
        <x:v>16278.57</x:v>
      </x:c>
      <x:c r="I164" s="30" t="n">
        <x:v>9.12</x:v>
      </x:c>
      <x:c r="J164" s="32" t="n">
        <x:v>23630.19</x:v>
      </x:c>
      <x:c r="K164" s="32" t="n">
        <x:v>525.12</x:v>
      </x:c>
      <x:c r="L164" s="32" t="n">
        <x:v>45</x:v>
      </x:c>
      <x:c r="M164" s="32" t="n">
        <x:v>12</x:v>
      </x:c>
      <x:c r="N164" s="36" t="n">
        <x:v>0.91</x:v>
      </x:c>
      <x:c r="O164" s="28" t="str">
        <x:v>Não</x:v>
      </x:c>
      <x:c r="P164" s="28" t="str">
        <x:v>Baixo</x:v>
      </x:c>
      <x:c r="Q164" s="32" t="n">
        <x:v>0</x:v>
      </x:c>
      <x:c r="R164" s="30" t="n">
        <x:v>0</x:v>
      </x:c>
      <x:c r="S164" s="30" t="n">
        <x:v>45685.03</x:v>
      </x:c>
      <x:c r="T164" s="28" t="str">
        <x:v>Cobertura adequada</x:v>
      </x:c>
    </x:row>
    <x:row r="165">
      <x:c r="A165" s="34" t="n">
        <x:v>45505</x:v>
      </x:c>
      <x:c r="B165" s="28" t="str">
        <x:v>Grupo Industrial S.A.</x:v>
      </x:c>
      <x:c r="C165" s="28" t="str">
        <x:v>Planta Curitiba</x:v>
      </x:c>
      <x:c r="D165" s="28" t="str">
        <x:v>Tampa 28mm</x:v>
      </x:c>
      <x:c r="E165" s="28" t="str">
        <x:v>Fornecedor C</x:v>
      </x:c>
      <x:c r="F165" s="28" t="str">
        <x:v>Embalagem</x:v>
      </x:c>
      <x:c r="G165" s="32" t="n">
        <x:v>18654.95</x:v>
      </x:c>
      <x:c r="H165" s="32" t="n">
        <x:v>19506.23</x:v>
      </x:c>
      <x:c r="I165" s="30" t="n">
        <x:v>0.38</x:v>
      </x:c>
      <x:c r="J165" s="32" t="n">
        <x:v>15730.83</x:v>
      </x:c>
      <x:c r="K165" s="32" t="n">
        <x:v>629.23</x:v>
      </x:c>
      <x:c r="L165" s="32" t="n">
        <x:v>25</x:v>
      </x:c>
      <x:c r="M165" s="32" t="n">
        <x:v>10</x:v>
      </x:c>
      <x:c r="N165" s="36" t="n">
        <x:v>0.95</x:v>
      </x:c>
      <x:c r="O165" s="28" t="str">
        <x:v>Não</x:v>
      </x:c>
      <x:c r="P165" s="28" t="str">
        <x:v>Baixo</x:v>
      </x:c>
      <x:c r="Q165" s="32" t="n">
        <x:v>0</x:v>
      </x:c>
      <x:c r="R165" s="30" t="n">
        <x:v>0</x:v>
      </x:c>
      <x:c r="S165" s="30" t="n">
        <x:v>0</x:v>
      </x:c>
      <x:c r="T165" s="28" t="str">
        <x:v>Cobertura adequada</x:v>
      </x:c>
    </x:row>
    <x:row r="166">
      <x:c r="A166" s="34" t="n">
        <x:v>45505</x:v>
      </x:c>
      <x:c r="B166" s="28" t="str">
        <x:v>Grupo Industrial S.A.</x:v>
      </x:c>
      <x:c r="C166" s="28" t="str">
        <x:v>Planta Curitiba</x:v>
      </x:c>
      <x:c r="D166" s="28" t="str">
        <x:v>Rótulo L-120</x:v>
      </x:c>
      <x:c r="E166" s="28" t="str">
        <x:v>Fornecedor E</x:v>
      </x:c>
      <x:c r="F166" s="28" t="str">
        <x:v>Embalagem</x:v>
      </x:c>
      <x:c r="G166" s="32" t="n">
        <x:v>21418.64</x:v>
      </x:c>
      <x:c r="H166" s="32" t="n">
        <x:v>22262.23</x:v>
      </x:c>
      <x:c r="I166" s="30" t="n">
        <x:v>0.19</x:v>
      </x:c>
      <x:c r="J166" s="32" t="n">
        <x:v>12926.46</x:v>
      </x:c>
      <x:c r="K166" s="32" t="n">
        <x:v>718.14</x:v>
      </x:c>
      <x:c r="L166" s="32" t="n">
        <x:v>18</x:v>
      </x:c>
      <x:c r="M166" s="32" t="n">
        <x:v>12</x:v>
      </x:c>
      <x:c r="N166" s="36" t="n">
        <x:v>0.97</x:v>
      </x:c>
      <x:c r="O166" s="28" t="str">
        <x:v>Não</x:v>
      </x:c>
      <x:c r="P166" s="28" t="str">
        <x:v>Médio</x:v>
      </x:c>
      <x:c r="Q166" s="32" t="n">
        <x:v>754</x:v>
      </x:c>
      <x:c r="R166" s="30" t="n">
        <x:v>0</x:v>
      </x:c>
      <x:c r="S166" s="30" t="n">
        <x:v>0</x:v>
      </x:c>
      <x:c r="T166" s="28" t="str">
        <x:v>Cobertura abaixo do nível de atenção</x:v>
      </x:c>
    </x:row>
    <x:row r="167">
      <x:c r="A167" s="34" t="n">
        <x:v>45505</x:v>
      </x:c>
      <x:c r="B167" s="28" t="str">
        <x:v>Grupo Industrial S.A.</x:v>
      </x:c>
      <x:c r="C167" s="28" t="str">
        <x:v>Planta Curitiba</x:v>
      </x:c>
      <x:c r="D167" s="28" t="str">
        <x:v>Caixa papelão P</x:v>
      </x:c>
      <x:c r="E167" s="28" t="str">
        <x:v>Fornecedor A</x:v>
      </x:c>
      <x:c r="F167" s="28" t="str">
        <x:v>Embalagem</x:v>
      </x:c>
      <x:c r="G167" s="32" t="n">
        <x:v>24182.34</x:v>
      </x:c>
      <x:c r="H167" s="32" t="n">
        <x:v>24790.51</x:v>
      </x:c>
      <x:c r="I167" s="30" t="n">
        <x:v>2.99</x:v>
      </x:c>
      <x:c r="J167" s="32" t="n">
        <x:v>25590.2</x:v>
      </x:c>
      <x:c r="K167" s="32" t="n">
        <x:v>799.69</x:v>
      </x:c>
      <x:c r="L167" s="32" t="n">
        <x:v>32</x:v>
      </x:c>
      <x:c r="M167" s="32" t="n">
        <x:v>12</x:v>
      </x:c>
      <x:c r="N167" s="36" t="n">
        <x:v>0.95</x:v>
      </x:c>
      <x:c r="O167" s="28" t="str">
        <x:v>Não</x:v>
      </x:c>
      <x:c r="P167" s="28" t="str">
        <x:v>Baixo</x:v>
      </x:c>
      <x:c r="Q167" s="32" t="n">
        <x:v>0</x:v>
      </x:c>
      <x:c r="R167" s="30" t="n">
        <x:v>0</x:v>
      </x:c>
      <x:c r="S167" s="30" t="n">
        <x:v>0</x:v>
      </x:c>
      <x:c r="T167" s="28" t="str">
        <x:v>Cobertura adequada</x:v>
      </x:c>
    </x:row>
    <x:row r="168">
      <x:c r="A168" s="34" t="n">
        <x:v>45505</x:v>
      </x:c>
      <x:c r="B168" s="28" t="str">
        <x:v>Grupo Industrial S.A.</x:v>
      </x:c>
      <x:c r="C168" s="28" t="str">
        <x:v>Planta Curitiba</x:v>
      </x:c>
      <x:c r="D168" s="28" t="str">
        <x:v>Aditivo A3</x:v>
      </x:c>
      <x:c r="E168" s="28" t="str">
        <x:v>Fornecedor D</x:v>
      </x:c>
      <x:c r="F168" s="28" t="str">
        <x:v>Insumo</x:v>
      </x:c>
      <x:c r="G168" s="32" t="n">
        <x:v>26946.04</x:v>
      </x:c>
      <x:c r="H168" s="32" t="n">
        <x:v>28281.17</x:v>
      </x:c>
      <x:c r="I168" s="30" t="n">
        <x:v>16.98</x:v>
      </x:c>
      <x:c r="J168" s="32" t="n">
        <x:v>22807.39</x:v>
      </x:c>
      <x:c r="K168" s="32" t="n">
        <x:v>912.3</x:v>
      </x:c>
      <x:c r="L168" s="32" t="n">
        <x:v>25</x:v>
      </x:c>
      <x:c r="M168" s="32" t="n">
        <x:v>12</x:v>
      </x:c>
      <x:c r="N168" s="36" t="n">
        <x:v>0.91</x:v>
      </x:c>
      <x:c r="O168" s="28" t="str">
        <x:v>Não</x:v>
      </x:c>
      <x:c r="P168" s="28" t="str">
        <x:v>Baixo</x:v>
      </x:c>
      <x:c r="Q168" s="32" t="n">
        <x:v>0</x:v>
      </x:c>
      <x:c r="R168" s="30" t="n">
        <x:v>0</x:v>
      </x:c>
      <x:c r="S168" s="30" t="n">
        <x:v>0</x:v>
      </x:c>
      <x:c r="T168" s="28" t="str">
        <x:v>Cobertura adequada</x:v>
      </x:c>
    </x:row>
    <x:row r="169">
      <x:c r="A169" s="34" t="n">
        <x:v>45505</x:v>
      </x:c>
      <x:c r="B169" s="28" t="str">
        <x:v>Grupo Industrial S.A.</x:v>
      </x:c>
      <x:c r="C169" s="28" t="str">
        <x:v>Planta Curitiba</x:v>
      </x:c>
      <x:c r="D169" s="28" t="str">
        <x:v>Masterbatch AZ</x:v>
      </x:c>
      <x:c r="E169" s="28" t="str">
        <x:v>Fornecedor D</x:v>
      </x:c>
      <x:c r="F169" s="28" t="str">
        <x:v>Insumo</x:v>
      </x:c>
      <x:c r="G169" s="32" t="n">
        <x:v>29709.73</x:v>
      </x:c>
      <x:c r="H169" s="32" t="n">
        <x:v>30688.07</x:v>
      </x:c>
      <x:c r="I169" s="30" t="n">
        <x:v>23.58</x:v>
      </x:c>
      <x:c r="J169" s="32" t="n">
        <x:v>37617.63</x:v>
      </x:c>
      <x:c r="K169" s="32" t="n">
        <x:v>989.94</x:v>
      </x:c>
      <x:c r="L169" s="32" t="n">
        <x:v>38</x:v>
      </x:c>
      <x:c r="M169" s="32" t="n">
        <x:v>10</x:v>
      </x:c>
      <x:c r="N169" s="36" t="n">
        <x:v>0.95</x:v>
      </x:c>
      <x:c r="O169" s="28" t="str">
        <x:v>Não</x:v>
      </x:c>
      <x:c r="P169" s="28" t="str">
        <x:v>Baixo</x:v>
      </x:c>
      <x:c r="Q169" s="32" t="n">
        <x:v>0</x:v>
      </x:c>
      <x:c r="R169" s="30" t="n">
        <x:v>0</x:v>
      </x:c>
      <x:c r="S169" s="30" t="n">
        <x:v>66820.79</x:v>
      </x:c>
      <x:c r="T169" s="28" t="str">
        <x:v>Cobertura adequada</x:v>
      </x:c>
    </x:row>
    <x:row r="170">
      <x:c r="A170" s="34" t="n">
        <x:v>45536</x:v>
      </x:c>
      <x:c r="B170" s="28" t="str">
        <x:v>Grupo Industrial S.A.</x:v>
      </x:c>
      <x:c r="C170" s="28" t="str">
        <x:v>Planta São Paulo</x:v>
      </x:c>
      <x:c r="D170" s="28" t="str">
        <x:v>Filme PE 500mm</x:v>
      </x:c>
      <x:c r="E170" s="28" t="str">
        <x:v>Fornecedor A</x:v>
      </x:c>
      <x:c r="F170" s="28" t="str">
        <x:v>Embalagem</x:v>
      </x:c>
      <x:c r="G170" s="32" t="n">
        <x:v>17784</x:v>
      </x:c>
      <x:c r="H170" s="32" t="n">
        <x:v>18281.77</x:v>
      </x:c>
      <x:c r="I170" s="30" t="n">
        <x:v>13.07</x:v>
      </x:c>
      <x:c r="J170" s="32" t="n">
        <x:v>23156.91</x:v>
      </x:c>
      <x:c r="K170" s="32" t="n">
        <x:v>609.39</x:v>
      </x:c>
      <x:c r="L170" s="32" t="n">
        <x:v>38</x:v>
      </x:c>
      <x:c r="M170" s="32" t="n">
        <x:v>8</x:v>
      </x:c>
      <x:c r="N170" s="36" t="n">
        <x:v>0.91</x:v>
      </x:c>
      <x:c r="O170" s="28" t="str">
        <x:v>Não</x:v>
      </x:c>
      <x:c r="P170" s="28" t="str">
        <x:v>Baixo</x:v>
      </x:c>
      <x:c r="Q170" s="32" t="n">
        <x:v>0</x:v>
      </x:c>
      <x:c r="R170" s="30" t="n">
        <x:v>0</x:v>
      </x:c>
      <x:c r="S170" s="30" t="n">
        <x:v>22669.4</x:v>
      </x:c>
      <x:c r="T170" s="28" t="str">
        <x:v>Cobertura adequada</x:v>
      </x:c>
    </x:row>
    <x:row r="171">
      <x:c r="A171" s="34" t="n">
        <x:v>45536</x:v>
      </x:c>
      <x:c r="B171" s="28" t="str">
        <x:v>Grupo Industrial S.A.</x:v>
      </x:c>
      <x:c r="C171" s="28" t="str">
        <x:v>Planta São Paulo</x:v>
      </x:c>
      <x:c r="D171" s="28" t="str">
        <x:v>Resina PP H103</x:v>
      </x:c>
      <x:c r="E171" s="28" t="str">
        <x:v>Fornecedor B</x:v>
      </x:c>
      <x:c r="F171" s="28" t="str">
        <x:v>Resina</x:v>
      </x:c>
      <x:c r="G171" s="32" t="n">
        <x:v>21528</x:v>
      </x:c>
      <x:c r="H171" s="32" t="n">
        <x:v>21959.15</x:v>
      </x:c>
      <x:c r="I171" s="30" t="n">
        <x:v>9.17</x:v>
      </x:c>
      <x:c r="J171" s="32" t="n">
        <x:v>32938.73</x:v>
      </x:c>
      <x:c r="K171" s="32" t="n">
        <x:v>731.97</x:v>
      </x:c>
      <x:c r="L171" s="32" t="n">
        <x:v>45</x:v>
      </x:c>
      <x:c r="M171" s="32" t="n">
        <x:v>10</x:v>
      </x:c>
      <x:c r="N171" s="36" t="n">
        <x:v>0.97</x:v>
      </x:c>
      <x:c r="O171" s="28" t="str">
        <x:v>Não</x:v>
      </x:c>
      <x:c r="P171" s="28" t="str">
        <x:v>Baixo</x:v>
      </x:c>
      <x:c r="Q171" s="32" t="n">
        <x:v>0</x:v>
      </x:c>
      <x:c r="R171" s="30" t="n">
        <x:v>0</x:v>
      </x:c>
      <x:c r="S171" s="30" t="n">
        <x:v>63681.54</x:v>
      </x:c>
      <x:c r="T171" s="28" t="str">
        <x:v>Cobertura adequada</x:v>
      </x:c>
    </x:row>
    <x:row r="172">
      <x:c r="A172" s="34" t="n">
        <x:v>45536</x:v>
      </x:c>
      <x:c r="B172" s="28" t="str">
        <x:v>Grupo Industrial S.A.</x:v>
      </x:c>
      <x:c r="C172" s="28" t="str">
        <x:v>Planta São Paulo</x:v>
      </x:c>
      <x:c r="D172" s="28" t="str">
        <x:v>Tampa 28mm</x:v>
      </x:c>
      <x:c r="E172" s="28" t="str">
        <x:v>Fornecedor C</x:v>
      </x:c>
      <x:c r="F172" s="28" t="str">
        <x:v>Embalagem</x:v>
      </x:c>
      <x:c r="G172" s="32" t="n">
        <x:v>25272</x:v>
      </x:c>
      <x:c r="H172" s="32" t="n">
        <x:v>26046.51</x:v>
      </x:c>
      <x:c r="I172" s="30" t="n">
        <x:v>0.38</x:v>
      </x:c>
      <x:c r="J172" s="32" t="n">
        <x:v>27782.94</x:v>
      </x:c>
      <x:c r="K172" s="32" t="n">
        <x:v>868.22</x:v>
      </x:c>
      <x:c r="L172" s="32" t="n">
        <x:v>32</x:v>
      </x:c>
      <x:c r="M172" s="32" t="n">
        <x:v>14</x:v>
      </x:c>
      <x:c r="N172" s="36" t="n">
        <x:v>0.97</x:v>
      </x:c>
      <x:c r="O172" s="28" t="str">
        <x:v>Não</x:v>
      </x:c>
      <x:c r="P172" s="28" t="str">
        <x:v>Baixo</x:v>
      </x:c>
      <x:c r="Q172" s="32" t="n">
        <x:v>0</x:v>
      </x:c>
      <x:c r="R172" s="30" t="n">
        <x:v>0</x:v>
      </x:c>
      <x:c r="S172" s="30" t="n">
        <x:v>0</x:v>
      </x:c>
      <x:c r="T172" s="28" t="str">
        <x:v>Cobertura adequada</x:v>
      </x:c>
    </x:row>
    <x:row r="173">
      <x:c r="A173" s="34" t="n">
        <x:v>45536</x:v>
      </x:c>
      <x:c r="B173" s="28" t="str">
        <x:v>Grupo Industrial S.A.</x:v>
      </x:c>
      <x:c r="C173" s="28" t="str">
        <x:v>Planta São Paulo</x:v>
      </x:c>
      <x:c r="D173" s="28" t="str">
        <x:v>Rótulo L-120</x:v>
      </x:c>
      <x:c r="E173" s="28" t="str">
        <x:v>Fornecedor E</x:v>
      </x:c>
      <x:c r="F173" s="28" t="str">
        <x:v>Embalagem</x:v>
      </x:c>
      <x:c r="G173" s="32" t="n">
        <x:v>29016</x:v>
      </x:c>
      <x:c r="H173" s="32" t="n">
        <x:v>30420.44</x:v>
      </x:c>
      <x:c r="I173" s="30" t="n">
        <x:v>0.19</x:v>
      </x:c>
      <x:c r="J173" s="32" t="n">
        <x:v>38532.56</x:v>
      </x:c>
      <x:c r="K173" s="32" t="n">
        <x:v>1014.01</x:v>
      </x:c>
      <x:c r="L173" s="32" t="n">
        <x:v>38</x:v>
      </x:c>
      <x:c r="M173" s="32" t="n">
        <x:v>10</x:v>
      </x:c>
      <x:c r="N173" s="36" t="n">
        <x:v>0.95</x:v>
      </x:c>
      <x:c r="O173" s="28" t="str">
        <x:v>Não</x:v>
      </x:c>
      <x:c r="P173" s="28" t="str">
        <x:v>Baixo</x:v>
      </x:c>
      <x:c r="Q173" s="32" t="n">
        <x:v>0</x:v>
      </x:c>
      <x:c r="R173" s="30" t="n">
        <x:v>0</x:v>
      </x:c>
      <x:c r="S173" s="30" t="n">
        <x:v>547.57</x:v>
      </x:c>
      <x:c r="T173" s="28" t="str">
        <x:v>Cobertura adequada</x:v>
      </x:c>
    </x:row>
    <x:row r="174">
      <x:c r="A174" s="34" t="n">
        <x:v>45536</x:v>
      </x:c>
      <x:c r="B174" s="28" t="str">
        <x:v>Grupo Industrial S.A.</x:v>
      </x:c>
      <x:c r="C174" s="28" t="str">
        <x:v>Planta São Paulo</x:v>
      </x:c>
      <x:c r="D174" s="28" t="str">
        <x:v>Caixa papelão P</x:v>
      </x:c>
      <x:c r="E174" s="28" t="str">
        <x:v>Fornecedor A</x:v>
      </x:c>
      <x:c r="F174" s="28" t="str">
        <x:v>Embalagem</x:v>
      </x:c>
      <x:c r="G174" s="32" t="n">
        <x:v>32760</x:v>
      </x:c>
      <x:c r="H174" s="32" t="n">
        <x:v>34068.87</x:v>
      </x:c>
      <x:c r="I174" s="30" t="n">
        <x:v>3</x:v>
      </x:c>
      <x:c r="J174" s="32" t="n">
        <x:v>43153.91</x:v>
      </x:c>
      <x:c r="K174" s="32" t="n">
        <x:v>1135.63</x:v>
      </x:c>
      <x:c r="L174" s="32" t="n">
        <x:v>38</x:v>
      </x:c>
      <x:c r="M174" s="32" t="n">
        <x:v>8</x:v>
      </x:c>
      <x:c r="N174" s="36" t="n">
        <x:v>0.97</x:v>
      </x:c>
      <x:c r="O174" s="28" t="str">
        <x:v>Não</x:v>
      </x:c>
      <x:c r="P174" s="28" t="str">
        <x:v>Baixo</x:v>
      </x:c>
      <x:c r="Q174" s="32" t="n">
        <x:v>0</x:v>
      </x:c>
      <x:c r="R174" s="30" t="n">
        <x:v>0</x:v>
      </x:c>
      <x:c r="S174" s="30" t="n">
        <x:v>9709.63</x:v>
      </x:c>
      <x:c r="T174" s="28" t="str">
        <x:v>Cobertura adequada</x:v>
      </x:c>
    </x:row>
    <x:row r="175">
      <x:c r="A175" s="34" t="n">
        <x:v>45536</x:v>
      </x:c>
      <x:c r="B175" s="28" t="str">
        <x:v>Grupo Industrial S.A.</x:v>
      </x:c>
      <x:c r="C175" s="28" t="str">
        <x:v>Planta São Paulo</x:v>
      </x:c>
      <x:c r="D175" s="28" t="str">
        <x:v>Aditivo A3</x:v>
      </x:c>
      <x:c r="E175" s="28" t="str">
        <x:v>Fornecedor D</x:v>
      </x:c>
      <x:c r="F175" s="28" t="str">
        <x:v>Insumo</x:v>
      </x:c>
      <x:c r="G175" s="32" t="n">
        <x:v>36504</x:v>
      </x:c>
      <x:c r="H175" s="32" t="n">
        <x:v>37025.99</x:v>
      </x:c>
      <x:c r="I175" s="30" t="n">
        <x:v>17.07</x:v>
      </x:c>
      <x:c r="J175" s="32" t="n">
        <x:v>22215.59</x:v>
      </x:c>
      <x:c r="K175" s="32" t="n">
        <x:v>1234.2</x:v>
      </x:c>
      <x:c r="L175" s="32" t="n">
        <x:v>18</x:v>
      </x:c>
      <x:c r="M175" s="32" t="n">
        <x:v>14</x:v>
      </x:c>
      <x:c r="N175" s="36" t="n">
        <x:v>0.91</x:v>
      </x:c>
      <x:c r="O175" s="28" t="str">
        <x:v>Não</x:v>
      </x:c>
      <x:c r="P175" s="28" t="str">
        <x:v>Médio</x:v>
      </x:c>
      <x:c r="Q175" s="32" t="n">
        <x:v>1295</x:v>
      </x:c>
      <x:c r="R175" s="30" t="n">
        <x:v>1199.64</x:v>
      </x:c>
      <x:c r="S175" s="30" t="n">
        <x:v>0</x:v>
      </x:c>
      <x:c r="T175" s="28" t="str">
        <x:v>Cobertura abaixo do nível de atenção</x:v>
      </x:c>
    </x:row>
    <x:row r="176">
      <x:c r="A176" s="34" t="n">
        <x:v>45536</x:v>
      </x:c>
      <x:c r="B176" s="28" t="str">
        <x:v>Grupo Industrial S.A.</x:v>
      </x:c>
      <x:c r="C176" s="28" t="str">
        <x:v>Planta São Paulo</x:v>
      </x:c>
      <x:c r="D176" s="28" t="str">
        <x:v>Masterbatch AZ</x:v>
      </x:c>
      <x:c r="E176" s="28" t="str">
        <x:v>Fornecedor D</x:v>
      </x:c>
      <x:c r="F176" s="28" t="str">
        <x:v>Insumo</x:v>
      </x:c>
      <x:c r="G176" s="32" t="n">
        <x:v>40248</x:v>
      </x:c>
      <x:c r="H176" s="32" t="n">
        <x:v>41318.9</x:v>
      </x:c>
      <x:c r="I176" s="30" t="n">
        <x:v>23.71</x:v>
      </x:c>
      <x:c r="J176" s="32" t="n">
        <x:v>34432.42</x:v>
      </x:c>
      <x:c r="K176" s="32" t="n">
        <x:v>1377.3</x:v>
      </x:c>
      <x:c r="L176" s="32" t="n">
        <x:v>25</x:v>
      </x:c>
      <x:c r="M176" s="32" t="n">
        <x:v>8</x:v>
      </x:c>
      <x:c r="N176" s="36" t="n">
        <x:v>0.97</x:v>
      </x:c>
      <x:c r="O176" s="28" t="str">
        <x:v>Não</x:v>
      </x:c>
      <x:c r="P176" s="28" t="str">
        <x:v>Baixo</x:v>
      </x:c>
      <x:c r="Q176" s="32" t="n">
        <x:v>0</x:v>
      </x:c>
      <x:c r="R176" s="30" t="n">
        <x:v>0</x:v>
      </x:c>
      <x:c r="S176" s="30" t="n">
        <x:v>0</x:v>
      </x:c>
      <x:c r="T176" s="28" t="str">
        <x:v>Cobertura adequada</x:v>
      </x:c>
    </x:row>
    <x:row r="177">
      <x:c r="A177" s="34" t="n">
        <x:v>45536</x:v>
      </x:c>
      <x:c r="B177" s="28" t="str">
        <x:v>Grupo Industrial S.A.</x:v>
      </x:c>
      <x:c r="C177" s="28" t="str">
        <x:v>Planta Campinas</x:v>
      </x:c>
      <x:c r="D177" s="28" t="str">
        <x:v>Filme PE 500mm</x:v>
      </x:c>
      <x:c r="E177" s="28" t="str">
        <x:v>Fornecedor A</x:v>
      </x:c>
      <x:c r="F177" s="28" t="str">
        <x:v>Embalagem</x:v>
      </x:c>
      <x:c r="G177" s="32" t="n">
        <x:v>13634.4</x:v>
      </x:c>
      <x:c r="H177" s="32" t="n">
        <x:v>14687.33</x:v>
      </x:c>
      <x:c r="I177" s="30" t="n">
        <x:v>13.07</x:v>
      </x:c>
      <x:c r="J177" s="32" t="n">
        <x:v>8812.4</x:v>
      </x:c>
      <x:c r="K177" s="32" t="n">
        <x:v>489.58</x:v>
      </x:c>
      <x:c r="L177" s="32" t="n">
        <x:v>18</x:v>
      </x:c>
      <x:c r="M177" s="32" t="n">
        <x:v>14</x:v>
      </x:c>
      <x:c r="N177" s="36" t="n">
        <x:v>0.95</x:v>
      </x:c>
      <x:c r="O177" s="28" t="str">
        <x:v>Não</x:v>
      </x:c>
      <x:c r="P177" s="28" t="str">
        <x:v>Médio</x:v>
      </x:c>
      <x:c r="Q177" s="32" t="n">
        <x:v>514</x:v>
      </x:c>
      <x:c r="R177" s="30" t="n">
        <x:v>364.25</x:v>
      </x:c>
      <x:c r="S177" s="30" t="n">
        <x:v>0</x:v>
      </x:c>
      <x:c r="T177" s="28" t="str">
        <x:v>Cobertura abaixo do nível de atenção</x:v>
      </x:c>
    </x:row>
    <x:row r="178">
      <x:c r="A178" s="34" t="n">
        <x:v>45536</x:v>
      </x:c>
      <x:c r="B178" s="28" t="str">
        <x:v>Grupo Industrial S.A.</x:v>
      </x:c>
      <x:c r="C178" s="28" t="str">
        <x:v>Planta Campinas</x:v>
      </x:c>
      <x:c r="D178" s="28" t="str">
        <x:v>Resina PP H103</x:v>
      </x:c>
      <x:c r="E178" s="28" t="str">
        <x:v>Fornecedor B</x:v>
      </x:c>
      <x:c r="F178" s="28" t="str">
        <x:v>Resina</x:v>
      </x:c>
      <x:c r="G178" s="32" t="n">
        <x:v>16504.8</x:v>
      </x:c>
      <x:c r="H178" s="32" t="n">
        <x:v>17854.37</x:v>
      </x:c>
      <x:c r="I178" s="30" t="n">
        <x:v>9.17</x:v>
      </x:c>
      <x:c r="J178" s="32" t="n">
        <x:v>5356.31</x:v>
      </x:c>
      <x:c r="K178" s="32" t="n">
        <x:v>595.15</x:v>
      </x:c>
      <x:c r="L178" s="32" t="n">
        <x:v>9</x:v>
      </x:c>
      <x:c r="M178" s="32" t="n">
        <x:v>16</x:v>
      </x:c>
      <x:c r="N178" s="36" t="n">
        <x:v>0.84</x:v>
      </x:c>
      <x:c r="O178" s="28" t="str">
        <x:v>Risco</x:v>
      </x:c>
      <x:c r="P178" s="28" t="str">
        <x:v>Alto</x:v>
      </x:c>
      <x:c r="Q178" s="32" t="n">
        <x:v>3273</x:v>
      </x:c>
      <x:c r="R178" s="30" t="n">
        <x:v>3727.99</x:v>
      </x:c>
      <x:c r="S178" s="30" t="n">
        <x:v>0</x:v>
      </x:c>
      <x:c r="T178" s="28" t="str">
        <x:v>Cobertura &lt; lead time + margem de segurança</x:v>
      </x:c>
    </x:row>
    <x:row r="179">
      <x:c r="A179" s="34" t="n">
        <x:v>45536</x:v>
      </x:c>
      <x:c r="B179" s="28" t="str">
        <x:v>Grupo Industrial S.A.</x:v>
      </x:c>
      <x:c r="C179" s="28" t="str">
        <x:v>Planta Campinas</x:v>
      </x:c>
      <x:c r="D179" s="28" t="str">
        <x:v>Tampa 28mm</x:v>
      </x:c>
      <x:c r="E179" s="28" t="str">
        <x:v>Fornecedor C</x:v>
      </x:c>
      <x:c r="F179" s="28" t="str">
        <x:v>Embalagem</x:v>
      </x:c>
      <x:c r="G179" s="32" t="n">
        <x:v>19375.2</x:v>
      </x:c>
      <x:c r="H179" s="32" t="n">
        <x:v>19849.38</x:v>
      </x:c>
      <x:c r="I179" s="30" t="n">
        <x:v>0.38</x:v>
      </x:c>
      <x:c r="J179" s="32" t="n">
        <x:v>7278.11</x:v>
      </x:c>
      <x:c r="K179" s="32" t="n">
        <x:v>661.65</x:v>
      </x:c>
      <x:c r="L179" s="32" t="n">
        <x:v>11</x:v>
      </x:c>
      <x:c r="M179" s="32" t="n">
        <x:v>14</x:v>
      </x:c>
      <x:c r="N179" s="36" t="n">
        <x:v>0.88</x:v>
      </x:c>
      <x:c r="O179" s="28" t="str">
        <x:v>Risco</x:v>
      </x:c>
      <x:c r="P179" s="28" t="str">
        <x:v>Alto</x:v>
      </x:c>
      <x:c r="Q179" s="32" t="n">
        <x:v>2183</x:v>
      </x:c>
      <x:c r="R179" s="30" t="n">
        <x:v>114.33</x:v>
      </x:c>
      <x:c r="S179" s="30" t="n">
        <x:v>0</x:v>
      </x:c>
      <x:c r="T179" s="28" t="str">
        <x:v>Cobertura &lt; lead time + margem de segurança</x:v>
      </x:c>
    </x:row>
    <x:row r="180">
      <x:c r="A180" s="34" t="n">
        <x:v>45536</x:v>
      </x:c>
      <x:c r="B180" s="28" t="str">
        <x:v>Grupo Industrial S.A.</x:v>
      </x:c>
      <x:c r="C180" s="28" t="str">
        <x:v>Planta Campinas</x:v>
      </x:c>
      <x:c r="D180" s="28" t="str">
        <x:v>Rótulo L-120</x:v>
      </x:c>
      <x:c r="E180" s="28" t="str">
        <x:v>Fornecedor E</x:v>
      </x:c>
      <x:c r="F180" s="28" t="str">
        <x:v>Embalagem</x:v>
      </x:c>
      <x:c r="G180" s="32" t="n">
        <x:v>22245.6</x:v>
      </x:c>
      <x:c r="H180" s="32" t="n">
        <x:v>23019.56</x:v>
      </x:c>
      <x:c r="I180" s="30" t="n">
        <x:v>0.19</x:v>
      </x:c>
      <x:c r="J180" s="32" t="n">
        <x:v>24554.2</x:v>
      </x:c>
      <x:c r="K180" s="32" t="n">
        <x:v>767.32</x:v>
      </x:c>
      <x:c r="L180" s="32" t="n">
        <x:v>32</x:v>
      </x:c>
      <x:c r="M180" s="32" t="n">
        <x:v>12</x:v>
      </x:c>
      <x:c r="N180" s="36" t="n">
        <x:v>0.97</x:v>
      </x:c>
      <x:c r="O180" s="28" t="str">
        <x:v>Não</x:v>
      </x:c>
      <x:c r="P180" s="28" t="str">
        <x:v>Baixo</x:v>
      </x:c>
      <x:c r="Q180" s="32" t="n">
        <x:v>0</x:v>
      </x:c>
      <x:c r="R180" s="30" t="n">
        <x:v>0</x:v>
      </x:c>
      <x:c r="S180" s="30" t="n">
        <x:v>0</x:v>
      </x:c>
      <x:c r="T180" s="28" t="str">
        <x:v>Cobertura adequada</x:v>
      </x:c>
    </x:row>
    <x:row r="181">
      <x:c r="A181" s="34" t="n">
        <x:v>45536</x:v>
      </x:c>
      <x:c r="B181" s="28" t="str">
        <x:v>Grupo Industrial S.A.</x:v>
      </x:c>
      <x:c r="C181" s="28" t="str">
        <x:v>Planta Campinas</x:v>
      </x:c>
      <x:c r="D181" s="28" t="str">
        <x:v>Caixa papelão P</x:v>
      </x:c>
      <x:c r="E181" s="28" t="str">
        <x:v>Fornecedor A</x:v>
      </x:c>
      <x:c r="F181" s="28" t="str">
        <x:v>Embalagem</x:v>
      </x:c>
      <x:c r="G181" s="32" t="n">
        <x:v>25116</x:v>
      </x:c>
      <x:c r="H181" s="32" t="n">
        <x:v>26038.21</x:v>
      </x:c>
      <x:c r="I181" s="30" t="n">
        <x:v>3</x:v>
      </x:c>
      <x:c r="J181" s="32" t="n">
        <x:v>15622.92</x:v>
      </x:c>
      <x:c r="K181" s="32" t="n">
        <x:v>867.94</x:v>
      </x:c>
      <x:c r="L181" s="32" t="n">
        <x:v>18</x:v>
      </x:c>
      <x:c r="M181" s="32" t="n">
        <x:v>8</x:v>
      </x:c>
      <x:c r="N181" s="36" t="n">
        <x:v>0.95</x:v>
      </x:c>
      <x:c r="O181" s="28" t="str">
        <x:v>Não</x:v>
      </x:c>
      <x:c r="P181" s="28" t="str">
        <x:v>Médio</x:v>
      </x:c>
      <x:c r="Q181" s="32" t="n">
        <x:v>911</x:v>
      </x:c>
      <x:c r="R181" s="30" t="n">
        <x:v>0</x:v>
      </x:c>
      <x:c r="S181" s="30" t="n">
        <x:v>0</x:v>
      </x:c>
      <x:c r="T181" s="28" t="str">
        <x:v>Cobertura abaixo do nível de atenção</x:v>
      </x:c>
    </x:row>
    <x:row r="182">
      <x:c r="A182" s="34" t="n">
        <x:v>45536</x:v>
      </x:c>
      <x:c r="B182" s="28" t="str">
        <x:v>Grupo Industrial S.A.</x:v>
      </x:c>
      <x:c r="C182" s="28" t="str">
        <x:v>Planta Campinas</x:v>
      </x:c>
      <x:c r="D182" s="28" t="str">
        <x:v>Aditivo A3</x:v>
      </x:c>
      <x:c r="E182" s="28" t="str">
        <x:v>Fornecedor D</x:v>
      </x:c>
      <x:c r="F182" s="28" t="str">
        <x:v>Insumo</x:v>
      </x:c>
      <x:c r="G182" s="32" t="n">
        <x:v>27986.4</x:v>
      </x:c>
      <x:c r="H182" s="32" t="n">
        <x:v>29131.51</x:v>
      </x:c>
      <x:c r="I182" s="30" t="n">
        <x:v>17.07</x:v>
      </x:c>
      <x:c r="J182" s="32" t="n">
        <x:v>24276.26</x:v>
      </x:c>
      <x:c r="K182" s="32" t="n">
        <x:v>971.05</x:v>
      </x:c>
      <x:c r="L182" s="32" t="n">
        <x:v>25</x:v>
      </x:c>
      <x:c r="M182" s="32" t="n">
        <x:v>12</x:v>
      </x:c>
      <x:c r="N182" s="36" t="n">
        <x:v>0.97</x:v>
      </x:c>
      <x:c r="O182" s="28" t="str">
        <x:v>Não</x:v>
      </x:c>
      <x:c r="P182" s="28" t="str">
        <x:v>Baixo</x:v>
      </x:c>
      <x:c r="Q182" s="32" t="n">
        <x:v>0</x:v>
      </x:c>
      <x:c r="R182" s="30" t="n">
        <x:v>0</x:v>
      </x:c>
      <x:c r="S182" s="30" t="n">
        <x:v>0</x:v>
      </x:c>
      <x:c r="T182" s="28" t="str">
        <x:v>Cobertura adequada</x:v>
      </x:c>
    </x:row>
    <x:row r="183">
      <x:c r="A183" s="34" t="n">
        <x:v>45536</x:v>
      </x:c>
      <x:c r="B183" s="28" t="str">
        <x:v>Grupo Industrial S.A.</x:v>
      </x:c>
      <x:c r="C183" s="28" t="str">
        <x:v>Planta Campinas</x:v>
      </x:c>
      <x:c r="D183" s="28" t="str">
        <x:v>Masterbatch AZ</x:v>
      </x:c>
      <x:c r="E183" s="28" t="str">
        <x:v>Fornecedor D</x:v>
      </x:c>
      <x:c r="F183" s="28" t="str">
        <x:v>Insumo</x:v>
      </x:c>
      <x:c r="G183" s="32" t="n">
        <x:v>30856.8</x:v>
      </x:c>
      <x:c r="H183" s="32" t="n">
        <x:v>32198.58</x:v>
      </x:c>
      <x:c r="I183" s="30" t="n">
        <x:v>23.71</x:v>
      </x:c>
      <x:c r="J183" s="32" t="n">
        <x:v>34345.15</x:v>
      </x:c>
      <x:c r="K183" s="32" t="n">
        <x:v>1073.29</x:v>
      </x:c>
      <x:c r="L183" s="32" t="n">
        <x:v>32</x:v>
      </x:c>
      <x:c r="M183" s="32" t="n">
        <x:v>8</x:v>
      </x:c>
      <x:c r="N183" s="36" t="n">
        <x:v>0.97</x:v>
      </x:c>
      <x:c r="O183" s="28" t="str">
        <x:v>Não</x:v>
      </x:c>
      <x:c r="P183" s="28" t="str">
        <x:v>Baixo</x:v>
      </x:c>
      <x:c r="Q183" s="32" t="n">
        <x:v>0</x:v>
      </x:c>
      <x:c r="R183" s="30" t="n">
        <x:v>0</x:v>
      </x:c>
      <x:c r="S183" s="30" t="n">
        <x:v>0</x:v>
      </x:c>
      <x:c r="T183" s="28" t="str">
        <x:v>Cobertura adequada</x:v>
      </x:c>
    </x:row>
    <x:row r="184">
      <x:c r="A184" s="34" t="n">
        <x:v>45536</x:v>
      </x:c>
      <x:c r="B184" s="28" t="str">
        <x:v>Grupo Industrial S.A.</x:v>
      </x:c>
      <x:c r="C184" s="28" t="str">
        <x:v>Planta Curitiba</x:v>
      </x:c>
      <x:c r="D184" s="28" t="str">
        <x:v>Filme PE 500mm</x:v>
      </x:c>
      <x:c r="E184" s="28" t="str">
        <x:v>Fornecedor A</x:v>
      </x:c>
      <x:c r="F184" s="28" t="str">
        <x:v>Embalagem</x:v>
      </x:c>
      <x:c r="G184" s="32" t="n">
        <x:v>12745.2</x:v>
      </x:c>
      <x:c r="H184" s="32" t="n">
        <x:v>13141.25</x:v>
      </x:c>
      <x:c r="I184" s="30" t="n">
        <x:v>13.07</x:v>
      </x:c>
      <x:c r="J184" s="32" t="n">
        <x:v>9636.92</x:v>
      </x:c>
      <x:c r="K184" s="32" t="n">
        <x:v>438.04</x:v>
      </x:c>
      <x:c r="L184" s="32" t="n">
        <x:v>22</x:v>
      </x:c>
      <x:c r="M184" s="32" t="n">
        <x:v>12</x:v>
      </x:c>
      <x:c r="N184" s="36" t="n">
        <x:v>0.95</x:v>
      </x:c>
      <x:c r="O184" s="28" t="str">
        <x:v>Não</x:v>
      </x:c>
      <x:c r="P184" s="28" t="str">
        <x:v>Médio</x:v>
      </x:c>
      <x:c r="Q184" s="32" t="n">
        <x:v>197</x:v>
      </x:c>
      <x:c r="R184" s="30" t="n">
        <x:v>0</x:v>
      </x:c>
      <x:c r="S184" s="30" t="n">
        <x:v>0</x:v>
      </x:c>
      <x:c r="T184" s="28" t="str">
        <x:v>Cobertura abaixo do nível de atenção</x:v>
      </x:c>
    </x:row>
    <x:row r="185">
      <x:c r="A185" s="34" t="n">
        <x:v>45536</x:v>
      </x:c>
      <x:c r="B185" s="28" t="str">
        <x:v>Grupo Industrial S.A.</x:v>
      </x:c>
      <x:c r="C185" s="28" t="str">
        <x:v>Planta Curitiba</x:v>
      </x:c>
      <x:c r="D185" s="28" t="str">
        <x:v>Resina PP H103</x:v>
      </x:c>
      <x:c r="E185" s="28" t="str">
        <x:v>Fornecedor B</x:v>
      </x:c>
      <x:c r="F185" s="28" t="str">
        <x:v>Resina</x:v>
      </x:c>
      <x:c r="G185" s="32" t="n">
        <x:v>15428.4</x:v>
      </x:c>
      <x:c r="H185" s="32" t="n">
        <x:v>16100.76</x:v>
      </x:c>
      <x:c r="I185" s="30" t="n">
        <x:v>9.17</x:v>
      </x:c>
      <x:c r="J185" s="32" t="n">
        <x:v>13417.3</x:v>
      </x:c>
      <x:c r="K185" s="32" t="n">
        <x:v>536.69</x:v>
      </x:c>
      <x:c r="L185" s="32" t="n">
        <x:v>25</x:v>
      </x:c>
      <x:c r="M185" s="32" t="n">
        <x:v>12</x:v>
      </x:c>
      <x:c r="N185" s="36" t="n">
        <x:v>0.91</x:v>
      </x:c>
      <x:c r="O185" s="28" t="str">
        <x:v>Não</x:v>
      </x:c>
      <x:c r="P185" s="28" t="str">
        <x:v>Baixo</x:v>
      </x:c>
      <x:c r="Q185" s="32" t="n">
        <x:v>0</x:v>
      </x:c>
      <x:c r="R185" s="30" t="n">
        <x:v>0</x:v>
      </x:c>
      <x:c r="S185" s="30" t="n">
        <x:v>0</x:v>
      </x:c>
      <x:c r="T185" s="28" t="str">
        <x:v>Cobertura adequada</x:v>
      </x:c>
    </x:row>
    <x:row r="186">
      <x:c r="A186" s="34" t="n">
        <x:v>45536</x:v>
      </x:c>
      <x:c r="B186" s="28" t="str">
        <x:v>Grupo Industrial S.A.</x:v>
      </x:c>
      <x:c r="C186" s="28" t="str">
        <x:v>Planta Curitiba</x:v>
      </x:c>
      <x:c r="D186" s="28" t="str">
        <x:v>Tampa 28mm</x:v>
      </x:c>
      <x:c r="E186" s="28" t="str">
        <x:v>Fornecedor C</x:v>
      </x:c>
      <x:c r="F186" s="28" t="str">
        <x:v>Embalagem</x:v>
      </x:c>
      <x:c r="G186" s="32" t="n">
        <x:v>18111.6</x:v>
      </x:c>
      <x:c r="H186" s="32" t="n">
        <x:v>18572.26</x:v>
      </x:c>
      <x:c r="I186" s="30" t="n">
        <x:v>0.38</x:v>
      </x:c>
      <x:c r="J186" s="32" t="n">
        <x:v>15476.88</x:v>
      </x:c>
      <x:c r="K186" s="32" t="n">
        <x:v>619.08</x:v>
      </x:c>
      <x:c r="L186" s="32" t="n">
        <x:v>25</x:v>
      </x:c>
      <x:c r="M186" s="32" t="n">
        <x:v>8</x:v>
      </x:c>
      <x:c r="N186" s="36" t="n">
        <x:v>0.91</x:v>
      </x:c>
      <x:c r="O186" s="28" t="str">
        <x:v>Não</x:v>
      </x:c>
      <x:c r="P186" s="28" t="str">
        <x:v>Baixo</x:v>
      </x:c>
      <x:c r="Q186" s="32" t="n">
        <x:v>0</x:v>
      </x:c>
      <x:c r="R186" s="30" t="n">
        <x:v>0</x:v>
      </x:c>
      <x:c r="S186" s="30" t="n">
        <x:v>0</x:v>
      </x:c>
      <x:c r="T186" s="28" t="str">
        <x:v>Cobertura adequada</x:v>
      </x:c>
    </x:row>
    <x:row r="187">
      <x:c r="A187" s="34" t="n">
        <x:v>45536</x:v>
      </x:c>
      <x:c r="B187" s="28" t="str">
        <x:v>Grupo Industrial S.A.</x:v>
      </x:c>
      <x:c r="C187" s="28" t="str">
        <x:v>Planta Curitiba</x:v>
      </x:c>
      <x:c r="D187" s="28" t="str">
        <x:v>Rótulo L-120</x:v>
      </x:c>
      <x:c r="E187" s="28" t="str">
        <x:v>Fornecedor E</x:v>
      </x:c>
      <x:c r="F187" s="28" t="str">
        <x:v>Embalagem</x:v>
      </x:c>
      <x:c r="G187" s="32" t="n">
        <x:v>20794.8</x:v>
      </x:c>
      <x:c r="H187" s="32" t="n">
        <x:v>21167.76</x:v>
      </x:c>
      <x:c r="I187" s="30" t="n">
        <x:v>0.19</x:v>
      </x:c>
      <x:c r="J187" s="32" t="n">
        <x:v>26812.5</x:v>
      </x:c>
      <x:c r="K187" s="32" t="n">
        <x:v>705.59</x:v>
      </x:c>
      <x:c r="L187" s="32" t="n">
        <x:v>38</x:v>
      </x:c>
      <x:c r="M187" s="32" t="n">
        <x:v>14</x:v>
      </x:c>
      <x:c r="N187" s="36" t="n">
        <x:v>0.93</x:v>
      </x:c>
      <x:c r="O187" s="28" t="str">
        <x:v>Não</x:v>
      </x:c>
      <x:c r="P187" s="28" t="str">
        <x:v>Baixo</x:v>
      </x:c>
      <x:c r="Q187" s="32" t="n">
        <x:v>0</x:v>
      </x:c>
      <x:c r="R187" s="30" t="n">
        <x:v>0</x:v>
      </x:c>
      <x:c r="S187" s="30" t="n">
        <x:v>381.02</x:v>
      </x:c>
      <x:c r="T187" s="28" t="str">
        <x:v>Cobertura adequada</x:v>
      </x:c>
    </x:row>
    <x:row r="188">
      <x:c r="A188" s="34" t="n">
        <x:v>45536</x:v>
      </x:c>
      <x:c r="B188" s="28" t="str">
        <x:v>Grupo Industrial S.A.</x:v>
      </x:c>
      <x:c r="C188" s="28" t="str">
        <x:v>Planta Curitiba</x:v>
      </x:c>
      <x:c r="D188" s="28" t="str">
        <x:v>Caixa papelão P</x:v>
      </x:c>
      <x:c r="E188" s="28" t="str">
        <x:v>Fornecedor A</x:v>
      </x:c>
      <x:c r="F188" s="28" t="str">
        <x:v>Embalagem</x:v>
      </x:c>
      <x:c r="G188" s="32" t="n">
        <x:v>23478</x:v>
      </x:c>
      <x:c r="H188" s="32" t="n">
        <x:v>24430.3</x:v>
      </x:c>
      <x:c r="I188" s="30" t="n">
        <x:v>3</x:v>
      </x:c>
      <x:c r="J188" s="32" t="n">
        <x:v>17915.56</x:v>
      </x:c>
      <x:c r="K188" s="32" t="n">
        <x:v>814.34</x:v>
      </x:c>
      <x:c r="L188" s="32" t="n">
        <x:v>22</x:v>
      </x:c>
      <x:c r="M188" s="32" t="n">
        <x:v>10</x:v>
      </x:c>
      <x:c r="N188" s="36" t="n">
        <x:v>0.91</x:v>
      </x:c>
      <x:c r="O188" s="28" t="str">
        <x:v>Não</x:v>
      </x:c>
      <x:c r="P188" s="28" t="str">
        <x:v>Médio</x:v>
      </x:c>
      <x:c r="Q188" s="32" t="n">
        <x:v>366</x:v>
      </x:c>
      <x:c r="R188" s="30" t="n">
        <x:v>0</x:v>
      </x:c>
      <x:c r="S188" s="30" t="n">
        <x:v>0</x:v>
      </x:c>
      <x:c r="T188" s="28" t="str">
        <x:v>Cobertura abaixo do nível de atenção</x:v>
      </x:c>
    </x:row>
    <x:row r="189">
      <x:c r="A189" s="34" t="n">
        <x:v>45536</x:v>
      </x:c>
      <x:c r="B189" s="28" t="str">
        <x:v>Grupo Industrial S.A.</x:v>
      </x:c>
      <x:c r="C189" s="28" t="str">
        <x:v>Planta Curitiba</x:v>
      </x:c>
      <x:c r="D189" s="28" t="str">
        <x:v>Aditivo A3</x:v>
      </x:c>
      <x:c r="E189" s="28" t="str">
        <x:v>Fornecedor D</x:v>
      </x:c>
      <x:c r="F189" s="28" t="str">
        <x:v>Insumo</x:v>
      </x:c>
      <x:c r="G189" s="32" t="n">
        <x:v>26161.2</x:v>
      </x:c>
      <x:c r="H189" s="32" t="n">
        <x:v>26885.39</x:v>
      </x:c>
      <x:c r="I189" s="30" t="n">
        <x:v>17.07</x:v>
      </x:c>
      <x:c r="J189" s="32" t="n">
        <x:v>22404.49</x:v>
      </x:c>
      <x:c r="K189" s="32" t="n">
        <x:v>896.18</x:v>
      </x:c>
      <x:c r="L189" s="32" t="n">
        <x:v>25</x:v>
      </x:c>
      <x:c r="M189" s="32" t="n">
        <x:v>8</x:v>
      </x:c>
      <x:c r="N189" s="36" t="n">
        <x:v>0.95</x:v>
      </x:c>
      <x:c r="O189" s="28" t="str">
        <x:v>Não</x:v>
      </x:c>
      <x:c r="P189" s="28" t="str">
        <x:v>Baixo</x:v>
      </x:c>
      <x:c r="Q189" s="32" t="n">
        <x:v>0</x:v>
      </x:c>
      <x:c r="R189" s="30" t="n">
        <x:v>0</x:v>
      </x:c>
      <x:c r="S189" s="30" t="n">
        <x:v>0</x:v>
      </x:c>
      <x:c r="T189" s="28" t="str">
        <x:v>Cobertura adequada</x:v>
      </x:c>
    </x:row>
    <x:row r="190">
      <x:c r="A190" s="34" t="n">
        <x:v>45536</x:v>
      </x:c>
      <x:c r="B190" s="28" t="str">
        <x:v>Grupo Industrial S.A.</x:v>
      </x:c>
      <x:c r="C190" s="28" t="str">
        <x:v>Planta Curitiba</x:v>
      </x:c>
      <x:c r="D190" s="28" t="str">
        <x:v>Masterbatch AZ</x:v>
      </x:c>
      <x:c r="E190" s="28" t="str">
        <x:v>Fornecedor D</x:v>
      </x:c>
      <x:c r="F190" s="28" t="str">
        <x:v>Insumo</x:v>
      </x:c>
      <x:c r="G190" s="32" t="n">
        <x:v>28844.4</x:v>
      </x:c>
      <x:c r="H190" s="32" t="n">
        <x:v>29238.13</x:v>
      </x:c>
      <x:c r="I190" s="30" t="n">
        <x:v>23.71</x:v>
      </x:c>
      <x:c r="J190" s="32" t="n">
        <x:v>21441.29</x:v>
      </x:c>
      <x:c r="K190" s="32" t="n">
        <x:v>974.6</x:v>
      </x:c>
      <x:c r="L190" s="32" t="n">
        <x:v>22</x:v>
      </x:c>
      <x:c r="M190" s="32" t="n">
        <x:v>8</x:v>
      </x:c>
      <x:c r="N190" s="36" t="n">
        <x:v>0.93</x:v>
      </x:c>
      <x:c r="O190" s="28" t="str">
        <x:v>Não</x:v>
      </x:c>
      <x:c r="P190" s="28" t="str">
        <x:v>Médio</x:v>
      </x:c>
      <x:c r="Q190" s="32" t="n">
        <x:v>438</x:v>
      </x:c>
      <x:c r="R190" s="30" t="n">
        <x:v>0</x:v>
      </x:c>
      <x:c r="S190" s="30" t="n">
        <x:v>0</x:v>
      </x:c>
      <x:c r="T190" s="28" t="str">
        <x:v>Cobertura abaixo do nível de atenção</x:v>
      </x:c>
    </x:row>
    <x:row r="191">
      <x:c r="A191" s="34" t="n">
        <x:v>45566</x:v>
      </x:c>
      <x:c r="B191" s="28" t="str">
        <x:v>Grupo Industrial S.A.</x:v>
      </x:c>
      <x:c r="C191" s="28" t="str">
        <x:v>Planta São Paulo</x:v>
      </x:c>
      <x:c r="D191" s="28" t="str">
        <x:v>Filme PE 500mm</x:v>
      </x:c>
      <x:c r="E191" s="28" t="str">
        <x:v>Fornecedor A</x:v>
      </x:c>
      <x:c r="F191" s="28" t="str">
        <x:v>Embalagem</x:v>
      </x:c>
      <x:c r="G191" s="32" t="n">
        <x:v>19206.72</x:v>
      </x:c>
      <x:c r="H191" s="32" t="n">
        <x:v>19684.49</x:v>
      </x:c>
      <x:c r="I191" s="30" t="n">
        <x:v>13.14</x:v>
      </x:c>
      <x:c r="J191" s="32" t="n">
        <x:v>15874.59</x:v>
      </x:c>
      <x:c r="K191" s="32" t="n">
        <x:v>634.98</x:v>
      </x:c>
      <x:c r="L191" s="32" t="n">
        <x:v>25</x:v>
      </x:c>
      <x:c r="M191" s="32" t="n">
        <x:v>14</x:v>
      </x:c>
      <x:c r="N191" s="36" t="n">
        <x:v>0.97</x:v>
      </x:c>
      <x:c r="O191" s="28" t="str">
        <x:v>Não</x:v>
      </x:c>
      <x:c r="P191" s="28" t="str">
        <x:v>Baixo</x:v>
      </x:c>
      <x:c r="Q191" s="32" t="n">
        <x:v>0</x:v>
      </x:c>
      <x:c r="R191" s="30" t="n">
        <x:v>0</x:v>
      </x:c>
      <x:c r="S191" s="30" t="n">
        <x:v>0</x:v>
      </x:c>
      <x:c r="T191" s="28" t="str">
        <x:v>Cobertura adequada</x:v>
      </x:c>
    </x:row>
    <x:row r="192">
      <x:c r="A192" s="34" t="n">
        <x:v>45566</x:v>
      </x:c>
      <x:c r="B192" s="28" t="str">
        <x:v>Grupo Industrial S.A.</x:v>
      </x:c>
      <x:c r="C192" s="28" t="str">
        <x:v>Planta São Paulo</x:v>
      </x:c>
      <x:c r="D192" s="28" t="str">
        <x:v>Resina PP H103</x:v>
      </x:c>
      <x:c r="E192" s="28" t="str">
        <x:v>Fornecedor B</x:v>
      </x:c>
      <x:c r="F192" s="28" t="str">
        <x:v>Resina</x:v>
      </x:c>
      <x:c r="G192" s="32" t="n">
        <x:v>23250.24</x:v>
      </x:c>
      <x:c r="H192" s="32" t="n">
        <x:v>23897.22</x:v>
      </x:c>
      <x:c r="I192" s="30" t="n">
        <x:v>9.22</x:v>
      </x:c>
      <x:c r="J192" s="32" t="n">
        <x:v>29293.36</x:v>
      </x:c>
      <x:c r="K192" s="32" t="n">
        <x:v>770.88</x:v>
      </x:c>
      <x:c r="L192" s="32" t="n">
        <x:v>38</x:v>
      </x:c>
      <x:c r="M192" s="32" t="n">
        <x:v>12</x:v>
      </x:c>
      <x:c r="N192" s="36" t="n">
        <x:v>0.91</x:v>
      </x:c>
      <x:c r="O192" s="28" t="str">
        <x:v>Não</x:v>
      </x:c>
      <x:c r="P192" s="28" t="str">
        <x:v>Baixo</x:v>
      </x:c>
      <x:c r="Q192" s="32" t="n">
        <x:v>0</x:v>
      </x:c>
      <x:c r="R192" s="30" t="n">
        <x:v>0</x:v>
      </x:c>
      <x:c r="S192" s="30" t="n">
        <x:v>20119.91</x:v>
      </x:c>
      <x:c r="T192" s="28" t="str">
        <x:v>Cobertura adequada</x:v>
      </x:c>
    </x:row>
    <x:row r="193">
      <x:c r="A193" s="34" t="n">
        <x:v>45566</x:v>
      </x:c>
      <x:c r="B193" s="28" t="str">
        <x:v>Grupo Industrial S.A.</x:v>
      </x:c>
      <x:c r="C193" s="28" t="str">
        <x:v>Planta São Paulo</x:v>
      </x:c>
      <x:c r="D193" s="28" t="str">
        <x:v>Tampa 28mm</x:v>
      </x:c>
      <x:c r="E193" s="28" t="str">
        <x:v>Fornecedor C</x:v>
      </x:c>
      <x:c r="F193" s="28" t="str">
        <x:v>Embalagem</x:v>
      </x:c>
      <x:c r="G193" s="32" t="n">
        <x:v>27293.76</x:v>
      </x:c>
      <x:c r="H193" s="32" t="n">
        <x:v>28229.76</x:v>
      </x:c>
      <x:c r="I193" s="30" t="n">
        <x:v>0.38</x:v>
      </x:c>
      <x:c r="J193" s="32" t="n">
        <x:v>22765.94</x:v>
      </x:c>
      <x:c r="K193" s="32" t="n">
        <x:v>910.64</x:v>
      </x:c>
      <x:c r="L193" s="32" t="n">
        <x:v>25</x:v>
      </x:c>
      <x:c r="M193" s="32" t="n">
        <x:v>12</x:v>
      </x:c>
      <x:c r="N193" s="36" t="n">
        <x:v>0.91</x:v>
      </x:c>
      <x:c r="O193" s="28" t="str">
        <x:v>Não</x:v>
      </x:c>
      <x:c r="P193" s="28" t="str">
        <x:v>Baixo</x:v>
      </x:c>
      <x:c r="Q193" s="32" t="n">
        <x:v>0</x:v>
      </x:c>
      <x:c r="R193" s="30" t="n">
        <x:v>0</x:v>
      </x:c>
      <x:c r="S193" s="30" t="n">
        <x:v>0</x:v>
      </x:c>
      <x:c r="T193" s="28" t="str">
        <x:v>Cobertura adequada</x:v>
      </x:c>
    </x:row>
    <x:row r="194">
      <x:c r="A194" s="34" t="n">
        <x:v>45566</x:v>
      </x:c>
      <x:c r="B194" s="28" t="str">
        <x:v>Grupo Industrial S.A.</x:v>
      </x:c>
      <x:c r="C194" s="28" t="str">
        <x:v>Planta São Paulo</x:v>
      </x:c>
      <x:c r="D194" s="28" t="str">
        <x:v>Rótulo L-120</x:v>
      </x:c>
      <x:c r="E194" s="28" t="str">
        <x:v>Fornecedor E</x:v>
      </x:c>
      <x:c r="F194" s="28" t="str">
        <x:v>Embalagem</x:v>
      </x:c>
      <x:c r="G194" s="32" t="n">
        <x:v>31337.28</x:v>
      </x:c>
      <x:c r="H194" s="32" t="n">
        <x:v>32006.09</x:v>
      </x:c>
      <x:c r="I194" s="30" t="n">
        <x:v>0.19</x:v>
      </x:c>
      <x:c r="J194" s="32" t="n">
        <x:v>18584.18</x:v>
      </x:c>
      <x:c r="K194" s="32" t="n">
        <x:v>1032.45</x:v>
      </x:c>
      <x:c r="L194" s="32" t="n">
        <x:v>18</x:v>
      </x:c>
      <x:c r="M194" s="32" t="n">
        <x:v>8</x:v>
      </x:c>
      <x:c r="N194" s="36" t="n">
        <x:v>0.95</x:v>
      </x:c>
      <x:c r="O194" s="28" t="str">
        <x:v>Não</x:v>
      </x:c>
      <x:c r="P194" s="28" t="str">
        <x:v>Médio</x:v>
      </x:c>
      <x:c r="Q194" s="32" t="n">
        <x:v>1084</x:v>
      </x:c>
      <x:c r="R194" s="30" t="n">
        <x:v>0</x:v>
      </x:c>
      <x:c r="S194" s="30" t="n">
        <x:v>0</x:v>
      </x:c>
      <x:c r="T194" s="28" t="str">
        <x:v>Cobertura abaixo do nível de atenção</x:v>
      </x:c>
    </x:row>
    <x:row r="195">
      <x:c r="A195" s="34" t="n">
        <x:v>45566</x:v>
      </x:c>
      <x:c r="B195" s="28" t="str">
        <x:v>Grupo Industrial S.A.</x:v>
      </x:c>
      <x:c r="C195" s="28" t="str">
        <x:v>Planta São Paulo</x:v>
      </x:c>
      <x:c r="D195" s="28" t="str">
        <x:v>Caixa papelão P</x:v>
      </x:c>
      <x:c r="E195" s="28" t="str">
        <x:v>Fornecedor A</x:v>
      </x:c>
      <x:c r="F195" s="28" t="str">
        <x:v>Embalagem</x:v>
      </x:c>
      <x:c r="G195" s="32" t="n">
        <x:v>35380.8</x:v>
      </x:c>
      <x:c r="H195" s="32" t="n">
        <x:v>37102.49</x:v>
      </x:c>
      <x:c r="I195" s="30" t="n">
        <x:v>3.02</x:v>
      </x:c>
      <x:c r="J195" s="32" t="n">
        <x:v>29921.36</x:v>
      </x:c>
      <x:c r="K195" s="32" t="n">
        <x:v>1196.85</x:v>
      </x:c>
      <x:c r="L195" s="32" t="n">
        <x:v>25</x:v>
      </x:c>
      <x:c r="M195" s="32" t="n">
        <x:v>10</x:v>
      </x:c>
      <x:c r="N195" s="36" t="n">
        <x:v>0.97</x:v>
      </x:c>
      <x:c r="O195" s="28" t="str">
        <x:v>Não</x:v>
      </x:c>
      <x:c r="P195" s="28" t="str">
        <x:v>Baixo</x:v>
      </x:c>
      <x:c r="Q195" s="32" t="n">
        <x:v>0</x:v>
      </x:c>
      <x:c r="R195" s="30" t="n">
        <x:v>0</x:v>
      </x:c>
      <x:c r="S195" s="30" t="n">
        <x:v>0</x:v>
      </x:c>
      <x:c r="T195" s="28" t="str">
        <x:v>Cobertura adequada</x:v>
      </x:c>
    </x:row>
    <x:row r="196">
      <x:c r="A196" s="34" t="n">
        <x:v>45566</x:v>
      </x:c>
      <x:c r="B196" s="28" t="str">
        <x:v>Grupo Industrial S.A.</x:v>
      </x:c>
      <x:c r="C196" s="28" t="str">
        <x:v>Planta São Paulo</x:v>
      </x:c>
      <x:c r="D196" s="28" t="str">
        <x:v>Aditivo A3</x:v>
      </x:c>
      <x:c r="E196" s="28" t="str">
        <x:v>Fornecedor D</x:v>
      </x:c>
      <x:c r="F196" s="28" t="str">
        <x:v>Insumo</x:v>
      </x:c>
      <x:c r="G196" s="32" t="n">
        <x:v>39424.32</x:v>
      </x:c>
      <x:c r="H196" s="32" t="n">
        <x:v>41036.21</x:v>
      </x:c>
      <x:c r="I196" s="30" t="n">
        <x:v>17.17</x:v>
      </x:c>
      <x:c r="J196" s="32" t="n">
        <x:v>42359.96</x:v>
      </x:c>
      <x:c r="K196" s="32" t="n">
        <x:v>1323.75</x:v>
      </x:c>
      <x:c r="L196" s="32" t="n">
        <x:v>32</x:v>
      </x:c>
      <x:c r="M196" s="32" t="n">
        <x:v>10</x:v>
      </x:c>
      <x:c r="N196" s="36" t="n">
        <x:v>0.95</x:v>
      </x:c>
      <x:c r="O196" s="28" t="str">
        <x:v>Não</x:v>
      </x:c>
      <x:c r="P196" s="28" t="str">
        <x:v>Baixo</x:v>
      </x:c>
      <x:c r="Q196" s="32" t="n">
        <x:v>0</x:v>
      </x:c>
      <x:c r="R196" s="30" t="n">
        <x:v>0</x:v>
      </x:c>
      <x:c r="S196" s="30" t="n">
        <x:v>0</x:v>
      </x:c>
      <x:c r="T196" s="28" t="str">
        <x:v>Cobertura adequada</x:v>
      </x:c>
    </x:row>
    <x:row r="197">
      <x:c r="A197" s="34" t="n">
        <x:v>45566</x:v>
      </x:c>
      <x:c r="B197" s="28" t="str">
        <x:v>Grupo Industrial S.A.</x:v>
      </x:c>
      <x:c r="C197" s="28" t="str">
        <x:v>Planta São Paulo</x:v>
      </x:c>
      <x:c r="D197" s="28" t="str">
        <x:v>Masterbatch AZ</x:v>
      </x:c>
      <x:c r="E197" s="28" t="str">
        <x:v>Fornecedor D</x:v>
      </x:c>
      <x:c r="F197" s="28" t="str">
        <x:v>Insumo</x:v>
      </x:c>
      <x:c r="G197" s="32" t="n">
        <x:v>43467.84</x:v>
      </x:c>
      <x:c r="H197" s="32" t="n">
        <x:v>44947.87</x:v>
      </x:c>
      <x:c r="I197" s="30" t="n">
        <x:v>23.85</x:v>
      </x:c>
      <x:c r="J197" s="32" t="n">
        <x:v>46397.81</x:v>
      </x:c>
      <x:c r="K197" s="32" t="n">
        <x:v>1449.93</x:v>
      </x:c>
      <x:c r="L197" s="32" t="n">
        <x:v>32</x:v>
      </x:c>
      <x:c r="M197" s="32" t="n">
        <x:v>14</x:v>
      </x:c>
      <x:c r="N197" s="36" t="n">
        <x:v>0.95</x:v>
      </x:c>
      <x:c r="O197" s="28" t="str">
        <x:v>Não</x:v>
      </x:c>
      <x:c r="P197" s="28" t="str">
        <x:v>Baixo</x:v>
      </x:c>
      <x:c r="Q197" s="32" t="n">
        <x:v>0</x:v>
      </x:c>
      <x:c r="R197" s="30" t="n">
        <x:v>0</x:v>
      </x:c>
      <x:c r="S197" s="30" t="n">
        <x:v>0</x:v>
      </x:c>
      <x:c r="T197" s="28" t="str">
        <x:v>Cobertura adequada</x:v>
      </x:c>
    </x:row>
    <x:row r="198">
      <x:c r="A198" s="34" t="n">
        <x:v>45566</x:v>
      </x:c>
      <x:c r="B198" s="28" t="str">
        <x:v>Grupo Industrial S.A.</x:v>
      </x:c>
      <x:c r="C198" s="28" t="str">
        <x:v>Planta Campinas</x:v>
      </x:c>
      <x:c r="D198" s="28" t="str">
        <x:v>Filme PE 500mm</x:v>
      </x:c>
      <x:c r="E198" s="28" t="str">
        <x:v>Fornecedor A</x:v>
      </x:c>
      <x:c r="F198" s="28" t="str">
        <x:v>Embalagem</x:v>
      </x:c>
      <x:c r="G198" s="32" t="n">
        <x:v>14725.15</x:v>
      </x:c>
      <x:c r="H198" s="32" t="n">
        <x:v>15662.94</x:v>
      </x:c>
      <x:c r="I198" s="30" t="n">
        <x:v>13.14</x:v>
      </x:c>
      <x:c r="J198" s="32" t="n">
        <x:v>22736.52</x:v>
      </x:c>
      <x:c r="K198" s="32" t="n">
        <x:v>505.26</x:v>
      </x:c>
      <x:c r="L198" s="32" t="n">
        <x:v>45</x:v>
      </x:c>
      <x:c r="M198" s="32" t="n">
        <x:v>14</x:v>
      </x:c>
      <x:c r="N198" s="36" t="n">
        <x:v>0.95</x:v>
      </x:c>
      <x:c r="O198" s="28" t="str">
        <x:v>Não</x:v>
      </x:c>
      <x:c r="P198" s="28" t="str">
        <x:v>Baixo</x:v>
      </x:c>
      <x:c r="Q198" s="32" t="n">
        <x:v>0</x:v>
      </x:c>
      <x:c r="R198" s="30" t="n">
        <x:v>0</x:v>
      </x:c>
      <x:c r="S198" s="30" t="n">
        <x:v>62651.75</x:v>
      </x:c>
      <x:c r="T198" s="28" t="str">
        <x:v>Cobertura adequada</x:v>
      </x:c>
    </x:row>
    <x:row r="199">
      <x:c r="A199" s="34" t="n">
        <x:v>45566</x:v>
      </x:c>
      <x:c r="B199" s="28" t="str">
        <x:v>Grupo Industrial S.A.</x:v>
      </x:c>
      <x:c r="C199" s="28" t="str">
        <x:v>Planta Campinas</x:v>
      </x:c>
      <x:c r="D199" s="28" t="str">
        <x:v>Resina PP H103</x:v>
      </x:c>
      <x:c r="E199" s="28" t="str">
        <x:v>Fornecedor B</x:v>
      </x:c>
      <x:c r="F199" s="28" t="str">
        <x:v>Resina</x:v>
      </x:c>
      <x:c r="G199" s="32" t="n">
        <x:v>17825.18</x:v>
      </x:c>
      <x:c r="H199" s="32" t="n">
        <x:v>19509.74</x:v>
      </x:c>
      <x:c r="I199" s="30" t="n">
        <x:v>9.22</x:v>
      </x:c>
      <x:c r="J199" s="32" t="n">
        <x:v>6293.46</x:v>
      </x:c>
      <x:c r="K199" s="32" t="n">
        <x:v>629.35</x:v>
      </x:c>
      <x:c r="L199" s="32" t="n">
        <x:v>10</x:v>
      </x:c>
      <x:c r="M199" s="32" t="n">
        <x:v>16</x:v>
      </x:c>
      <x:c r="N199" s="36" t="n">
        <x:v>0.85</x:v>
      </x:c>
      <x:c r="O199" s="28" t="str">
        <x:v>Risco</x:v>
      </x:c>
      <x:c r="P199" s="28" t="str">
        <x:v>Alto</x:v>
      </x:c>
      <x:c r="Q199" s="32" t="n">
        <x:v>3115</x:v>
      </x:c>
      <x:c r="R199" s="30" t="n">
        <x:v>3613.71</x:v>
      </x:c>
      <x:c r="S199" s="30" t="n">
        <x:v>0</x:v>
      </x:c>
      <x:c r="T199" s="28" t="str">
        <x:v>Cobertura &lt; lead time + margem de segurança</x:v>
      </x:c>
    </x:row>
    <x:row r="200">
      <x:c r="A200" s="34" t="n">
        <x:v>45566</x:v>
      </x:c>
      <x:c r="B200" s="28" t="str">
        <x:v>Grupo Industrial S.A.</x:v>
      </x:c>
      <x:c r="C200" s="28" t="str">
        <x:v>Planta Campinas</x:v>
      </x:c>
      <x:c r="D200" s="28" t="str">
        <x:v>Tampa 28mm</x:v>
      </x:c>
      <x:c r="E200" s="28" t="str">
        <x:v>Fornecedor C</x:v>
      </x:c>
      <x:c r="F200" s="28" t="str">
        <x:v>Embalagem</x:v>
      </x:c>
      <x:c r="G200" s="32" t="n">
        <x:v>20925.22</x:v>
      </x:c>
      <x:c r="H200" s="32" t="n">
        <x:v>21667.8</x:v>
      </x:c>
      <x:c r="I200" s="30" t="n">
        <x:v>0.38</x:v>
      </x:c>
      <x:c r="J200" s="32" t="n">
        <x:v>8387.53</x:v>
      </x:c>
      <x:c r="K200" s="32" t="n">
        <x:v>698.96</x:v>
      </x:c>
      <x:c r="L200" s="32" t="n">
        <x:v>12</x:v>
      </x:c>
      <x:c r="M200" s="32" t="n">
        <x:v>14</x:v>
      </x:c>
      <x:c r="N200" s="36" t="n">
        <x:v>0.88</x:v>
      </x:c>
      <x:c r="O200" s="28" t="str">
        <x:v>Risco</x:v>
      </x:c>
      <x:c r="P200" s="28" t="str">
        <x:v>Alto</x:v>
      </x:c>
      <x:c r="Q200" s="32" t="n">
        <x:v>1922</x:v>
      </x:c>
      <x:c r="R200" s="30" t="n">
        <x:v>105.68</x:v>
      </x:c>
      <x:c r="S200" s="30" t="n">
        <x:v>0</x:v>
      </x:c>
      <x:c r="T200" s="28" t="str">
        <x:v>Cobertura &lt; lead time + margem de segurança</x:v>
      </x:c>
    </x:row>
    <x:row r="201">
      <x:c r="A201" s="34" t="n">
        <x:v>45566</x:v>
      </x:c>
      <x:c r="B201" s="28" t="str">
        <x:v>Grupo Industrial S.A.</x:v>
      </x:c>
      <x:c r="C201" s="28" t="str">
        <x:v>Planta Campinas</x:v>
      </x:c>
      <x:c r="D201" s="28" t="str">
        <x:v>Rótulo L-120</x:v>
      </x:c>
      <x:c r="E201" s="28" t="str">
        <x:v>Fornecedor E</x:v>
      </x:c>
      <x:c r="F201" s="28" t="str">
        <x:v>Embalagem</x:v>
      </x:c>
      <x:c r="G201" s="32" t="n">
        <x:v>24025.25</x:v>
      </x:c>
      <x:c r="H201" s="32" t="n">
        <x:v>24796.21</x:v>
      </x:c>
      <x:c r="I201" s="30" t="n">
        <x:v>0.19</x:v>
      </x:c>
      <x:c r="J201" s="32" t="n">
        <x:v>17597.31</x:v>
      </x:c>
      <x:c r="K201" s="32" t="n">
        <x:v>799.88</x:v>
      </x:c>
      <x:c r="L201" s="32" t="n">
        <x:v>22</x:v>
      </x:c>
      <x:c r="M201" s="32" t="n">
        <x:v>12</x:v>
      </x:c>
      <x:c r="N201" s="36" t="n">
        <x:v>0.95</x:v>
      </x:c>
      <x:c r="O201" s="28" t="str">
        <x:v>Não</x:v>
      </x:c>
      <x:c r="P201" s="28" t="str">
        <x:v>Médio</x:v>
      </x:c>
      <x:c r="Q201" s="32" t="n">
        <x:v>359</x:v>
      </x:c>
      <x:c r="R201" s="30" t="n">
        <x:v>0</x:v>
      </x:c>
      <x:c r="S201" s="30" t="n">
        <x:v>0</x:v>
      </x:c>
      <x:c r="T201" s="28" t="str">
        <x:v>Cobertura abaixo do nível de atenção</x:v>
      </x:c>
    </x:row>
    <x:row r="202">
      <x:c r="A202" s="34" t="n">
        <x:v>45566</x:v>
      </x:c>
      <x:c r="B202" s="28" t="str">
        <x:v>Grupo Industrial S.A.</x:v>
      </x:c>
      <x:c r="C202" s="28" t="str">
        <x:v>Planta Campinas</x:v>
      </x:c>
      <x:c r="D202" s="28" t="str">
        <x:v>Caixa papelão P</x:v>
      </x:c>
      <x:c r="E202" s="28" t="str">
        <x:v>Fornecedor A</x:v>
      </x:c>
      <x:c r="F202" s="28" t="str">
        <x:v>Embalagem</x:v>
      </x:c>
      <x:c r="G202" s="32" t="n">
        <x:v>27125.28</x:v>
      </x:c>
      <x:c r="H202" s="32" t="n">
        <x:v>27809.26</x:v>
      </x:c>
      <x:c r="I202" s="30" t="n">
        <x:v>3.02</x:v>
      </x:c>
      <x:c r="J202" s="32" t="n">
        <x:v>19735.6</x:v>
      </x:c>
      <x:c r="K202" s="32" t="n">
        <x:v>897.07</x:v>
      </x:c>
      <x:c r="L202" s="32" t="n">
        <x:v>22</x:v>
      </x:c>
      <x:c r="M202" s="32" t="n">
        <x:v>10</x:v>
      </x:c>
      <x:c r="N202" s="36" t="n">
        <x:v>0.91</x:v>
      </x:c>
      <x:c r="O202" s="28" t="str">
        <x:v>Não</x:v>
      </x:c>
      <x:c r="P202" s="28" t="str">
        <x:v>Médio</x:v>
      </x:c>
      <x:c r="Q202" s="32" t="n">
        <x:v>403</x:v>
      </x:c>
      <x:c r="R202" s="30" t="n">
        <x:v>0</x:v>
      </x:c>
      <x:c r="S202" s="30" t="n">
        <x:v>0</x:v>
      </x:c>
      <x:c r="T202" s="28" t="str">
        <x:v>Cobertura abaixo do nível de atenção</x:v>
      </x:c>
    </x:row>
    <x:row r="203">
      <x:c r="A203" s="34" t="n">
        <x:v>45566</x:v>
      </x:c>
      <x:c r="B203" s="28" t="str">
        <x:v>Grupo Industrial S.A.</x:v>
      </x:c>
      <x:c r="C203" s="28" t="str">
        <x:v>Planta Campinas</x:v>
      </x:c>
      <x:c r="D203" s="28" t="str">
        <x:v>Aditivo A3</x:v>
      </x:c>
      <x:c r="E203" s="28" t="str">
        <x:v>Fornecedor D</x:v>
      </x:c>
      <x:c r="F203" s="28" t="str">
        <x:v>Insumo</x:v>
      </x:c>
      <x:c r="G203" s="32" t="n">
        <x:v>30225.31</x:v>
      </x:c>
      <x:c r="H203" s="32" t="n">
        <x:v>31087.63</x:v>
      </x:c>
      <x:c r="I203" s="30" t="n">
        <x:v>17.17</x:v>
      </x:c>
      <x:c r="J203" s="32" t="n">
        <x:v>32090.46</x:v>
      </x:c>
      <x:c r="K203" s="32" t="n">
        <x:v>1002.83</x:v>
      </x:c>
      <x:c r="L203" s="32" t="n">
        <x:v>32</x:v>
      </x:c>
      <x:c r="M203" s="32" t="n">
        <x:v>10</x:v>
      </x:c>
      <x:c r="N203" s="36" t="n">
        <x:v>0.95</x:v>
      </x:c>
      <x:c r="O203" s="28" t="str">
        <x:v>Não</x:v>
      </x:c>
      <x:c r="P203" s="28" t="str">
        <x:v>Baixo</x:v>
      </x:c>
      <x:c r="Q203" s="32" t="n">
        <x:v>0</x:v>
      </x:c>
      <x:c r="R203" s="30" t="n">
        <x:v>0</x:v>
      </x:c>
      <x:c r="S203" s="30" t="n">
        <x:v>0</x:v>
      </x:c>
      <x:c r="T203" s="28" t="str">
        <x:v>Cobertura adequada</x:v>
      </x:c>
    </x:row>
    <x:row r="204">
      <x:c r="A204" s="34" t="n">
        <x:v>45566</x:v>
      </x:c>
      <x:c r="B204" s="28" t="str">
        <x:v>Grupo Industrial S.A.</x:v>
      </x:c>
      <x:c r="C204" s="28" t="str">
        <x:v>Planta Campinas</x:v>
      </x:c>
      <x:c r="D204" s="28" t="str">
        <x:v>Masterbatch AZ</x:v>
      </x:c>
      <x:c r="E204" s="28" t="str">
        <x:v>Fornecedor D</x:v>
      </x:c>
      <x:c r="F204" s="28" t="str">
        <x:v>Insumo</x:v>
      </x:c>
      <x:c r="G204" s="32" t="n">
        <x:v>33325.34</x:v>
      </x:c>
      <x:c r="H204" s="32" t="n">
        <x:v>34133.39</x:v>
      </x:c>
      <x:c r="I204" s="30" t="n">
        <x:v>23.85</x:v>
      </x:c>
      <x:c r="J204" s="32" t="n">
        <x:v>24223.69</x:v>
      </x:c>
      <x:c r="K204" s="32" t="n">
        <x:v>1101.08</x:v>
      </x:c>
      <x:c r="L204" s="32" t="n">
        <x:v>22</x:v>
      </x:c>
      <x:c r="M204" s="32" t="n">
        <x:v>8</x:v>
      </x:c>
      <x:c r="N204" s="36" t="n">
        <x:v>0.97</x:v>
      </x:c>
      <x:c r="O204" s="28" t="str">
        <x:v>Não</x:v>
      </x:c>
      <x:c r="P204" s="28" t="str">
        <x:v>Médio</x:v>
      </x:c>
      <x:c r="Q204" s="32" t="n">
        <x:v>495</x:v>
      </x:c>
      <x:c r="R204" s="30" t="n">
        <x:v>0</x:v>
      </x:c>
      <x:c r="S204" s="30" t="n">
        <x:v>0</x:v>
      </x:c>
      <x:c r="T204" s="28" t="str">
        <x:v>Cobertura abaixo do nível de atenção</x:v>
      </x:c>
    </x:row>
    <x:row r="205">
      <x:c r="A205" s="34" t="n">
        <x:v>45566</x:v>
      </x:c>
      <x:c r="B205" s="28" t="str">
        <x:v>Grupo Industrial S.A.</x:v>
      </x:c>
      <x:c r="C205" s="28" t="str">
        <x:v>Planta Curitiba</x:v>
      </x:c>
      <x:c r="D205" s="28" t="str">
        <x:v>Filme PE 500mm</x:v>
      </x:c>
      <x:c r="E205" s="28" t="str">
        <x:v>Fornecedor A</x:v>
      </x:c>
      <x:c r="F205" s="28" t="str">
        <x:v>Embalagem</x:v>
      </x:c>
      <x:c r="G205" s="32" t="n">
        <x:v>13764.82</x:v>
      </x:c>
      <x:c r="H205" s="32" t="n">
        <x:v>14366.82</x:v>
      </x:c>
      <x:c r="I205" s="30" t="n">
        <x:v>13.14</x:v>
      </x:c>
      <x:c r="J205" s="32" t="n">
        <x:v>10195.81</x:v>
      </x:c>
      <x:c r="K205" s="32" t="n">
        <x:v>463.45</x:v>
      </x:c>
      <x:c r="L205" s="32" t="n">
        <x:v>22</x:v>
      </x:c>
      <x:c r="M205" s="32" t="n">
        <x:v>8</x:v>
      </x:c>
      <x:c r="N205" s="36" t="n">
        <x:v>0.91</x:v>
      </x:c>
      <x:c r="O205" s="28" t="str">
        <x:v>Não</x:v>
      </x:c>
      <x:c r="P205" s="28" t="str">
        <x:v>Médio</x:v>
      </x:c>
      <x:c r="Q205" s="32" t="n">
        <x:v>208</x:v>
      </x:c>
      <x:c r="R205" s="30" t="n">
        <x:v>0</x:v>
      </x:c>
      <x:c r="S205" s="30" t="n">
        <x:v>0</x:v>
      </x:c>
      <x:c r="T205" s="28" t="str">
        <x:v>Cobertura abaixo do nível de atenção</x:v>
      </x:c>
    </x:row>
    <x:row r="206">
      <x:c r="A206" s="34" t="n">
        <x:v>45566</x:v>
      </x:c>
      <x:c r="B206" s="28" t="str">
        <x:v>Grupo Industrial S.A.</x:v>
      </x:c>
      <x:c r="C206" s="28" t="str">
        <x:v>Planta Curitiba</x:v>
      </x:c>
      <x:c r="D206" s="28" t="str">
        <x:v>Resina PP H103</x:v>
      </x:c>
      <x:c r="E206" s="28" t="str">
        <x:v>Fornecedor B</x:v>
      </x:c>
      <x:c r="F206" s="28" t="str">
        <x:v>Resina</x:v>
      </x:c>
      <x:c r="G206" s="32" t="n">
        <x:v>16662.67</x:v>
      </x:c>
      <x:c r="H206" s="32" t="n">
        <x:v>17327.25</x:v>
      </x:c>
      <x:c r="I206" s="30" t="n">
        <x:v>9.22</x:v>
      </x:c>
      <x:c r="J206" s="32" t="n">
        <x:v>13973.59</x:v>
      </x:c>
      <x:c r="K206" s="32" t="n">
        <x:v>558.94</x:v>
      </x:c>
      <x:c r="L206" s="32" t="n">
        <x:v>25</x:v>
      </x:c>
      <x:c r="M206" s="32" t="n">
        <x:v>10</x:v>
      </x:c>
      <x:c r="N206" s="36" t="n">
        <x:v>0.97</x:v>
      </x:c>
      <x:c r="O206" s="28" t="str">
        <x:v>Não</x:v>
      </x:c>
      <x:c r="P206" s="28" t="str">
        <x:v>Baixo</x:v>
      </x:c>
      <x:c r="Q206" s="32" t="n">
        <x:v>0</x:v>
      </x:c>
      <x:c r="R206" s="30" t="n">
        <x:v>0</x:v>
      </x:c>
      <x:c r="S206" s="30" t="n">
        <x:v>0</x:v>
      </x:c>
      <x:c r="T206" s="28" t="str">
        <x:v>Cobertura adequada</x:v>
      </x:c>
    </x:row>
    <x:row r="207">
      <x:c r="A207" s="34" t="n">
        <x:v>45566</x:v>
      </x:c>
      <x:c r="B207" s="28" t="str">
        <x:v>Grupo Industrial S.A.</x:v>
      </x:c>
      <x:c r="C207" s="28" t="str">
        <x:v>Planta Curitiba</x:v>
      </x:c>
      <x:c r="D207" s="28" t="str">
        <x:v>Tampa 28mm</x:v>
      </x:c>
      <x:c r="E207" s="28" t="str">
        <x:v>Fornecedor C</x:v>
      </x:c>
      <x:c r="F207" s="28" t="str">
        <x:v>Embalagem</x:v>
      </x:c>
      <x:c r="G207" s="32" t="n">
        <x:v>19560.53</x:v>
      </x:c>
      <x:c r="H207" s="32" t="n">
        <x:v>20369.76</x:v>
      </x:c>
      <x:c r="I207" s="30" t="n">
        <x:v>0.38</x:v>
      </x:c>
      <x:c r="J207" s="32" t="n">
        <x:v>24969.38</x:v>
      </x:c>
      <x:c r="K207" s="32" t="n">
        <x:v>657.09</x:v>
      </x:c>
      <x:c r="L207" s="32" t="n">
        <x:v>38</x:v>
      </x:c>
      <x:c r="M207" s="32" t="n">
        <x:v>12</x:v>
      </x:c>
      <x:c r="N207" s="36" t="n">
        <x:v>0.91</x:v>
      </x:c>
      <x:c r="O207" s="28" t="str">
        <x:v>Não</x:v>
      </x:c>
      <x:c r="P207" s="28" t="str">
        <x:v>Baixo</x:v>
      </x:c>
      <x:c r="Q207" s="32" t="n">
        <x:v>0</x:v>
      </x:c>
      <x:c r="R207" s="30" t="n">
        <x:v>0</x:v>
      </x:c>
      <x:c r="S207" s="30" t="n">
        <x:v>709.66</x:v>
      </x:c>
      <x:c r="T207" s="28" t="str">
        <x:v>Cobertura adequada</x:v>
      </x:c>
    </x:row>
    <x:row r="208">
      <x:c r="A208" s="34" t="n">
        <x:v>45566</x:v>
      </x:c>
      <x:c r="B208" s="28" t="str">
        <x:v>Grupo Industrial S.A.</x:v>
      </x:c>
      <x:c r="C208" s="28" t="str">
        <x:v>Planta Curitiba</x:v>
      </x:c>
      <x:c r="D208" s="28" t="str">
        <x:v>Rótulo L-120</x:v>
      </x:c>
      <x:c r="E208" s="28" t="str">
        <x:v>Fornecedor E</x:v>
      </x:c>
      <x:c r="F208" s="28" t="str">
        <x:v>Embalagem</x:v>
      </x:c>
      <x:c r="G208" s="32" t="n">
        <x:v>22458.38</x:v>
      </x:c>
      <x:c r="H208" s="32" t="n">
        <x:v>22821.03</x:v>
      </x:c>
      <x:c r="I208" s="30" t="n">
        <x:v>0.19</x:v>
      </x:c>
      <x:c r="J208" s="32" t="n">
        <x:v>13250.92</x:v>
      </x:c>
      <x:c r="K208" s="32" t="n">
        <x:v>736.16</x:v>
      </x:c>
      <x:c r="L208" s="32" t="n">
        <x:v>18</x:v>
      </x:c>
      <x:c r="M208" s="32" t="n">
        <x:v>12</x:v>
      </x:c>
      <x:c r="N208" s="36" t="n">
        <x:v>0.93</x:v>
      </x:c>
      <x:c r="O208" s="28" t="str">
        <x:v>Não</x:v>
      </x:c>
      <x:c r="P208" s="28" t="str">
        <x:v>Médio</x:v>
      </x:c>
      <x:c r="Q208" s="32" t="n">
        <x:v>772</x:v>
      </x:c>
      <x:c r="R208" s="30" t="n">
        <x:v>0</x:v>
      </x:c>
      <x:c r="S208" s="30" t="n">
        <x:v>0</x:v>
      </x:c>
      <x:c r="T208" s="28" t="str">
        <x:v>Cobertura abaixo do nível de atenção</x:v>
      </x:c>
    </x:row>
    <x:row r="209">
      <x:c r="A209" s="34" t="n">
        <x:v>45566</x:v>
      </x:c>
      <x:c r="B209" s="28" t="str">
        <x:v>Grupo Industrial S.A.</x:v>
      </x:c>
      <x:c r="C209" s="28" t="str">
        <x:v>Planta Curitiba</x:v>
      </x:c>
      <x:c r="D209" s="28" t="str">
        <x:v>Caixa papelão P</x:v>
      </x:c>
      <x:c r="E209" s="28" t="str">
        <x:v>Fornecedor A</x:v>
      </x:c>
      <x:c r="F209" s="28" t="str">
        <x:v>Embalagem</x:v>
      </x:c>
      <x:c r="G209" s="32" t="n">
        <x:v>25356.24</x:v>
      </x:c>
      <x:c r="H209" s="32" t="n">
        <x:v>25709.44</x:v>
      </x:c>
      <x:c r="I209" s="30" t="n">
        <x:v>3.02</x:v>
      </x:c>
      <x:c r="J209" s="32" t="n">
        <x:v>37320.16</x:v>
      </x:c>
      <x:c r="K209" s="32" t="n">
        <x:v>829.34</x:v>
      </x:c>
      <x:c r="L209" s="32" t="n">
        <x:v>45</x:v>
      </x:c>
      <x:c r="M209" s="32" t="n">
        <x:v>10</x:v>
      </x:c>
      <x:c r="N209" s="36" t="n">
        <x:v>0.93</x:v>
      </x:c>
      <x:c r="O209" s="28" t="str">
        <x:v>Não</x:v>
      </x:c>
      <x:c r="P209" s="28" t="str">
        <x:v>Baixo</x:v>
      </x:c>
      <x:c r="Q209" s="32" t="n">
        <x:v>0</x:v>
      </x:c>
      <x:c r="R209" s="30" t="n">
        <x:v>0</x:v>
      </x:c>
      <x:c r="S209" s="30" t="n">
        <x:v>23636.1</x:v>
      </x:c>
      <x:c r="T209" s="28" t="str">
        <x:v>Cobertura adequada</x:v>
      </x:c>
    </x:row>
    <x:row r="210">
      <x:c r="A210" s="34" t="n">
        <x:v>45566</x:v>
      </x:c>
      <x:c r="B210" s="28" t="str">
        <x:v>Grupo Industrial S.A.</x:v>
      </x:c>
      <x:c r="C210" s="28" t="str">
        <x:v>Planta Curitiba</x:v>
      </x:c>
      <x:c r="D210" s="28" t="str">
        <x:v>Aditivo A3</x:v>
      </x:c>
      <x:c r="E210" s="28" t="str">
        <x:v>Fornecedor D</x:v>
      </x:c>
      <x:c r="F210" s="28" t="str">
        <x:v>Insumo</x:v>
      </x:c>
      <x:c r="G210" s="32" t="n">
        <x:v>28254.1</x:v>
      </x:c>
      <x:c r="H210" s="32" t="n">
        <x:v>28637.9</x:v>
      </x:c>
      <x:c r="I210" s="30" t="n">
        <x:v>17.17</x:v>
      </x:c>
      <x:c r="J210" s="32" t="n">
        <x:v>23095.08</x:v>
      </x:c>
      <x:c r="K210" s="32" t="n">
        <x:v>923.8</x:v>
      </x:c>
      <x:c r="L210" s="32" t="n">
        <x:v>25</x:v>
      </x:c>
      <x:c r="M210" s="32" t="n">
        <x:v>12</x:v>
      </x:c>
      <x:c r="N210" s="36" t="n">
        <x:v>0.93</x:v>
      </x:c>
      <x:c r="O210" s="28" t="str">
        <x:v>Não</x:v>
      </x:c>
      <x:c r="P210" s="28" t="str">
        <x:v>Baixo</x:v>
      </x:c>
      <x:c r="Q210" s="32" t="n">
        <x:v>0</x:v>
      </x:c>
      <x:c r="R210" s="30" t="n">
        <x:v>0</x:v>
      </x:c>
      <x:c r="S210" s="30" t="n">
        <x:v>0</x:v>
      </x:c>
      <x:c r="T210" s="28" t="str">
        <x:v>Cobertura adequada</x:v>
      </x:c>
    </x:row>
    <x:row r="211">
      <x:c r="A211" s="34" t="n">
        <x:v>45566</x:v>
      </x:c>
      <x:c r="B211" s="28" t="str">
        <x:v>Grupo Industrial S.A.</x:v>
      </x:c>
      <x:c r="C211" s="28" t="str">
        <x:v>Planta Curitiba</x:v>
      </x:c>
      <x:c r="D211" s="28" t="str">
        <x:v>Masterbatch AZ</x:v>
      </x:c>
      <x:c r="E211" s="28" t="str">
        <x:v>Fornecedor D</x:v>
      </x:c>
      <x:c r="F211" s="28" t="str">
        <x:v>Insumo</x:v>
      </x:c>
      <x:c r="G211" s="32" t="n">
        <x:v>31151.95</x:v>
      </x:c>
      <x:c r="H211" s="32" t="n">
        <x:v>32229.24</x:v>
      </x:c>
      <x:c r="I211" s="30" t="n">
        <x:v>23.85</x:v>
      </x:c>
      <x:c r="J211" s="32" t="n">
        <x:v>22872.36</x:v>
      </x:c>
      <x:c r="K211" s="32" t="n">
        <x:v>1039.65</x:v>
      </x:c>
      <x:c r="L211" s="32" t="n">
        <x:v>22</x:v>
      </x:c>
      <x:c r="M211" s="32" t="n">
        <x:v>10</x:v>
      </x:c>
      <x:c r="N211" s="36" t="n">
        <x:v>0.91</x:v>
      </x:c>
      <x:c r="O211" s="28" t="str">
        <x:v>Não</x:v>
      </x:c>
      <x:c r="P211" s="28" t="str">
        <x:v>Médio</x:v>
      </x:c>
      <x:c r="Q211" s="32" t="n">
        <x:v>467</x:v>
      </x:c>
      <x:c r="R211" s="30" t="n">
        <x:v>0</x:v>
      </x:c>
      <x:c r="S211" s="30" t="n">
        <x:v>0</x:v>
      </x:c>
      <x:c r="T211" s="28" t="str">
        <x:v>Cobertura abaixo do nível de atenção</x:v>
      </x:c>
    </x:row>
    <x:row r="212">
      <x:c r="A212" s="34" t="n">
        <x:v>45597</x:v>
      </x:c>
      <x:c r="B212" s="28" t="str">
        <x:v>Grupo Industrial S.A.</x:v>
      </x:c>
      <x:c r="C212" s="28" t="str">
        <x:v>Planta São Paulo</x:v>
      </x:c>
      <x:c r="D212" s="28" t="str">
        <x:v>Filme PE 500mm</x:v>
      </x:c>
      <x:c r="E212" s="28" t="str">
        <x:v>Fornecedor A</x:v>
      </x:c>
      <x:c r="F212" s="28" t="str">
        <x:v>Embalagem</x:v>
      </x:c>
      <x:c r="G212" s="32" t="n">
        <x:v>18673.2</x:v>
      </x:c>
      <x:c r="H212" s="32" t="n">
        <x:v>19250.89</x:v>
      </x:c>
      <x:c r="I212" s="30" t="n">
        <x:v>13.22</x:v>
      </x:c>
      <x:c r="J212" s="32" t="n">
        <x:v>24384.46</x:v>
      </x:c>
      <x:c r="K212" s="32" t="n">
        <x:v>641.7</x:v>
      </x:c>
      <x:c r="L212" s="32" t="n">
        <x:v>38</x:v>
      </x:c>
      <x:c r="M212" s="32" t="n">
        <x:v>12</x:v>
      </x:c>
      <x:c r="N212" s="36" t="n">
        <x:v>0.97</x:v>
      </x:c>
      <x:c r="O212" s="28" t="str">
        <x:v>Não</x:v>
      </x:c>
      <x:c r="P212" s="28" t="str">
        <x:v>Baixo</x:v>
      </x:c>
      <x:c r="Q212" s="32" t="n">
        <x:v>0</x:v>
      </x:c>
      <x:c r="R212" s="30" t="n">
        <x:v>0</x:v>
      </x:c>
      <x:c r="S212" s="30" t="n">
        <x:v>23871.11</x:v>
      </x:c>
      <x:c r="T212" s="28" t="str">
        <x:v>Cobertura adequada</x:v>
      </x:c>
    </x:row>
    <x:row r="213">
      <x:c r="A213" s="34" t="n">
        <x:v>45597</x:v>
      </x:c>
      <x:c r="B213" s="28" t="str">
        <x:v>Grupo Industrial S.A.</x:v>
      </x:c>
      <x:c r="C213" s="28" t="str">
        <x:v>Planta São Paulo</x:v>
      </x:c>
      <x:c r="D213" s="28" t="str">
        <x:v>Resina PP H103</x:v>
      </x:c>
      <x:c r="E213" s="28" t="str">
        <x:v>Fornecedor B</x:v>
      </x:c>
      <x:c r="F213" s="28" t="str">
        <x:v>Resina</x:v>
      </x:c>
      <x:c r="G213" s="32" t="n">
        <x:v>22604.4</x:v>
      </x:c>
      <x:c r="H213" s="32" t="n">
        <x:v>23323.67</x:v>
      </x:c>
      <x:c r="I213" s="30" t="n">
        <x:v>9.27</x:v>
      </x:c>
      <x:c r="J213" s="32" t="n">
        <x:v>29543.31</x:v>
      </x:c>
      <x:c r="K213" s="32" t="n">
        <x:v>777.46</x:v>
      </x:c>
      <x:c r="L213" s="32" t="n">
        <x:v>38</x:v>
      </x:c>
      <x:c r="M213" s="32" t="n">
        <x:v>10</x:v>
      </x:c>
      <x:c r="N213" s="36" t="n">
        <x:v>0.95</x:v>
      </x:c>
      <x:c r="O213" s="28" t="str">
        <x:v>Não</x:v>
      </x:c>
      <x:c r="P213" s="28" t="str">
        <x:v>Baixo</x:v>
      </x:c>
      <x:c r="Q213" s="32" t="n">
        <x:v>0</x:v>
      </x:c>
      <x:c r="R213" s="30" t="n">
        <x:v>0</x:v>
      </x:c>
      <x:c r="S213" s="30" t="n">
        <x:v>20291.59</x:v>
      </x:c>
      <x:c r="T213" s="28" t="str">
        <x:v>Cobertura adequada</x:v>
      </x:c>
    </x:row>
    <x:row r="214">
      <x:c r="A214" s="34" t="n">
        <x:v>45597</x:v>
      </x:c>
      <x:c r="B214" s="28" t="str">
        <x:v>Grupo Industrial S.A.</x:v>
      </x:c>
      <x:c r="C214" s="28" t="str">
        <x:v>Planta São Paulo</x:v>
      </x:c>
      <x:c r="D214" s="28" t="str">
        <x:v>Tampa 28mm</x:v>
      </x:c>
      <x:c r="E214" s="28" t="str">
        <x:v>Fornecedor C</x:v>
      </x:c>
      <x:c r="F214" s="28" t="str">
        <x:v>Embalagem</x:v>
      </x:c>
      <x:c r="G214" s="32" t="n">
        <x:v>26535.6</x:v>
      </x:c>
      <x:c r="H214" s="32" t="n">
        <x:v>26911.2</x:v>
      </x:c>
      <x:c r="I214" s="30" t="n">
        <x:v>0.38</x:v>
      </x:c>
      <x:c r="J214" s="32" t="n">
        <x:v>28705.28</x:v>
      </x:c>
      <x:c r="K214" s="32" t="n">
        <x:v>897.04</x:v>
      </x:c>
      <x:c r="L214" s="32" t="n">
        <x:v>32</x:v>
      </x:c>
      <x:c r="M214" s="32" t="n">
        <x:v>12</x:v>
      </x:c>
      <x:c r="N214" s="36" t="n">
        <x:v>0.93</x:v>
      </x:c>
      <x:c r="O214" s="28" t="str">
        <x:v>Não</x:v>
      </x:c>
      <x:c r="P214" s="28" t="str">
        <x:v>Baixo</x:v>
      </x:c>
      <x:c r="Q214" s="32" t="n">
        <x:v>0</x:v>
      </x:c>
      <x:c r="R214" s="30" t="n">
        <x:v>0</x:v>
      </x:c>
      <x:c r="S214" s="30" t="n">
        <x:v>0</x:v>
      </x:c>
      <x:c r="T214" s="28" t="str">
        <x:v>Cobertura adequada</x:v>
      </x:c>
    </x:row>
    <x:row r="215">
      <x:c r="A215" s="34" t="n">
        <x:v>45597</x:v>
      </x:c>
      <x:c r="B215" s="28" t="str">
        <x:v>Grupo Industrial S.A.</x:v>
      </x:c>
      <x:c r="C215" s="28" t="str">
        <x:v>Planta São Paulo</x:v>
      </x:c>
      <x:c r="D215" s="28" t="str">
        <x:v>Rótulo L-120</x:v>
      </x:c>
      <x:c r="E215" s="28" t="str">
        <x:v>Fornecedor E</x:v>
      </x:c>
      <x:c r="F215" s="28" t="str">
        <x:v>Embalagem</x:v>
      </x:c>
      <x:c r="G215" s="32" t="n">
        <x:v>30466.8</x:v>
      </x:c>
      <x:c r="H215" s="32" t="n">
        <x:v>31880.56</x:v>
      </x:c>
      <x:c r="I215" s="30" t="n">
        <x:v>0.19</x:v>
      </x:c>
      <x:c r="J215" s="32" t="n">
        <x:v>23379.08</x:v>
      </x:c>
      <x:c r="K215" s="32" t="n">
        <x:v>1062.69</x:v>
      </x:c>
      <x:c r="L215" s="32" t="n">
        <x:v>22</x:v>
      </x:c>
      <x:c r="M215" s="32" t="n">
        <x:v>8</x:v>
      </x:c>
      <x:c r="N215" s="36" t="n">
        <x:v>0.95</x:v>
      </x:c>
      <x:c r="O215" s="28" t="str">
        <x:v>Não</x:v>
      </x:c>
      <x:c r="P215" s="28" t="str">
        <x:v>Médio</x:v>
      </x:c>
      <x:c r="Q215" s="32" t="n">
        <x:v>478</x:v>
      </x:c>
      <x:c r="R215" s="30" t="n">
        <x:v>0</x:v>
      </x:c>
      <x:c r="S215" s="30" t="n">
        <x:v>0</x:v>
      </x:c>
      <x:c r="T215" s="28" t="str">
        <x:v>Cobertura abaixo do nível de atenção</x:v>
      </x:c>
    </x:row>
    <x:row r="216">
      <x:c r="A216" s="34" t="n">
        <x:v>45597</x:v>
      </x:c>
      <x:c r="B216" s="28" t="str">
        <x:v>Grupo Industrial S.A.</x:v>
      </x:c>
      <x:c r="C216" s="28" t="str">
        <x:v>Planta São Paulo</x:v>
      </x:c>
      <x:c r="D216" s="28" t="str">
        <x:v>Caixa papelão P</x:v>
      </x:c>
      <x:c r="E216" s="28" t="str">
        <x:v>Fornecedor A</x:v>
      </x:c>
      <x:c r="F216" s="28" t="str">
        <x:v>Embalagem</x:v>
      </x:c>
      <x:c r="G216" s="32" t="n">
        <x:v>34398</x:v>
      </x:c>
      <x:c r="H216" s="32" t="n">
        <x:v>35375.42</x:v>
      </x:c>
      <x:c r="I216" s="30" t="n">
        <x:v>3.04</x:v>
      </x:c>
      <x:c r="J216" s="32" t="n">
        <x:v>44808.87</x:v>
      </x:c>
      <x:c r="K216" s="32" t="n">
        <x:v>1179.18</x:v>
      </x:c>
      <x:c r="L216" s="32" t="n">
        <x:v>38</x:v>
      </x:c>
      <x:c r="M216" s="32" t="n">
        <x:v>12</x:v>
      </x:c>
      <x:c r="N216" s="36" t="n">
        <x:v>0.93</x:v>
      </x:c>
      <x:c r="O216" s="28" t="str">
        <x:v>Não</x:v>
      </x:c>
      <x:c r="P216" s="28" t="str">
        <x:v>Baixo</x:v>
      </x:c>
      <x:c r="Q216" s="32" t="n">
        <x:v>0</x:v>
      </x:c>
      <x:c r="R216" s="30" t="n">
        <x:v>0</x:v>
      </x:c>
      <x:c r="S216" s="30" t="n">
        <x:v>10082</x:v>
      </x:c>
      <x:c r="T216" s="28" t="str">
        <x:v>Cobertura adequada</x:v>
      </x:c>
    </x:row>
    <x:row r="217">
      <x:c r="A217" s="34" t="n">
        <x:v>45597</x:v>
      </x:c>
      <x:c r="B217" s="28" t="str">
        <x:v>Grupo Industrial S.A.</x:v>
      </x:c>
      <x:c r="C217" s="28" t="str">
        <x:v>Planta São Paulo</x:v>
      </x:c>
      <x:c r="D217" s="28" t="str">
        <x:v>Aditivo A3</x:v>
      </x:c>
      <x:c r="E217" s="28" t="str">
        <x:v>Fornecedor D</x:v>
      </x:c>
      <x:c r="F217" s="28" t="str">
        <x:v>Insumo</x:v>
      </x:c>
      <x:c r="G217" s="32" t="n">
        <x:v>38329.2</x:v>
      </x:c>
      <x:c r="H217" s="32" t="n">
        <x:v>39183.93</x:v>
      </x:c>
      <x:c r="I217" s="30" t="n">
        <x:v>17.27</x:v>
      </x:c>
      <x:c r="J217" s="32" t="n">
        <x:v>28734.88</x:v>
      </x:c>
      <x:c r="K217" s="32" t="n">
        <x:v>1306.13</x:v>
      </x:c>
      <x:c r="L217" s="32" t="n">
        <x:v>22</x:v>
      </x:c>
      <x:c r="M217" s="32" t="n">
        <x:v>10</x:v>
      </x:c>
      <x:c r="N217" s="36" t="n">
        <x:v>0.97</x:v>
      </x:c>
      <x:c r="O217" s="28" t="str">
        <x:v>Não</x:v>
      </x:c>
      <x:c r="P217" s="28" t="str">
        <x:v>Médio</x:v>
      </x:c>
      <x:c r="Q217" s="32" t="n">
        <x:v>587</x:v>
      </x:c>
      <x:c r="R217" s="30" t="n">
        <x:v>0</x:v>
      </x:c>
      <x:c r="S217" s="30" t="n">
        <x:v>0</x:v>
      </x:c>
      <x:c r="T217" s="28" t="str">
        <x:v>Cobertura abaixo do nível de atenção</x:v>
      </x:c>
    </x:row>
    <x:row r="218">
      <x:c r="A218" s="34" t="n">
        <x:v>45597</x:v>
      </x:c>
      <x:c r="B218" s="28" t="str">
        <x:v>Grupo Industrial S.A.</x:v>
      </x:c>
      <x:c r="C218" s="28" t="str">
        <x:v>Planta São Paulo</x:v>
      </x:c>
      <x:c r="D218" s="28" t="str">
        <x:v>Masterbatch AZ</x:v>
      </x:c>
      <x:c r="E218" s="28" t="str">
        <x:v>Fornecedor D</x:v>
      </x:c>
      <x:c r="F218" s="28" t="str">
        <x:v>Insumo</x:v>
      </x:c>
      <x:c r="G218" s="32" t="n">
        <x:v>42260.4</x:v>
      </x:c>
      <x:c r="H218" s="32" t="n">
        <x:v>43503.37</x:v>
      </x:c>
      <x:c r="I218" s="30" t="n">
        <x:v>23.99</x:v>
      </x:c>
      <x:c r="J218" s="32" t="n">
        <x:v>46403.59</x:v>
      </x:c>
      <x:c r="K218" s="32" t="n">
        <x:v>1450.11</x:v>
      </x:c>
      <x:c r="L218" s="32" t="n">
        <x:v>32</x:v>
      </x:c>
      <x:c r="M218" s="32" t="n">
        <x:v>10</x:v>
      </x:c>
      <x:c r="N218" s="36" t="n">
        <x:v>0.91</x:v>
      </x:c>
      <x:c r="O218" s="28" t="str">
        <x:v>Não</x:v>
      </x:c>
      <x:c r="P218" s="28" t="str">
        <x:v>Baixo</x:v>
      </x:c>
      <x:c r="Q218" s="32" t="n">
        <x:v>0</x:v>
      </x:c>
      <x:c r="R218" s="30" t="n">
        <x:v>0</x:v>
      </x:c>
      <x:c r="S218" s="30" t="n">
        <x:v>0</x:v>
      </x:c>
      <x:c r="T218" s="28" t="str">
        <x:v>Cobertura adequada</x:v>
      </x:c>
    </x:row>
    <x:row r="219">
      <x:c r="A219" s="34" t="n">
        <x:v>45597</x:v>
      </x:c>
      <x:c r="B219" s="28" t="str">
        <x:v>Grupo Industrial S.A.</x:v>
      </x:c>
      <x:c r="C219" s="28" t="str">
        <x:v>Planta Campinas</x:v>
      </x:c>
      <x:c r="D219" s="28" t="str">
        <x:v>Filme PE 500mm</x:v>
      </x:c>
      <x:c r="E219" s="28" t="str">
        <x:v>Fornecedor A</x:v>
      </x:c>
      <x:c r="F219" s="28" t="str">
        <x:v>Embalagem</x:v>
      </x:c>
      <x:c r="G219" s="32" t="n">
        <x:v>14316.12</x:v>
      </x:c>
      <x:c r="H219" s="32" t="n">
        <x:v>15233.12</x:v>
      </x:c>
      <x:c r="I219" s="30" t="n">
        <x:v>13.22</x:v>
      </x:c>
      <x:c r="J219" s="32" t="n">
        <x:v>16248.67</x:v>
      </x:c>
      <x:c r="K219" s="32" t="n">
        <x:v>507.77</x:v>
      </x:c>
      <x:c r="L219" s="32" t="n">
        <x:v>32</x:v>
      </x:c>
      <x:c r="M219" s="32" t="n">
        <x:v>8</x:v>
      </x:c>
      <x:c r="N219" s="36" t="n">
        <x:v>0.97</x:v>
      </x:c>
      <x:c r="O219" s="28" t="str">
        <x:v>Não</x:v>
      </x:c>
      <x:c r="P219" s="28" t="str">
        <x:v>Baixo</x:v>
      </x:c>
      <x:c r="Q219" s="32" t="n">
        <x:v>0</x:v>
      </x:c>
      <x:c r="R219" s="30" t="n">
        <x:v>0</x:v>
      </x:c>
      <x:c r="S219" s="30" t="n">
        <x:v>0</x:v>
      </x:c>
      <x:c r="T219" s="28" t="str">
        <x:v>Cobertura adequada</x:v>
      </x:c>
    </x:row>
    <x:row r="220">
      <x:c r="A220" s="34" t="n">
        <x:v>45597</x:v>
      </x:c>
      <x:c r="B220" s="28" t="str">
        <x:v>Grupo Industrial S.A.</x:v>
      </x:c>
      <x:c r="C220" s="28" t="str">
        <x:v>Planta Campinas</x:v>
      </x:c>
      <x:c r="D220" s="28" t="str">
        <x:v>Resina PP H103</x:v>
      </x:c>
      <x:c r="E220" s="28" t="str">
        <x:v>Fornecedor B</x:v>
      </x:c>
      <x:c r="F220" s="28" t="str">
        <x:v>Resina</x:v>
      </x:c>
      <x:c r="G220" s="32" t="n">
        <x:v>17330.04</x:v>
      </x:c>
      <x:c r="H220" s="32" t="n">
        <x:v>18805.13</x:v>
      </x:c>
      <x:c r="I220" s="30" t="n">
        <x:v>9.27</x:v>
      </x:c>
      <x:c r="J220" s="32" t="n">
        <x:v>5014.7</x:v>
      </x:c>
      <x:c r="K220" s="32" t="n">
        <x:v>626.84</x:v>
      </x:c>
      <x:c r="L220" s="32" t="n">
        <x:v>8</x:v>
      </x:c>
      <x:c r="M220" s="32" t="n">
        <x:v>16</x:v>
      </x:c>
      <x:c r="N220" s="36" t="n">
        <x:v>0.86</x:v>
      </x:c>
      <x:c r="O220" s="28" t="str">
        <x:v>Risco</x:v>
      </x:c>
      <x:c r="P220" s="28" t="str">
        <x:v>Alto</x:v>
      </x:c>
      <x:c r="Q220" s="32" t="n">
        <x:v>3792</x:v>
      </x:c>
      <x:c r="R220" s="30" t="n">
        <x:v>4253.72</x:v>
      </x:c>
      <x:c r="S220" s="30" t="n">
        <x:v>0</x:v>
      </x:c>
      <x:c r="T220" s="28" t="str">
        <x:v>Cobertura &lt; lead time + margem de segurança</x:v>
      </x:c>
    </x:row>
    <x:row r="221">
      <x:c r="A221" s="34" t="n">
        <x:v>45597</x:v>
      </x:c>
      <x:c r="B221" s="28" t="str">
        <x:v>Grupo Industrial S.A.</x:v>
      </x:c>
      <x:c r="C221" s="28" t="str">
        <x:v>Planta Campinas</x:v>
      </x:c>
      <x:c r="D221" s="28" t="str">
        <x:v>Tampa 28mm</x:v>
      </x:c>
      <x:c r="E221" s="28" t="str">
        <x:v>Fornecedor C</x:v>
      </x:c>
      <x:c r="F221" s="28" t="str">
        <x:v>Embalagem</x:v>
      </x:c>
      <x:c r="G221" s="32" t="n">
        <x:v>20343.96</x:v>
      </x:c>
      <x:c r="H221" s="32" t="n">
        <x:v>20831.14</x:v>
      </x:c>
      <x:c r="I221" s="30" t="n">
        <x:v>0.38</x:v>
      </x:c>
      <x:c r="J221" s="32" t="n">
        <x:v>9026.83</x:v>
      </x:c>
      <x:c r="K221" s="32" t="n">
        <x:v>694.37</x:v>
      </x:c>
      <x:c r="L221" s="32" t="n">
        <x:v>13</x:v>
      </x:c>
      <x:c r="M221" s="32" t="n">
        <x:v>14</x:v>
      </x:c>
      <x:c r="N221" s="36" t="n">
        <x:v>0.88</x:v>
      </x:c>
      <x:c r="O221" s="28" t="str">
        <x:v>Risco</x:v>
      </x:c>
      <x:c r="P221" s="28" t="str">
        <x:v>Médio</x:v>
      </x:c>
      <x:c r="Q221" s="32" t="n">
        <x:v>1249</x:v>
      </x:c>
      <x:c r="R221" s="30" t="n">
        <x:v>89.99</x:v>
      </x:c>
      <x:c r="S221" s="30" t="n">
        <x:v>0</x:v>
      </x:c>
      <x:c r="T221" s="28" t="str">
        <x:v>Cobertura abaixo do nível de atenção</x:v>
      </x:c>
    </x:row>
    <x:row r="222">
      <x:c r="A222" s="34" t="n">
        <x:v>45597</x:v>
      </x:c>
      <x:c r="B222" s="28" t="str">
        <x:v>Grupo Industrial S.A.</x:v>
      </x:c>
      <x:c r="C222" s="28" t="str">
        <x:v>Planta Campinas</x:v>
      </x:c>
      <x:c r="D222" s="28" t="str">
        <x:v>Rótulo L-120</x:v>
      </x:c>
      <x:c r="E222" s="28" t="str">
        <x:v>Fornecedor E</x:v>
      </x:c>
      <x:c r="F222" s="28" t="str">
        <x:v>Embalagem</x:v>
      </x:c>
      <x:c r="G222" s="32" t="n">
        <x:v>23357.88</x:v>
      </x:c>
      <x:c r="H222" s="32" t="n">
        <x:v>24430.28</x:v>
      </x:c>
      <x:c r="I222" s="30" t="n">
        <x:v>0.19</x:v>
      </x:c>
      <x:c r="J222" s="32" t="n">
        <x:v>14658.17</x:v>
      </x:c>
      <x:c r="K222" s="32" t="n">
        <x:v>814.34</x:v>
      </x:c>
      <x:c r="L222" s="32" t="n">
        <x:v>18</x:v>
      </x:c>
      <x:c r="M222" s="32" t="n">
        <x:v>14</x:v>
      </x:c>
      <x:c r="N222" s="36" t="n">
        <x:v>0.95</x:v>
      </x:c>
      <x:c r="O222" s="28" t="str">
        <x:v>Não</x:v>
      </x:c>
      <x:c r="P222" s="28" t="str">
        <x:v>Médio</x:v>
      </x:c>
      <x:c r="Q222" s="32" t="n">
        <x:v>855</x:v>
      </x:c>
      <x:c r="R222" s="30" t="n">
        <x:v>8.79</x:v>
      </x:c>
      <x:c r="S222" s="30" t="n">
        <x:v>0</x:v>
      </x:c>
      <x:c r="T222" s="28" t="str">
        <x:v>Cobertura abaixo do nível de atenção</x:v>
      </x:c>
    </x:row>
    <x:row r="223">
      <x:c r="A223" s="34" t="n">
        <x:v>45597</x:v>
      </x:c>
      <x:c r="B223" s="28" t="str">
        <x:v>Grupo Industrial S.A.</x:v>
      </x:c>
      <x:c r="C223" s="28" t="str">
        <x:v>Planta Campinas</x:v>
      </x:c>
      <x:c r="D223" s="28" t="str">
        <x:v>Caixa papelão P</x:v>
      </x:c>
      <x:c r="E223" s="28" t="str">
        <x:v>Fornecedor A</x:v>
      </x:c>
      <x:c r="F223" s="28" t="str">
        <x:v>Embalagem</x:v>
      </x:c>
      <x:c r="G223" s="32" t="n">
        <x:v>26371.8</x:v>
      </x:c>
      <x:c r="H223" s="32" t="n">
        <x:v>27485.58</x:v>
      </x:c>
      <x:c r="I223" s="30" t="n">
        <x:v>3.04</x:v>
      </x:c>
      <x:c r="J223" s="32" t="n">
        <x:v>41228.38</x:v>
      </x:c>
      <x:c r="K223" s="32" t="n">
        <x:v>916.19</x:v>
      </x:c>
      <x:c r="L223" s="32" t="n">
        <x:v>45</x:v>
      </x:c>
      <x:c r="M223" s="32" t="n">
        <x:v>12</x:v>
      </x:c>
      <x:c r="N223" s="36" t="n">
        <x:v>0.91</x:v>
      </x:c>
      <x:c r="O223" s="28" t="str">
        <x:v>Não</x:v>
      </x:c>
      <x:c r="P223" s="28" t="str">
        <x:v>Baixo</x:v>
      </x:c>
      <x:c r="Q223" s="32" t="n">
        <x:v>0</x:v>
      </x:c>
      <x:c r="R223" s="30" t="n">
        <x:v>0</x:v>
      </x:c>
      <x:c r="S223" s="30" t="n">
        <x:v>26111.31</x:v>
      </x:c>
      <x:c r="T223" s="28" t="str">
        <x:v>Cobertura adequada</x:v>
      </x:c>
    </x:row>
    <x:row r="224">
      <x:c r="A224" s="34" t="n">
        <x:v>45597</x:v>
      </x:c>
      <x:c r="B224" s="28" t="str">
        <x:v>Grupo Industrial S.A.</x:v>
      </x:c>
      <x:c r="C224" s="28" t="str">
        <x:v>Planta Campinas</x:v>
      </x:c>
      <x:c r="D224" s="28" t="str">
        <x:v>Aditivo A3</x:v>
      </x:c>
      <x:c r="E224" s="28" t="str">
        <x:v>Fornecedor D</x:v>
      </x:c>
      <x:c r="F224" s="28" t="str">
        <x:v>Insumo</x:v>
      </x:c>
      <x:c r="G224" s="32" t="n">
        <x:v>29385.72</x:v>
      </x:c>
      <x:c r="H224" s="32" t="n">
        <x:v>29881.37</x:v>
      </x:c>
      <x:c r="I224" s="30" t="n">
        <x:v>17.27</x:v>
      </x:c>
      <x:c r="J224" s="32" t="n">
        <x:v>24901.14</x:v>
      </x:c>
      <x:c r="K224" s="32" t="n">
        <x:v>996.05</x:v>
      </x:c>
      <x:c r="L224" s="32" t="n">
        <x:v>25</x:v>
      </x:c>
      <x:c r="M224" s="32" t="n">
        <x:v>12</x:v>
      </x:c>
      <x:c r="N224" s="36" t="n">
        <x:v>0.97</x:v>
      </x:c>
      <x:c r="O224" s="28" t="str">
        <x:v>Não</x:v>
      </x:c>
      <x:c r="P224" s="28" t="str">
        <x:v>Baixo</x:v>
      </x:c>
      <x:c r="Q224" s="32" t="n">
        <x:v>0</x:v>
      </x:c>
      <x:c r="R224" s="30" t="n">
        <x:v>0</x:v>
      </x:c>
      <x:c r="S224" s="30" t="n">
        <x:v>0</x:v>
      </x:c>
      <x:c r="T224" s="28" t="str">
        <x:v>Cobertura adequada</x:v>
      </x:c>
    </x:row>
    <x:row r="225">
      <x:c r="A225" s="34" t="n">
        <x:v>45597</x:v>
      </x:c>
      <x:c r="B225" s="28" t="str">
        <x:v>Grupo Industrial S.A.</x:v>
      </x:c>
      <x:c r="C225" s="28" t="str">
        <x:v>Planta Campinas</x:v>
      </x:c>
      <x:c r="D225" s="28" t="str">
        <x:v>Masterbatch AZ</x:v>
      </x:c>
      <x:c r="E225" s="28" t="str">
        <x:v>Fornecedor D</x:v>
      </x:c>
      <x:c r="F225" s="28" t="str">
        <x:v>Insumo</x:v>
      </x:c>
      <x:c r="G225" s="32" t="n">
        <x:v>32399.64</x:v>
      </x:c>
      <x:c r="H225" s="32" t="n">
        <x:v>32903.06</x:v>
      </x:c>
      <x:c r="I225" s="30" t="n">
        <x:v>23.99</x:v>
      </x:c>
      <x:c r="J225" s="32" t="n">
        <x:v>19741.84</x:v>
      </x:c>
      <x:c r="K225" s="32" t="n">
        <x:v>1096.77</x:v>
      </x:c>
      <x:c r="L225" s="32" t="n">
        <x:v>18</x:v>
      </x:c>
      <x:c r="M225" s="32" t="n">
        <x:v>14</x:v>
      </x:c>
      <x:c r="N225" s="36" t="n">
        <x:v>0.95</x:v>
      </x:c>
      <x:c r="O225" s="28" t="str">
        <x:v>Não</x:v>
      </x:c>
      <x:c r="P225" s="28" t="str">
        <x:v>Médio</x:v>
      </x:c>
      <x:c r="Q225" s="32" t="n">
        <x:v>1151</x:v>
      </x:c>
      <x:c r="R225" s="30" t="n">
        <x:v>1480.64</x:v>
      </x:c>
      <x:c r="S225" s="30" t="n">
        <x:v>0</x:v>
      </x:c>
      <x:c r="T225" s="28" t="str">
        <x:v>Cobertura abaixo do nível de atenção</x:v>
      </x:c>
    </x:row>
    <x:row r="226">
      <x:c r="A226" s="34" t="n">
        <x:v>45597</x:v>
      </x:c>
      <x:c r="B226" s="28" t="str">
        <x:v>Grupo Industrial S.A.</x:v>
      </x:c>
      <x:c r="C226" s="28" t="str">
        <x:v>Planta Curitiba</x:v>
      </x:c>
      <x:c r="D226" s="28" t="str">
        <x:v>Filme PE 500mm</x:v>
      </x:c>
      <x:c r="E226" s="28" t="str">
        <x:v>Fornecedor A</x:v>
      </x:c>
      <x:c r="F226" s="28" t="str">
        <x:v>Embalagem</x:v>
      </x:c>
      <x:c r="G226" s="32" t="n">
        <x:v>13382.46</x:v>
      </x:c>
      <x:c r="H226" s="32" t="n">
        <x:v>13596.46</x:v>
      </x:c>
      <x:c r="I226" s="30" t="n">
        <x:v>13.22</x:v>
      </x:c>
      <x:c r="J226" s="32" t="n">
        <x:v>11330.38</x:v>
      </x:c>
      <x:c r="K226" s="32" t="n">
        <x:v>453.22</x:v>
      </x:c>
      <x:c r="L226" s="32" t="n">
        <x:v>25</x:v>
      </x:c>
      <x:c r="M226" s="32" t="n">
        <x:v>10</x:v>
      </x:c>
      <x:c r="N226" s="36" t="n">
        <x:v>0.93</x:v>
      </x:c>
      <x:c r="O226" s="28" t="str">
        <x:v>Não</x:v>
      </x:c>
      <x:c r="P226" s="28" t="str">
        <x:v>Baixo</x:v>
      </x:c>
      <x:c r="Q226" s="32" t="n">
        <x:v>0</x:v>
      </x:c>
      <x:c r="R226" s="30" t="n">
        <x:v>0</x:v>
      </x:c>
      <x:c r="S226" s="30" t="n">
        <x:v>0</x:v>
      </x:c>
      <x:c r="T226" s="28" t="str">
        <x:v>Cobertura adequada</x:v>
      </x:c>
    </x:row>
    <x:row r="227">
      <x:c r="A227" s="34" t="n">
        <x:v>45597</x:v>
      </x:c>
      <x:c r="B227" s="28" t="str">
        <x:v>Grupo Industrial S.A.</x:v>
      </x:c>
      <x:c r="C227" s="28" t="str">
        <x:v>Planta Curitiba</x:v>
      </x:c>
      <x:c r="D227" s="28" t="str">
        <x:v>Resina PP H103</x:v>
      </x:c>
      <x:c r="E227" s="28" t="str">
        <x:v>Fornecedor B</x:v>
      </x:c>
      <x:c r="F227" s="28" t="str">
        <x:v>Resina</x:v>
      </x:c>
      <x:c r="G227" s="32" t="n">
        <x:v>16199.82</x:v>
      </x:c>
      <x:c r="H227" s="32" t="n">
        <x:v>16506.65</x:v>
      </x:c>
      <x:c r="I227" s="30" t="n">
        <x:v>9.27</x:v>
      </x:c>
      <x:c r="J227" s="32" t="n">
        <x:v>13755.55</x:v>
      </x:c>
      <x:c r="K227" s="32" t="n">
        <x:v>550.22</x:v>
      </x:c>
      <x:c r="L227" s="32" t="n">
        <x:v>25</x:v>
      </x:c>
      <x:c r="M227" s="32" t="n">
        <x:v>12</x:v>
      </x:c>
      <x:c r="N227" s="36" t="n">
        <x:v>0.97</x:v>
      </x:c>
      <x:c r="O227" s="28" t="str">
        <x:v>Não</x:v>
      </x:c>
      <x:c r="P227" s="28" t="str">
        <x:v>Baixo</x:v>
      </x:c>
      <x:c r="Q227" s="32" t="n">
        <x:v>0</x:v>
      </x:c>
      <x:c r="R227" s="30" t="n">
        <x:v>0</x:v>
      </x:c>
      <x:c r="S227" s="30" t="n">
        <x:v>0</x:v>
      </x:c>
      <x:c r="T227" s="28" t="str">
        <x:v>Cobertura adequada</x:v>
      </x:c>
    </x:row>
    <x:row r="228">
      <x:c r="A228" s="34" t="n">
        <x:v>45597</x:v>
      </x:c>
      <x:c r="B228" s="28" t="str">
        <x:v>Grupo Industrial S.A.</x:v>
      </x:c>
      <x:c r="C228" s="28" t="str">
        <x:v>Planta Curitiba</x:v>
      </x:c>
      <x:c r="D228" s="28" t="str">
        <x:v>Tampa 28mm</x:v>
      </x:c>
      <x:c r="E228" s="28" t="str">
        <x:v>Fornecedor C</x:v>
      </x:c>
      <x:c r="F228" s="28" t="str">
        <x:v>Embalagem</x:v>
      </x:c>
      <x:c r="G228" s="32" t="n">
        <x:v>19017.18</x:v>
      </x:c>
      <x:c r="H228" s="32" t="n">
        <x:v>19423.65</x:v>
      </x:c>
      <x:c r="I228" s="30" t="n">
        <x:v>0.38</x:v>
      </x:c>
      <x:c r="J228" s="32" t="n">
        <x:v>11654.19</x:v>
      </x:c>
      <x:c r="K228" s="32" t="n">
        <x:v>647.45</x:v>
      </x:c>
      <x:c r="L228" s="32" t="n">
        <x:v>18</x:v>
      </x:c>
      <x:c r="M228" s="32" t="n">
        <x:v>14</x:v>
      </x:c>
      <x:c r="N228" s="36" t="n">
        <x:v>0.97</x:v>
      </x:c>
      <x:c r="O228" s="28" t="str">
        <x:v>Não</x:v>
      </x:c>
      <x:c r="P228" s="28" t="str">
        <x:v>Médio</x:v>
      </x:c>
      <x:c r="Q228" s="32" t="n">
        <x:v>679</x:v>
      </x:c>
      <x:c r="R228" s="30" t="n">
        <x:v>13.99</x:v>
      </x:c>
      <x:c r="S228" s="30" t="n">
        <x:v>0</x:v>
      </x:c>
      <x:c r="T228" s="28" t="str">
        <x:v>Cobertura abaixo do nível de atenção</x:v>
      </x:c>
    </x:row>
    <x:row r="229">
      <x:c r="A229" s="34" t="n">
        <x:v>45597</x:v>
      </x:c>
      <x:c r="B229" s="28" t="str">
        <x:v>Grupo Industrial S.A.</x:v>
      </x:c>
      <x:c r="C229" s="28" t="str">
        <x:v>Planta Curitiba</x:v>
      </x:c>
      <x:c r="D229" s="28" t="str">
        <x:v>Rótulo L-120</x:v>
      </x:c>
      <x:c r="E229" s="28" t="str">
        <x:v>Fornecedor E</x:v>
      </x:c>
      <x:c r="F229" s="28" t="str">
        <x:v>Embalagem</x:v>
      </x:c>
      <x:c r="G229" s="32" t="n">
        <x:v>21834.54</x:v>
      </x:c>
      <x:c r="H229" s="32" t="n">
        <x:v>22559.6</x:v>
      </x:c>
      <x:c r="I229" s="30" t="n">
        <x:v>0.19</x:v>
      </x:c>
      <x:c r="J229" s="32" t="n">
        <x:v>13535.76</x:v>
      </x:c>
      <x:c r="K229" s="32" t="n">
        <x:v>751.99</x:v>
      </x:c>
      <x:c r="L229" s="32" t="n">
        <x:v>18</x:v>
      </x:c>
      <x:c r="M229" s="32" t="n">
        <x:v>14</x:v>
      </x:c>
      <x:c r="N229" s="36" t="n">
        <x:v>0.93</x:v>
      </x:c>
      <x:c r="O229" s="28" t="str">
        <x:v>Não</x:v>
      </x:c>
      <x:c r="P229" s="28" t="str">
        <x:v>Médio</x:v>
      </x:c>
      <x:c r="Q229" s="32" t="n">
        <x:v>789</x:v>
      </x:c>
      <x:c r="R229" s="30" t="n">
        <x:v>8.12</x:v>
      </x:c>
      <x:c r="S229" s="30" t="n">
        <x:v>0</x:v>
      </x:c>
      <x:c r="T229" s="28" t="str">
        <x:v>Cobertura abaixo do nível de atenção</x:v>
      </x:c>
    </x:row>
    <x:row r="230">
      <x:c r="A230" s="34" t="n">
        <x:v>45597</x:v>
      </x:c>
      <x:c r="B230" s="28" t="str">
        <x:v>Grupo Industrial S.A.</x:v>
      </x:c>
      <x:c r="C230" s="28" t="str">
        <x:v>Planta Curitiba</x:v>
      </x:c>
      <x:c r="D230" s="28" t="str">
        <x:v>Caixa papelão P</x:v>
      </x:c>
      <x:c r="E230" s="28" t="str">
        <x:v>Fornecedor A</x:v>
      </x:c>
      <x:c r="F230" s="28" t="str">
        <x:v>Embalagem</x:v>
      </x:c>
      <x:c r="G230" s="32" t="n">
        <x:v>24651.9</x:v>
      </x:c>
      <x:c r="H230" s="32" t="n">
        <x:v>25536.17</x:v>
      </x:c>
      <x:c r="I230" s="30" t="n">
        <x:v>3.04</x:v>
      </x:c>
      <x:c r="J230" s="32" t="n">
        <x:v>38304.25</x:v>
      </x:c>
      <x:c r="K230" s="32" t="n">
        <x:v>851.21</x:v>
      </x:c>
      <x:c r="L230" s="32" t="n">
        <x:v>45</x:v>
      </x:c>
      <x:c r="M230" s="32" t="n">
        <x:v>14</x:v>
      </x:c>
      <x:c r="N230" s="36" t="n">
        <x:v>0.95</x:v>
      </x:c>
      <x:c r="O230" s="28" t="str">
        <x:v>Não</x:v>
      </x:c>
      <x:c r="P230" s="28" t="str">
        <x:v>Baixo</x:v>
      </x:c>
      <x:c r="Q230" s="32" t="n">
        <x:v>0</x:v>
      </x:c>
      <x:c r="R230" s="30" t="n">
        <x:v>0</x:v>
      </x:c>
      <x:c r="S230" s="30" t="n">
        <x:v>24259.36</x:v>
      </x:c>
      <x:c r="T230" s="28" t="str">
        <x:v>Cobertura adequada</x:v>
      </x:c>
    </x:row>
    <x:row r="231">
      <x:c r="A231" s="34" t="n">
        <x:v>45597</x:v>
      </x:c>
      <x:c r="B231" s="28" t="str">
        <x:v>Grupo Industrial S.A.</x:v>
      </x:c>
      <x:c r="C231" s="28" t="str">
        <x:v>Planta Curitiba</x:v>
      </x:c>
      <x:c r="D231" s="28" t="str">
        <x:v>Aditivo A3</x:v>
      </x:c>
      <x:c r="E231" s="28" t="str">
        <x:v>Fornecedor D</x:v>
      </x:c>
      <x:c r="F231" s="28" t="str">
        <x:v>Insumo</x:v>
      </x:c>
      <x:c r="G231" s="32" t="n">
        <x:v>27469.26</x:v>
      </x:c>
      <x:c r="H231" s="32" t="n">
        <x:v>28572.19</x:v>
      </x:c>
      <x:c r="I231" s="30" t="n">
        <x:v>17.27</x:v>
      </x:c>
      <x:c r="J231" s="32" t="n">
        <x:v>23810.15</x:v>
      </x:c>
      <x:c r="K231" s="32" t="n">
        <x:v>952.41</x:v>
      </x:c>
      <x:c r="L231" s="32" t="n">
        <x:v>25</x:v>
      </x:c>
      <x:c r="M231" s="32" t="n">
        <x:v>14</x:v>
      </x:c>
      <x:c r="N231" s="36" t="n">
        <x:v>0.97</x:v>
      </x:c>
      <x:c r="O231" s="28" t="str">
        <x:v>Não</x:v>
      </x:c>
      <x:c r="P231" s="28" t="str">
        <x:v>Baixo</x:v>
      </x:c>
      <x:c r="Q231" s="32" t="n">
        <x:v>0</x:v>
      </x:c>
      <x:c r="R231" s="30" t="n">
        <x:v>0</x:v>
      </x:c>
      <x:c r="S231" s="30" t="n">
        <x:v>0</x:v>
      </x:c>
      <x:c r="T231" s="28" t="str">
        <x:v>Cobertura adequada</x:v>
      </x:c>
    </x:row>
    <x:row r="232">
      <x:c r="A232" s="34" t="n">
        <x:v>45597</x:v>
      </x:c>
      <x:c r="B232" s="28" t="str">
        <x:v>Grupo Industrial S.A.</x:v>
      </x:c>
      <x:c r="C232" s="28" t="str">
        <x:v>Planta Curitiba</x:v>
      </x:c>
      <x:c r="D232" s="28" t="str">
        <x:v>Masterbatch AZ</x:v>
      </x:c>
      <x:c r="E232" s="28" t="str">
        <x:v>Fornecedor D</x:v>
      </x:c>
      <x:c r="F232" s="28" t="str">
        <x:v>Insumo</x:v>
      </x:c>
      <x:c r="G232" s="32" t="n">
        <x:v>30286.62</x:v>
      </x:c>
      <x:c r="H232" s="32" t="n">
        <x:v>30885.54</x:v>
      </x:c>
      <x:c r="I232" s="30" t="n">
        <x:v>23.99</x:v>
      </x:c>
      <x:c r="J232" s="32" t="n">
        <x:v>46328.31</x:v>
      </x:c>
      <x:c r="K232" s="32" t="n">
        <x:v>1029.52</x:v>
      </x:c>
      <x:c r="L232" s="32" t="n">
        <x:v>45</x:v>
      </x:c>
      <x:c r="M232" s="32" t="n">
        <x:v>12</x:v>
      </x:c>
      <x:c r="N232" s="36" t="n">
        <x:v>0.97</x:v>
      </x:c>
      <x:c r="O232" s="28" t="str">
        <x:v>Não</x:v>
      </x:c>
      <x:c r="P232" s="28" t="str">
        <x:v>Baixo</x:v>
      </x:c>
      <x:c r="Q232" s="32" t="n">
        <x:v>0</x:v>
      </x:c>
      <x:c r="R232" s="30" t="n">
        <x:v>0</x:v>
      </x:c>
      <x:c r="S232" s="30" t="n">
        <x:v>231641.57</x:v>
      </x:c>
      <x:c r="T232" s="28" t="str">
        <x:v>Cobertura adequada</x:v>
      </x:c>
    </x:row>
    <x:row r="233">
      <x:c r="A233" s="34" t="n">
        <x:v>45627</x:v>
      </x:c>
      <x:c r="B233" s="28" t="str">
        <x:v>Grupo Industrial S.A.</x:v>
      </x:c>
      <x:c r="C233" s="28" t="str">
        <x:v>Planta São Paulo</x:v>
      </x:c>
      <x:c r="D233" s="28" t="str">
        <x:v>Filme PE 500mm</x:v>
      </x:c>
      <x:c r="E233" s="28" t="str">
        <x:v>Fornecedor A</x:v>
      </x:c>
      <x:c r="F233" s="28" t="str">
        <x:v>Embalagem</x:v>
      </x:c>
      <x:c r="G233" s="32" t="n">
        <x:v>16716.96</x:v>
      </x:c>
      <x:c r="H233" s="32" t="n">
        <x:v>17537.25</x:v>
      </x:c>
      <x:c r="I233" s="30" t="n">
        <x:v>13.29</x:v>
      </x:c>
      <x:c r="J233" s="32" t="n">
        <x:v>12445.79</x:v>
      </x:c>
      <x:c r="K233" s="32" t="n">
        <x:v>565.72</x:v>
      </x:c>
      <x:c r="L233" s="32" t="n">
        <x:v>22</x:v>
      </x:c>
      <x:c r="M233" s="32" t="n">
        <x:v>8</x:v>
      </x:c>
      <x:c r="N233" s="36" t="n">
        <x:v>0.93</x:v>
      </x:c>
      <x:c r="O233" s="28" t="str">
        <x:v>Não</x:v>
      </x:c>
      <x:c r="P233" s="28" t="str">
        <x:v>Médio</x:v>
      </x:c>
      <x:c r="Q233" s="32" t="n">
        <x:v>254</x:v>
      </x:c>
      <x:c r="R233" s="30" t="n">
        <x:v>0</x:v>
      </x:c>
      <x:c r="S233" s="30" t="n">
        <x:v>0</x:v>
      </x:c>
      <x:c r="T233" s="28" t="str">
        <x:v>Cobertura abaixo do nível de atenção</x:v>
      </x:c>
    </x:row>
    <x:row r="234">
      <x:c r="A234" s="34" t="n">
        <x:v>45627</x:v>
      </x:c>
      <x:c r="B234" s="28" t="str">
        <x:v>Grupo Industrial S.A.</x:v>
      </x:c>
      <x:c r="C234" s="28" t="str">
        <x:v>Planta São Paulo</x:v>
      </x:c>
      <x:c r="D234" s="28" t="str">
        <x:v>Resina PP H103</x:v>
      </x:c>
      <x:c r="E234" s="28" t="str">
        <x:v>Fornecedor B</x:v>
      </x:c>
      <x:c r="F234" s="28" t="str">
        <x:v>Resina</x:v>
      </x:c>
      <x:c r="G234" s="32" t="n">
        <x:v>20236.32</x:v>
      </x:c>
      <x:c r="H234" s="32" t="n">
        <x:v>20963.07</x:v>
      </x:c>
      <x:c r="I234" s="30" t="n">
        <x:v>9.33</x:v>
      </x:c>
      <x:c r="J234" s="32" t="n">
        <x:v>16905.71</x:v>
      </x:c>
      <x:c r="K234" s="32" t="n">
        <x:v>676.23</x:v>
      </x:c>
      <x:c r="L234" s="32" t="n">
        <x:v>25</x:v>
      </x:c>
      <x:c r="M234" s="32" t="n">
        <x:v>8</x:v>
      </x:c>
      <x:c r="N234" s="36" t="n">
        <x:v>0.97</x:v>
      </x:c>
      <x:c r="O234" s="28" t="str">
        <x:v>Não</x:v>
      </x:c>
      <x:c r="P234" s="28" t="str">
        <x:v>Baixo</x:v>
      </x:c>
      <x:c r="Q234" s="32" t="n">
        <x:v>0</x:v>
      </x:c>
      <x:c r="R234" s="30" t="n">
        <x:v>0</x:v>
      </x:c>
      <x:c r="S234" s="30" t="n">
        <x:v>0</x:v>
      </x:c>
      <x:c r="T234" s="28" t="str">
        <x:v>Cobertura adequada</x:v>
      </x:c>
    </x:row>
    <x:row r="235">
      <x:c r="A235" s="34" t="n">
        <x:v>45627</x:v>
      </x:c>
      <x:c r="B235" s="28" t="str">
        <x:v>Grupo Industrial S.A.</x:v>
      </x:c>
      <x:c r="C235" s="28" t="str">
        <x:v>Planta São Paulo</x:v>
      </x:c>
      <x:c r="D235" s="28" t="str">
        <x:v>Tampa 28mm</x:v>
      </x:c>
      <x:c r="E235" s="28" t="str">
        <x:v>Fornecedor C</x:v>
      </x:c>
      <x:c r="F235" s="28" t="str">
        <x:v>Embalagem</x:v>
      </x:c>
      <x:c r="G235" s="32" t="n">
        <x:v>23755.68</x:v>
      </x:c>
      <x:c r="H235" s="32" t="n">
        <x:v>24120.27</x:v>
      </x:c>
      <x:c r="I235" s="30" t="n">
        <x:v>0.39</x:v>
      </x:c>
      <x:c r="J235" s="32" t="n">
        <x:v>35013.3</x:v>
      </x:c>
      <x:c r="K235" s="32" t="n">
        <x:v>778.07</x:v>
      </x:c>
      <x:c r="L235" s="32" t="n">
        <x:v>45</x:v>
      </x:c>
      <x:c r="M235" s="32" t="n">
        <x:v>12</x:v>
      </x:c>
      <x:c r="N235" s="36" t="n">
        <x:v>0.97</x:v>
      </x:c>
      <x:c r="O235" s="28" t="str">
        <x:v>Não</x:v>
      </x:c>
      <x:c r="P235" s="28" t="str">
        <x:v>Baixo</x:v>
      </x:c>
      <x:c r="Q235" s="32" t="n">
        <x:v>0</x:v>
      </x:c>
      <x:c r="R235" s="30" t="n">
        <x:v>0</x:v>
      </x:c>
      <x:c r="S235" s="30" t="n">
        <x:v>2801.06</x:v>
      </x:c>
      <x:c r="T235" s="28" t="str">
        <x:v>Cobertura adequada</x:v>
      </x:c>
    </x:row>
    <x:row r="236">
      <x:c r="A236" s="34" t="n">
        <x:v>45627</x:v>
      </x:c>
      <x:c r="B236" s="28" t="str">
        <x:v>Grupo Industrial S.A.</x:v>
      </x:c>
      <x:c r="C236" s="28" t="str">
        <x:v>Planta São Paulo</x:v>
      </x:c>
      <x:c r="D236" s="28" t="str">
        <x:v>Rótulo L-120</x:v>
      </x:c>
      <x:c r="E236" s="28" t="str">
        <x:v>Fornecedor E</x:v>
      </x:c>
      <x:c r="F236" s="28" t="str">
        <x:v>Embalagem</x:v>
      </x:c>
      <x:c r="G236" s="32" t="n">
        <x:v>27275.04</x:v>
      </x:c>
      <x:c r="H236" s="32" t="n">
        <x:v>28006.51</x:v>
      </x:c>
      <x:c r="I236" s="30" t="n">
        <x:v>0.19</x:v>
      </x:c>
      <x:c r="J236" s="32" t="n">
        <x:v>28909.94</x:v>
      </x:c>
      <x:c r="K236" s="32" t="n">
        <x:v>903.44</x:v>
      </x:c>
      <x:c r="L236" s="32" t="n">
        <x:v>32</x:v>
      </x:c>
      <x:c r="M236" s="32" t="n">
        <x:v>8</x:v>
      </x:c>
      <x:c r="N236" s="36" t="n">
        <x:v>0.95</x:v>
      </x:c>
      <x:c r="O236" s="28" t="str">
        <x:v>Não</x:v>
      </x:c>
      <x:c r="P236" s="28" t="str">
        <x:v>Baixo</x:v>
      </x:c>
      <x:c r="Q236" s="32" t="n">
        <x:v>0</x:v>
      </x:c>
      <x:c r="R236" s="30" t="n">
        <x:v>0</x:v>
      </x:c>
      <x:c r="S236" s="30" t="n">
        <x:v>0</x:v>
      </x:c>
      <x:c r="T236" s="28" t="str">
        <x:v>Cobertura adequada</x:v>
      </x:c>
    </x:row>
    <x:row r="237">
      <x:c r="A237" s="34" t="n">
        <x:v>45627</x:v>
      </x:c>
      <x:c r="B237" s="28" t="str">
        <x:v>Grupo Industrial S.A.</x:v>
      </x:c>
      <x:c r="C237" s="28" t="str">
        <x:v>Planta São Paulo</x:v>
      </x:c>
      <x:c r="D237" s="28" t="str">
        <x:v>Caixa papelão P</x:v>
      </x:c>
      <x:c r="E237" s="28" t="str">
        <x:v>Fornecedor A</x:v>
      </x:c>
      <x:c r="F237" s="28" t="str">
        <x:v>Embalagem</x:v>
      </x:c>
      <x:c r="G237" s="32" t="n">
        <x:v>30794.4</x:v>
      </x:c>
      <x:c r="H237" s="32" t="n">
        <x:v>31913.55</x:v>
      </x:c>
      <x:c r="I237" s="30" t="n">
        <x:v>3.06</x:v>
      </x:c>
      <x:c r="J237" s="32" t="n">
        <x:v>46326.12</x:v>
      </x:c>
      <x:c r="K237" s="32" t="n">
        <x:v>1029.47</x:v>
      </x:c>
      <x:c r="L237" s="32" t="n">
        <x:v>45</x:v>
      </x:c>
      <x:c r="M237" s="32" t="n">
        <x:v>8</x:v>
      </x:c>
      <x:c r="N237" s="36" t="n">
        <x:v>0.93</x:v>
      </x:c>
      <x:c r="O237" s="28" t="str">
        <x:v>Não</x:v>
      </x:c>
      <x:c r="P237" s="28" t="str">
        <x:v>Baixo</x:v>
      </x:c>
      <x:c r="Q237" s="32" t="n">
        <x:v>0</x:v>
      </x:c>
      <x:c r="R237" s="30" t="n">
        <x:v>0</x:v>
      </x:c>
      <x:c r="S237" s="30" t="n">
        <x:v>29339.88</x:v>
      </x:c>
      <x:c r="T237" s="28" t="str">
        <x:v>Cobertura adequada</x:v>
      </x:c>
    </x:row>
    <x:row r="238">
      <x:c r="A238" s="34" t="n">
        <x:v>45627</x:v>
      </x:c>
      <x:c r="B238" s="28" t="str">
        <x:v>Grupo Industrial S.A.</x:v>
      </x:c>
      <x:c r="C238" s="28" t="str">
        <x:v>Planta São Paulo</x:v>
      </x:c>
      <x:c r="D238" s="28" t="str">
        <x:v>Aditivo A3</x:v>
      </x:c>
      <x:c r="E238" s="28" t="str">
        <x:v>Fornecedor D</x:v>
      </x:c>
      <x:c r="F238" s="28" t="str">
        <x:v>Insumo</x:v>
      </x:c>
      <x:c r="G238" s="32" t="n">
        <x:v>34313.76</x:v>
      </x:c>
      <x:c r="H238" s="32" t="n">
        <x:v>34994.54</x:v>
      </x:c>
      <x:c r="I238" s="30" t="n">
        <x:v>17.37</x:v>
      </x:c>
      <x:c r="J238" s="32" t="n">
        <x:v>20319.41</x:v>
      </x:c>
      <x:c r="K238" s="32" t="n">
        <x:v>1128.86</x:v>
      </x:c>
      <x:c r="L238" s="32" t="n">
        <x:v>18</x:v>
      </x:c>
      <x:c r="M238" s="32" t="n">
        <x:v>12</x:v>
      </x:c>
      <x:c r="N238" s="36" t="n">
        <x:v>0.91</x:v>
      </x:c>
      <x:c r="O238" s="28" t="str">
        <x:v>Não</x:v>
      </x:c>
      <x:c r="P238" s="28" t="str">
        <x:v>Médio</x:v>
      </x:c>
      <x:c r="Q238" s="32" t="n">
        <x:v>1185</x:v>
      </x:c>
      <x:c r="R238" s="30" t="n">
        <x:v>0</x:v>
      </x:c>
      <x:c r="S238" s="30" t="n">
        <x:v>0</x:v>
      </x:c>
      <x:c r="T238" s="28" t="str">
        <x:v>Cobertura abaixo do nível de atenção</x:v>
      </x:c>
    </x:row>
    <x:row r="239">
      <x:c r="A239" s="34" t="n">
        <x:v>45627</x:v>
      </x:c>
      <x:c r="B239" s="28" t="str">
        <x:v>Grupo Industrial S.A.</x:v>
      </x:c>
      <x:c r="C239" s="28" t="str">
        <x:v>Planta São Paulo</x:v>
      </x:c>
      <x:c r="D239" s="28" t="str">
        <x:v>Masterbatch AZ</x:v>
      </x:c>
      <x:c r="E239" s="28" t="str">
        <x:v>Fornecedor D</x:v>
      </x:c>
      <x:c r="F239" s="28" t="str">
        <x:v>Insumo</x:v>
      </x:c>
      <x:c r="G239" s="32" t="n">
        <x:v>37833.12</x:v>
      </x:c>
      <x:c r="H239" s="32" t="n">
        <x:v>38892.17</x:v>
      </x:c>
      <x:c r="I239" s="30" t="n">
        <x:v>24.12</x:v>
      </x:c>
      <x:c r="J239" s="32" t="n">
        <x:v>22582.55</x:v>
      </x:c>
      <x:c r="K239" s="32" t="n">
        <x:v>1254.59</x:v>
      </x:c>
      <x:c r="L239" s="32" t="n">
        <x:v>18</x:v>
      </x:c>
      <x:c r="M239" s="32" t="n">
        <x:v>8</x:v>
      </x:c>
      <x:c r="N239" s="36" t="n">
        <x:v>0.91</x:v>
      </x:c>
      <x:c r="O239" s="28" t="str">
        <x:v>Não</x:v>
      </x:c>
      <x:c r="P239" s="28" t="str">
        <x:v>Médio</x:v>
      </x:c>
      <x:c r="Q239" s="32" t="n">
        <x:v>1317</x:v>
      </x:c>
      <x:c r="R239" s="30" t="n">
        <x:v>0</x:v>
      </x:c>
      <x:c r="S239" s="30" t="n">
        <x:v>0</x:v>
      </x:c>
      <x:c r="T239" s="28" t="str">
        <x:v>Cobertura abaixo do nível de atenção</x:v>
      </x:c>
    </x:row>
    <x:row r="240">
      <x:c r="A240" s="34" t="n">
        <x:v>45627</x:v>
      </x:c>
      <x:c r="B240" s="28" t="str">
        <x:v>Grupo Industrial S.A.</x:v>
      </x:c>
      <x:c r="C240" s="28" t="str">
        <x:v>Planta Campinas</x:v>
      </x:c>
      <x:c r="D240" s="28" t="str">
        <x:v>Filme PE 500mm</x:v>
      </x:c>
      <x:c r="E240" s="28" t="str">
        <x:v>Fornecedor A</x:v>
      </x:c>
      <x:c r="F240" s="28" t="str">
        <x:v>Embalagem</x:v>
      </x:c>
      <x:c r="G240" s="32" t="n">
        <x:v>12816.34</x:v>
      </x:c>
      <x:c r="H240" s="32" t="n">
        <x:v>13986.39</x:v>
      </x:c>
      <x:c r="I240" s="30" t="n">
        <x:v>13.29</x:v>
      </x:c>
      <x:c r="J240" s="32" t="n">
        <x:v>17144.61</x:v>
      </x:c>
      <x:c r="K240" s="32" t="n">
        <x:v>451.17</x:v>
      </x:c>
      <x:c r="L240" s="32" t="n">
        <x:v>38</x:v>
      </x:c>
      <x:c r="M240" s="32" t="n">
        <x:v>12</x:v>
      </x:c>
      <x:c r="N240" s="36" t="n">
        <x:v>0.91</x:v>
      </x:c>
      <x:c r="O240" s="28" t="str">
        <x:v>Não</x:v>
      </x:c>
      <x:c r="P240" s="28" t="str">
        <x:v>Baixo</x:v>
      </x:c>
      <x:c r="Q240" s="32" t="n">
        <x:v>0</x:v>
      </x:c>
      <x:c r="R240" s="30" t="n">
        <x:v>0</x:v>
      </x:c>
      <x:c r="S240" s="30" t="n">
        <x:v>16783.67</x:v>
      </x:c>
      <x:c r="T240" s="28" t="str">
        <x:v>Cobertura adequada</x:v>
      </x:c>
    </x:row>
    <x:row r="241">
      <x:c r="A241" s="34" t="n">
        <x:v>45627</x:v>
      </x:c>
      <x:c r="B241" s="28" t="str">
        <x:v>Grupo Industrial S.A.</x:v>
      </x:c>
      <x:c r="C241" s="28" t="str">
        <x:v>Planta Campinas</x:v>
      </x:c>
      <x:c r="D241" s="28" t="str">
        <x:v>Resina PP H103</x:v>
      </x:c>
      <x:c r="E241" s="28" t="str">
        <x:v>Fornecedor B</x:v>
      </x:c>
      <x:c r="F241" s="28" t="str">
        <x:v>Resina</x:v>
      </x:c>
      <x:c r="G241" s="32" t="n">
        <x:v>15514.51</x:v>
      </x:c>
      <x:c r="H241" s="32" t="n">
        <x:v>16877.37</x:v>
      </x:c>
      <x:c r="I241" s="30" t="n">
        <x:v>9.33</x:v>
      </x:c>
      <x:c r="J241" s="32" t="n">
        <x:v>4899.88</x:v>
      </x:c>
      <x:c r="K241" s="32" t="n">
        <x:v>544.43</x:v>
      </x:c>
      <x:c r="L241" s="32" t="n">
        <x:v>9</x:v>
      </x:c>
      <x:c r="M241" s="32" t="n">
        <x:v>16</x:v>
      </x:c>
      <x:c r="N241" s="36" t="n">
        <x:v>0.84</x:v>
      </x:c>
      <x:c r="O241" s="28" t="str">
        <x:v>Risco</x:v>
      </x:c>
      <x:c r="P241" s="28" t="str">
        <x:v>Alto</x:v>
      </x:c>
      <x:c r="Q241" s="32" t="n">
        <x:v>2994</x:v>
      </x:c>
      <x:c r="R241" s="30" t="n">
        <x:v>3410.32</x:v>
      </x:c>
      <x:c r="S241" s="30" t="n">
        <x:v>0</x:v>
      </x:c>
      <x:c r="T241" s="28" t="str">
        <x:v>Cobertura &lt; lead time + margem de segurança</x:v>
      </x:c>
    </x:row>
    <x:row r="242">
      <x:c r="A242" s="34" t="n">
        <x:v>45627</x:v>
      </x:c>
      <x:c r="B242" s="28" t="str">
        <x:v>Grupo Industrial S.A.</x:v>
      </x:c>
      <x:c r="C242" s="28" t="str">
        <x:v>Planta Campinas</x:v>
      </x:c>
      <x:c r="D242" s="28" t="str">
        <x:v>Tampa 28mm</x:v>
      </x:c>
      <x:c r="E242" s="28" t="str">
        <x:v>Fornecedor C</x:v>
      </x:c>
      <x:c r="F242" s="28" t="str">
        <x:v>Embalagem</x:v>
      </x:c>
      <x:c r="G242" s="32" t="n">
        <x:v>18212.69</x:v>
      </x:c>
      <x:c r="H242" s="32" t="n">
        <x:v>18501.62</x:v>
      </x:c>
      <x:c r="I242" s="30" t="n">
        <x:v>0.39</x:v>
      </x:c>
      <x:c r="J242" s="32" t="n">
        <x:v>6565.09</x:v>
      </x:c>
      <x:c r="K242" s="32" t="n">
        <x:v>596.83</x:v>
      </x:c>
      <x:c r="L242" s="32" t="n">
        <x:v>11</x:v>
      </x:c>
      <x:c r="M242" s="32" t="n">
        <x:v>14</x:v>
      </x:c>
      <x:c r="N242" s="36" t="n">
        <x:v>0.88</x:v>
      </x:c>
      <x:c r="O242" s="28" t="str">
        <x:v>Risco</x:v>
      </x:c>
      <x:c r="P242" s="28" t="str">
        <x:v>Alto</x:v>
      </x:c>
      <x:c r="Q242" s="32" t="n">
        <x:v>1969</x:v>
      </x:c>
      <x:c r="R242" s="30" t="n">
        <x:v>103.13</x:v>
      </x:c>
      <x:c r="S242" s="30" t="n">
        <x:v>0</x:v>
      </x:c>
      <x:c r="T242" s="28" t="str">
        <x:v>Cobertura &lt; lead time + margem de segurança</x:v>
      </x:c>
    </x:row>
    <x:row r="243">
      <x:c r="A243" s="34" t="n">
        <x:v>45627</x:v>
      </x:c>
      <x:c r="B243" s="28" t="str">
        <x:v>Grupo Industrial S.A.</x:v>
      </x:c>
      <x:c r="C243" s="28" t="str">
        <x:v>Planta Campinas</x:v>
      </x:c>
      <x:c r="D243" s="28" t="str">
        <x:v>Rótulo L-120</x:v>
      </x:c>
      <x:c r="E243" s="28" t="str">
        <x:v>Fornecedor E</x:v>
      </x:c>
      <x:c r="F243" s="28" t="str">
        <x:v>Embalagem</x:v>
      </x:c>
      <x:c r="G243" s="32" t="n">
        <x:v>20910.86</x:v>
      </x:c>
      <x:c r="H243" s="32" t="n">
        <x:v>21728.24</x:v>
      </x:c>
      <x:c r="I243" s="30" t="n">
        <x:v>0.19</x:v>
      </x:c>
      <x:c r="J243" s="32" t="n">
        <x:v>12616.4</x:v>
      </x:c>
      <x:c r="K243" s="32" t="n">
        <x:v>700.91</x:v>
      </x:c>
      <x:c r="L243" s="32" t="n">
        <x:v>18</x:v>
      </x:c>
      <x:c r="M243" s="32" t="n">
        <x:v>12</x:v>
      </x:c>
      <x:c r="N243" s="36" t="n">
        <x:v>0.91</x:v>
      </x:c>
      <x:c r="O243" s="28" t="str">
        <x:v>Não</x:v>
      </x:c>
      <x:c r="P243" s="28" t="str">
        <x:v>Médio</x:v>
      </x:c>
      <x:c r="Q243" s="32" t="n">
        <x:v>735</x:v>
      </x:c>
      <x:c r="R243" s="30" t="n">
        <x:v>0</x:v>
      </x:c>
      <x:c r="S243" s="30" t="n">
        <x:v>0</x:v>
      </x:c>
      <x:c r="T243" s="28" t="str">
        <x:v>Cobertura abaixo do nível de atenção</x:v>
      </x:c>
    </x:row>
    <x:row r="244">
      <x:c r="A244" s="34" t="n">
        <x:v>45627</x:v>
      </x:c>
      <x:c r="B244" s="28" t="str">
        <x:v>Grupo Industrial S.A.</x:v>
      </x:c>
      <x:c r="C244" s="28" t="str">
        <x:v>Planta Campinas</x:v>
      </x:c>
      <x:c r="D244" s="28" t="str">
        <x:v>Caixa papelão P</x:v>
      </x:c>
      <x:c r="E244" s="28" t="str">
        <x:v>Fornecedor A</x:v>
      </x:c>
      <x:c r="F244" s="28" t="str">
        <x:v>Embalagem</x:v>
      </x:c>
      <x:c r="G244" s="32" t="n">
        <x:v>23609.04</x:v>
      </x:c>
      <x:c r="H244" s="32" t="n">
        <x:v>24006.76</x:v>
      </x:c>
      <x:c r="I244" s="30" t="n">
        <x:v>3.06</x:v>
      </x:c>
      <x:c r="J244" s="32" t="n">
        <x:v>24781.18</x:v>
      </x:c>
      <x:c r="K244" s="32" t="n">
        <x:v>774.41</x:v>
      </x:c>
      <x:c r="L244" s="32" t="n">
        <x:v>32</x:v>
      </x:c>
      <x:c r="M244" s="32" t="n">
        <x:v>8</x:v>
      </x:c>
      <x:c r="N244" s="36" t="n">
        <x:v>0.91</x:v>
      </x:c>
      <x:c r="O244" s="28" t="str">
        <x:v>Não</x:v>
      </x:c>
      <x:c r="P244" s="28" t="str">
        <x:v>Baixo</x:v>
      </x:c>
      <x:c r="Q244" s="32" t="n">
        <x:v>0</x:v>
      </x:c>
      <x:c r="R244" s="30" t="n">
        <x:v>0</x:v>
      </x:c>
      <x:c r="S244" s="30" t="n">
        <x:v>0</x:v>
      </x:c>
      <x:c r="T244" s="28" t="str">
        <x:v>Cobertura adequada</x:v>
      </x:c>
    </x:row>
    <x:row r="245">
      <x:c r="A245" s="34" t="n">
        <x:v>45627</x:v>
      </x:c>
      <x:c r="B245" s="28" t="str">
        <x:v>Grupo Industrial S.A.</x:v>
      </x:c>
      <x:c r="C245" s="28" t="str">
        <x:v>Planta Campinas</x:v>
      </x:c>
      <x:c r="D245" s="28" t="str">
        <x:v>Aditivo A3</x:v>
      </x:c>
      <x:c r="E245" s="28" t="str">
        <x:v>Fornecedor D</x:v>
      </x:c>
      <x:c r="F245" s="28" t="str">
        <x:v>Insumo</x:v>
      </x:c>
      <x:c r="G245" s="32" t="n">
        <x:v>26307.22</x:v>
      </x:c>
      <x:c r="H245" s="32" t="n">
        <x:v>27182.11</x:v>
      </x:c>
      <x:c r="I245" s="30" t="n">
        <x:v>17.37</x:v>
      </x:c>
      <x:c r="J245" s="32" t="n">
        <x:v>19290.53</x:v>
      </x:c>
      <x:c r="K245" s="32" t="n">
        <x:v>876.84</x:v>
      </x:c>
      <x:c r="L245" s="32" t="n">
        <x:v>22</x:v>
      </x:c>
      <x:c r="M245" s="32" t="n">
        <x:v>14</x:v>
      </x:c>
      <x:c r="N245" s="36" t="n">
        <x:v>0.93</x:v>
      </x:c>
      <x:c r="O245" s="28" t="str">
        <x:v>Não</x:v>
      </x:c>
      <x:c r="P245" s="28" t="str">
        <x:v>Médio</x:v>
      </x:c>
      <x:c r="Q245" s="32" t="n">
        <x:v>394</x:v>
      </x:c>
      <x:c r="R245" s="30" t="n">
        <x:v>0</x:v>
      </x:c>
      <x:c r="S245" s="30" t="n">
        <x:v>0</x:v>
      </x:c>
      <x:c r="T245" s="28" t="str">
        <x:v>Cobertura abaixo do nível de atenção</x:v>
      </x:c>
    </x:row>
    <x:row r="246">
      <x:c r="A246" s="34" t="n">
        <x:v>45627</x:v>
      </x:c>
      <x:c r="B246" s="28" t="str">
        <x:v>Grupo Industrial S.A.</x:v>
      </x:c>
      <x:c r="C246" s="28" t="str">
        <x:v>Planta Campinas</x:v>
      </x:c>
      <x:c r="D246" s="28" t="str">
        <x:v>Masterbatch AZ</x:v>
      </x:c>
      <x:c r="E246" s="28" t="str">
        <x:v>Fornecedor D</x:v>
      </x:c>
      <x:c r="F246" s="28" t="str">
        <x:v>Insumo</x:v>
      </x:c>
      <x:c r="G246" s="32" t="n">
        <x:v>29005.39</x:v>
      </x:c>
      <x:c r="H246" s="32" t="n">
        <x:v>29851.49</x:v>
      </x:c>
      <x:c r="I246" s="30" t="n">
        <x:v>24.12</x:v>
      </x:c>
      <x:c r="J246" s="32" t="n">
        <x:v>17333.12</x:v>
      </x:c>
      <x:c r="K246" s="32" t="n">
        <x:v>962.95</x:v>
      </x:c>
      <x:c r="L246" s="32" t="n">
        <x:v>18</x:v>
      </x:c>
      <x:c r="M246" s="32" t="n">
        <x:v>12</x:v>
      </x:c>
      <x:c r="N246" s="36" t="n">
        <x:v>0.97</x:v>
      </x:c>
      <x:c r="O246" s="28" t="str">
        <x:v>Não</x:v>
      </x:c>
      <x:c r="P246" s="28" t="str">
        <x:v>Médio</x:v>
      </x:c>
      <x:c r="Q246" s="32" t="n">
        <x:v>1011</x:v>
      </x:c>
      <x:c r="R246" s="30" t="n">
        <x:v>0</x:v>
      </x:c>
      <x:c r="S246" s="30" t="n">
        <x:v>0</x:v>
      </x:c>
      <x:c r="T246" s="28" t="str">
        <x:v>Cobertura abaixo do nível de atenção</x:v>
      </x:c>
    </x:row>
    <x:row r="247">
      <x:c r="A247" s="34" t="n">
        <x:v>45627</x:v>
      </x:c>
      <x:c r="B247" s="28" t="str">
        <x:v>Grupo Industrial S.A.</x:v>
      </x:c>
      <x:c r="C247" s="28" t="str">
        <x:v>Planta Curitiba</x:v>
      </x:c>
      <x:c r="D247" s="28" t="str">
        <x:v>Filme PE 500mm</x:v>
      </x:c>
      <x:c r="E247" s="28" t="str">
        <x:v>Fornecedor A</x:v>
      </x:c>
      <x:c r="F247" s="28" t="str">
        <x:v>Embalagem</x:v>
      </x:c>
      <x:c r="G247" s="32" t="n">
        <x:v>11980.49</x:v>
      </x:c>
      <x:c r="H247" s="32" t="n">
        <x:v>12567.18</x:v>
      </x:c>
      <x:c r="I247" s="30" t="n">
        <x:v>13.29</x:v>
      </x:c>
      <x:c r="J247" s="32" t="n">
        <x:v>10134.82</x:v>
      </x:c>
      <x:c r="K247" s="32" t="n">
        <x:v>405.39</x:v>
      </x:c>
      <x:c r="L247" s="32" t="n">
        <x:v>25</x:v>
      </x:c>
      <x:c r="M247" s="32" t="n">
        <x:v>10</x:v>
      </x:c>
      <x:c r="N247" s="36" t="n">
        <x:v>0.91</x:v>
      </x:c>
      <x:c r="O247" s="28" t="str">
        <x:v>Não</x:v>
      </x:c>
      <x:c r="P247" s="28" t="str">
        <x:v>Baixo</x:v>
      </x:c>
      <x:c r="Q247" s="32" t="n">
        <x:v>0</x:v>
      </x:c>
      <x:c r="R247" s="30" t="n">
        <x:v>0</x:v>
      </x:c>
      <x:c r="S247" s="30" t="n">
        <x:v>0</x:v>
      </x:c>
      <x:c r="T247" s="28" t="str">
        <x:v>Cobertura adequada</x:v>
      </x:c>
    </x:row>
    <x:row r="248">
      <x:c r="A248" s="34" t="n">
        <x:v>45627</x:v>
      </x:c>
      <x:c r="B248" s="28" t="str">
        <x:v>Grupo Industrial S.A.</x:v>
      </x:c>
      <x:c r="C248" s="28" t="str">
        <x:v>Planta Curitiba</x:v>
      </x:c>
      <x:c r="D248" s="28" t="str">
        <x:v>Resina PP H103</x:v>
      </x:c>
      <x:c r="E248" s="28" t="str">
        <x:v>Fornecedor B</x:v>
      </x:c>
      <x:c r="F248" s="28" t="str">
        <x:v>Resina</x:v>
      </x:c>
      <x:c r="G248" s="32" t="n">
        <x:v>14502.7</x:v>
      </x:c>
      <x:c r="H248" s="32" t="n">
        <x:v>14785.09</x:v>
      </x:c>
      <x:c r="I248" s="30" t="n">
        <x:v>9.33</x:v>
      </x:c>
      <x:c r="J248" s="32" t="n">
        <x:v>15262.03</x:v>
      </x:c>
      <x:c r="K248" s="32" t="n">
        <x:v>476.94</x:v>
      </x:c>
      <x:c r="L248" s="32" t="n">
        <x:v>32</x:v>
      </x:c>
      <x:c r="M248" s="32" t="n">
        <x:v>8</x:v>
      </x:c>
      <x:c r="N248" s="36" t="n">
        <x:v>0.97</x:v>
      </x:c>
      <x:c r="O248" s="28" t="str">
        <x:v>Não</x:v>
      </x:c>
      <x:c r="P248" s="28" t="str">
        <x:v>Baixo</x:v>
      </x:c>
      <x:c r="Q248" s="32" t="n">
        <x:v>0</x:v>
      </x:c>
      <x:c r="R248" s="30" t="n">
        <x:v>0</x:v>
      </x:c>
      <x:c r="S248" s="30" t="n">
        <x:v>0</x:v>
      </x:c>
      <x:c r="T248" s="28" t="str">
        <x:v>Cobertura adequada</x:v>
      </x:c>
    </x:row>
    <x:row r="249">
      <x:c r="A249" s="34" t="n">
        <x:v>45627</x:v>
      </x:c>
      <x:c r="B249" s="28" t="str">
        <x:v>Grupo Industrial S.A.</x:v>
      </x:c>
      <x:c r="C249" s="28" t="str">
        <x:v>Planta Curitiba</x:v>
      </x:c>
      <x:c r="D249" s="28" t="str">
        <x:v>Tampa 28mm</x:v>
      </x:c>
      <x:c r="E249" s="28" t="str">
        <x:v>Fornecedor C</x:v>
      </x:c>
      <x:c r="F249" s="28" t="str">
        <x:v>Embalagem</x:v>
      </x:c>
      <x:c r="G249" s="32" t="n">
        <x:v>17024.9</x:v>
      </x:c>
      <x:c r="H249" s="32" t="n">
        <x:v>17620.44</x:v>
      </x:c>
      <x:c r="I249" s="30" t="n">
        <x:v>0.39</x:v>
      </x:c>
      <x:c r="J249" s="32" t="n">
        <x:v>18188.84</x:v>
      </x:c>
      <x:c r="K249" s="32" t="n">
        <x:v>568.4</x:v>
      </x:c>
      <x:c r="L249" s="32" t="n">
        <x:v>32</x:v>
      </x:c>
      <x:c r="M249" s="32" t="n">
        <x:v>8</x:v>
      </x:c>
      <x:c r="N249" s="36" t="n">
        <x:v>0.91</x:v>
      </x:c>
      <x:c r="O249" s="28" t="str">
        <x:v>Não</x:v>
      </x:c>
      <x:c r="P249" s="28" t="str">
        <x:v>Baixo</x:v>
      </x:c>
      <x:c r="Q249" s="32" t="n">
        <x:v>0</x:v>
      </x:c>
      <x:c r="R249" s="30" t="n">
        <x:v>0</x:v>
      </x:c>
      <x:c r="S249" s="30" t="n">
        <x:v>0</x:v>
      </x:c>
      <x:c r="T249" s="28" t="str">
        <x:v>Cobertura adequada</x:v>
      </x:c>
    </x:row>
    <x:row r="250">
      <x:c r="A250" s="34" t="n">
        <x:v>45627</x:v>
      </x:c>
      <x:c r="B250" s="28" t="str">
        <x:v>Grupo Industrial S.A.</x:v>
      </x:c>
      <x:c r="C250" s="28" t="str">
        <x:v>Planta Curitiba</x:v>
      </x:c>
      <x:c r="D250" s="28" t="str">
        <x:v>Rótulo L-120</x:v>
      </x:c>
      <x:c r="E250" s="28" t="str">
        <x:v>Fornecedor E</x:v>
      </x:c>
      <x:c r="F250" s="28" t="str">
        <x:v>Embalagem</x:v>
      </x:c>
      <x:c r="G250" s="32" t="n">
        <x:v>19547.11</x:v>
      </x:c>
      <x:c r="H250" s="32" t="n">
        <x:v>20031.88</x:v>
      </x:c>
      <x:c r="I250" s="30" t="n">
        <x:v>0.19</x:v>
      </x:c>
      <x:c r="J250" s="32" t="n">
        <x:v>11631.42</x:v>
      </x:c>
      <x:c r="K250" s="32" t="n">
        <x:v>646.19</x:v>
      </x:c>
      <x:c r="L250" s="32" t="n">
        <x:v>18</x:v>
      </x:c>
      <x:c r="M250" s="32" t="n">
        <x:v>14</x:v>
      </x:c>
      <x:c r="N250" s="36" t="n">
        <x:v>0.97</x:v>
      </x:c>
      <x:c r="O250" s="28" t="str">
        <x:v>Não</x:v>
      </x:c>
      <x:c r="P250" s="28" t="str">
        <x:v>Médio</x:v>
      </x:c>
      <x:c r="Q250" s="32" t="n">
        <x:v>678</x:v>
      </x:c>
      <x:c r="R250" s="30" t="n">
        <x:v>6.98</x:v>
      </x:c>
      <x:c r="S250" s="30" t="n">
        <x:v>0</x:v>
      </x:c>
      <x:c r="T250" s="28" t="str">
        <x:v>Cobertura abaixo do nível de atenção</x:v>
      </x:c>
    </x:row>
    <x:row r="251">
      <x:c r="A251" s="34" t="n">
        <x:v>45627</x:v>
      </x:c>
      <x:c r="B251" s="28" t="str">
        <x:v>Grupo Industrial S.A.</x:v>
      </x:c>
      <x:c r="C251" s="28" t="str">
        <x:v>Planta Curitiba</x:v>
      </x:c>
      <x:c r="D251" s="28" t="str">
        <x:v>Caixa papelão P</x:v>
      </x:c>
      <x:c r="E251" s="28" t="str">
        <x:v>Fornecedor A</x:v>
      </x:c>
      <x:c r="F251" s="28" t="str">
        <x:v>Embalagem</x:v>
      </x:c>
      <x:c r="G251" s="32" t="n">
        <x:v>22069.32</x:v>
      </x:c>
      <x:c r="H251" s="32" t="n">
        <x:v>22867.65</x:v>
      </x:c>
      <x:c r="I251" s="30" t="n">
        <x:v>3.06</x:v>
      </x:c>
      <x:c r="J251" s="32" t="n">
        <x:v>18441.66</x:v>
      </x:c>
      <x:c r="K251" s="32" t="n">
        <x:v>737.67</x:v>
      </x:c>
      <x:c r="L251" s="32" t="n">
        <x:v>25</x:v>
      </x:c>
      <x:c r="M251" s="32" t="n">
        <x:v>14</x:v>
      </x:c>
      <x:c r="N251" s="36" t="n">
        <x:v>0.91</x:v>
      </x:c>
      <x:c r="O251" s="28" t="str">
        <x:v>Não</x:v>
      </x:c>
      <x:c r="P251" s="28" t="str">
        <x:v>Baixo</x:v>
      </x:c>
      <x:c r="Q251" s="32" t="n">
        <x:v>0</x:v>
      </x:c>
      <x:c r="R251" s="30" t="n">
        <x:v>0</x:v>
      </x:c>
      <x:c r="S251" s="30" t="n">
        <x:v>0</x:v>
      </x:c>
      <x:c r="T251" s="28" t="str">
        <x:v>Cobertura adequada</x:v>
      </x:c>
    </x:row>
    <x:row r="252">
      <x:c r="A252" s="34" t="n">
        <x:v>45627</x:v>
      </x:c>
      <x:c r="B252" s="28" t="str">
        <x:v>Grupo Industrial S.A.</x:v>
      </x:c>
      <x:c r="C252" s="28" t="str">
        <x:v>Planta Curitiba</x:v>
      </x:c>
      <x:c r="D252" s="28" t="str">
        <x:v>Aditivo A3</x:v>
      </x:c>
      <x:c r="E252" s="28" t="str">
        <x:v>Fornecedor D</x:v>
      </x:c>
      <x:c r="F252" s="28" t="str">
        <x:v>Insumo</x:v>
      </x:c>
      <x:c r="G252" s="32" t="n">
        <x:v>24591.53</x:v>
      </x:c>
      <x:c r="H252" s="32" t="n">
        <x:v>25403.36</x:v>
      </x:c>
      <x:c r="I252" s="30" t="n">
        <x:v>17.37</x:v>
      </x:c>
      <x:c r="J252" s="32" t="n">
        <x:v>14750.34</x:v>
      </x:c>
      <x:c r="K252" s="32" t="n">
        <x:v>819.46</x:v>
      </x:c>
      <x:c r="L252" s="32" t="n">
        <x:v>18</x:v>
      </x:c>
      <x:c r="M252" s="32" t="n">
        <x:v>14</x:v>
      </x:c>
      <x:c r="N252" s="36" t="n">
        <x:v>0.95</x:v>
      </x:c>
      <x:c r="O252" s="28" t="str">
        <x:v>Não</x:v>
      </x:c>
      <x:c r="P252" s="28" t="str">
        <x:v>Médio</x:v>
      </x:c>
      <x:c r="Q252" s="32" t="n">
        <x:v>860</x:v>
      </x:c>
      <x:c r="R252" s="30" t="n">
        <x:v>796.52</x:v>
      </x:c>
      <x:c r="S252" s="30" t="n">
        <x:v>0</x:v>
      </x:c>
      <x:c r="T252" s="28" t="str">
        <x:v>Cobertura abaixo do nível de atenção</x:v>
      </x:c>
    </x:row>
    <x:row r="253">
      <x:c r="A253" s="34" t="n">
        <x:v>45627</x:v>
      </x:c>
      <x:c r="B253" s="28" t="str">
        <x:v>Grupo Industrial S.A.</x:v>
      </x:c>
      <x:c r="C253" s="28" t="str">
        <x:v>Planta Curitiba</x:v>
      </x:c>
      <x:c r="D253" s="28" t="str">
        <x:v>Masterbatch AZ</x:v>
      </x:c>
      <x:c r="E253" s="28" t="str">
        <x:v>Fornecedor D</x:v>
      </x:c>
      <x:c r="F253" s="28" t="str">
        <x:v>Insumo</x:v>
      </x:c>
      <x:c r="G253" s="32" t="n">
        <x:v>27113.74</x:v>
      </x:c>
      <x:c r="H253" s="32" t="n">
        <x:v>27908.52</x:v>
      </x:c>
      <x:c r="I253" s="30" t="n">
        <x:v>24.12</x:v>
      </x:c>
      <x:c r="J253" s="32" t="n">
        <x:v>40512.37</x:v>
      </x:c>
      <x:c r="K253" s="32" t="n">
        <x:v>900.27</x:v>
      </x:c>
      <x:c r="L253" s="32" t="n">
        <x:v>45</x:v>
      </x:c>
      <x:c r="M253" s="32" t="n">
        <x:v>12</x:v>
      </x:c>
      <x:c r="N253" s="36" t="n">
        <x:v>0.97</x:v>
      </x:c>
      <x:c r="O253" s="28" t="str">
        <x:v>Não</x:v>
      </x:c>
      <x:c r="P253" s="28" t="str">
        <x:v>Baixo</x:v>
      </x:c>
      <x:c r="Q253" s="32" t="n">
        <x:v>0</x:v>
      </x:c>
      <x:c r="R253" s="30" t="n">
        <x:v>0</x:v>
      </x:c>
      <x:c r="S253" s="30" t="n">
        <x:v>202561.87</x:v>
      </x:c>
      <x:c r="T253" s="28" t="str">
        <x:v>Cobertura adequada</x:v>
      </x:c>
    </x:row>
  </x:sheetData>
  <x:conditionalFormatting sqref="P2:P1000">
    <x:cfRule type="expression" dxfId="0" priority="1">
      <x:formula>P2="Alto"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2" hidden="0" customWidth="1"/>
    <x:col min="4" max="4" width="20" hidden="0" customWidth="1"/>
    <x:col min="5" max="5" width="24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6" hidden="0" customWidth="1"/>
    <x:col min="11" max="11" width="18" hidden="0" customWidth="1"/>
    <x:col min="12" max="12" width="20" hidden="0" customWidth="1"/>
    <x:col min="13" max="13" width="16" hidden="0" customWidth="1"/>
    <x:col min="14" max="14" width="14" hidden="0" customWidth="1"/>
    <x:col min="15" max="15" width="16" hidden="0" customWidth="1"/>
  </x:cols>
  <x:sheetData>
    <x:row r="1">
      <x:c r="A1" s="22" t="str">
        <x:v>Competencia</x:v>
      </x:c>
      <x:c r="B1" s="22" t="str">
        <x:v>Grupo</x:v>
      </x:c>
      <x:c r="C1" s="22" t="str">
        <x:v>Fabrica</x:v>
      </x:c>
      <x:c r="D1" s="22" t="str">
        <x:v>Transportadora</x:v>
      </x:c>
      <x:c r="E1" s="22" t="str">
        <x:v>Rota</x:v>
      </x:c>
      <x:c r="F1" s="22" t="str">
        <x:v>Regiao</x:v>
      </x:c>
      <x:c r="G1" s="22" t="str">
        <x:v>Pedidos_Total</x:v>
      </x:c>
      <x:c r="H1" s="22" t="str">
        <x:v>Pedidos_On_Time</x:v>
      </x:c>
      <x:c r="I1" s="22" t="str">
        <x:v>Pedidos_In_Full</x:v>
      </x:c>
      <x:c r="J1" s="22" t="str">
        <x:v>Pedidos_OTIF</x:v>
      </x:c>
      <x:c r="K1" s="22" t="str">
        <x:v>Frete_Total</x:v>
      </x:c>
      <x:c r="L1" s="22" t="str">
        <x:v>Unidades_Entregues</x:v>
      </x:c>
      <x:c r="M1" s="22" t="str">
        <x:v>Ocupacao_Pct</x:v>
      </x:c>
      <x:c r="N1" s="22" t="str">
        <x:v>Urgencias</x:v>
      </x:c>
      <x:c r="O1" s="22" t="str">
        <x:v>Lead_Time_Dias</x:v>
      </x:c>
    </x:row>
    <x:row r="2">
      <x:c r="A2" s="34" t="n">
        <x:v>45292</x:v>
      </x:c>
      <x:c r="B2" s="28" t="str">
        <x:v>Grupo Industrial S.A.</x:v>
      </x:c>
      <x:c r="C2" s="28" t="str">
        <x:v>Planta São Paulo</x:v>
      </x:c>
      <x:c r="D2" s="28" t="str">
        <x:v>TransDados</x:v>
      </x:c>
      <x:c r="E2" s="28" t="str">
        <x:v>SP-Sudeste</x:v>
      </x:c>
      <x:c r="F2" s="28" t="str">
        <x:v>Sudeste</x:v>
      </x:c>
      <x:c r="G2" s="32" t="n">
        <x:v>34</x:v>
      </x:c>
      <x:c r="H2" s="32" t="n">
        <x:v>32</x:v>
      </x:c>
      <x:c r="I2" s="32" t="n">
        <x:v>33</x:v>
      </x:c>
      <x:c r="J2" s="32" t="n">
        <x:v>32</x:v>
      </x:c>
      <x:c r="K2" s="30" t="n">
        <x:v>74974.4</x:v>
      </x:c>
      <x:c r="L2" s="32" t="n">
        <x:v>31904</x:v>
      </x:c>
      <x:c r="M2" s="36" t="n">
        <x:v>0.8487</x:v>
      </x:c>
      <x:c r="N2" s="32" t="n">
        <x:v>1</x:v>
      </x:c>
      <x:c r="O2" s="32" t="n">
        <x:v>2.3</x:v>
      </x:c>
    </x:row>
    <x:row r="3">
      <x:c r="A3" s="34" t="n">
        <x:v>45292</x:v>
      </x:c>
      <x:c r="B3" s="28" t="str">
        <x:v>Grupo Industrial S.A.</x:v>
      </x:c>
      <x:c r="C3" s="28" t="str">
        <x:v>Planta São Paulo</x:v>
      </x:c>
      <x:c r="D3" s="28" t="str">
        <x:v>RápidoSul</x:v>
      </x:c>
      <x:c r="E3" s="28" t="str">
        <x:v>SP-Centro-Oeste</x:v>
      </x:c>
      <x:c r="F3" s="28" t="str">
        <x:v>Sudeste</x:v>
      </x:c>
      <x:c r="G3" s="32" t="n">
        <x:v>41</x:v>
      </x:c>
      <x:c r="H3" s="32" t="n">
        <x:v>38</x:v>
      </x:c>
      <x:c r="I3" s="32" t="n">
        <x:v>40</x:v>
      </x:c>
      <x:c r="J3" s="32" t="n">
        <x:v>38</x:v>
      </x:c>
      <x:c r="K3" s="30" t="n">
        <x:v>65083.34</x:v>
      </x:c>
      <x:c r="L3" s="32" t="n">
        <x:v>27152</x:v>
      </x:c>
      <x:c r="M3" s="36" t="n">
        <x:v>0.8494</x:v>
      </x:c>
      <x:c r="N3" s="32" t="n">
        <x:v>1</x:v>
      </x:c>
      <x:c r="O3" s="32" t="n">
        <x:v>2.4</x:v>
      </x:c>
    </x:row>
    <x:row r="4">
      <x:c r="A4" s="34" t="n">
        <x:v>45292</x:v>
      </x:c>
      <x:c r="B4" s="28" t="str">
        <x:v>Grupo Industrial S.A.</x:v>
      </x:c>
      <x:c r="C4" s="28" t="str">
        <x:v>Planta São Paulo</x:v>
      </x:c>
      <x:c r="D4" s="28" t="str">
        <x:v>NovaLog</x:v>
      </x:c>
      <x:c r="E4" s="28" t="str">
        <x:v>SP-Nordeste</x:v>
      </x:c>
      <x:c r="F4" s="28" t="str">
        <x:v>Sudeste</x:v>
      </x:c>
      <x:c r="G4" s="32" t="n">
        <x:v>47</x:v>
      </x:c>
      <x:c r="H4" s="32" t="n">
        <x:v>44</x:v>
      </x:c>
      <x:c r="I4" s="32" t="n">
        <x:v>46</x:v>
      </x:c>
      <x:c r="J4" s="32" t="n">
        <x:v>44</x:v>
      </x:c>
      <x:c r="K4" s="30" t="n">
        <x:v>45348.42</x:v>
      </x:c>
      <x:c r="L4" s="32" t="n">
        <x:v>18555</x:v>
      </x:c>
      <x:c r="M4" s="36" t="n">
        <x:v>0.8308</x:v>
      </x:c>
      <x:c r="N4" s="32" t="n">
        <x:v>2</x:v>
      </x:c>
      <x:c r="O4" s="32" t="n">
        <x:v>2.6</x:v>
      </x:c>
    </x:row>
    <x:row r="5">
      <x:c r="A5" s="34" t="n">
        <x:v>45292</x:v>
      </x:c>
      <x:c r="B5" s="28" t="str">
        <x:v>Grupo Industrial S.A.</x:v>
      </x:c>
      <x:c r="C5" s="28" t="str">
        <x:v>Planta Campinas</x:v>
      </x:c>
      <x:c r="D5" s="28" t="str">
        <x:v>TransDados</x:v>
      </x:c>
      <x:c r="E5" s="28" t="str">
        <x:v>Campinas-Sudeste</x:v>
      </x:c>
      <x:c r="F5" s="28" t="str">
        <x:v>Sudeste</x:v>
      </x:c>
      <x:c r="G5" s="32" t="n">
        <x:v>37</x:v>
      </x:c>
      <x:c r="H5" s="32" t="n">
        <x:v>31</x:v>
      </x:c>
      <x:c r="I5" s="32" t="n">
        <x:v>35</x:v>
      </x:c>
      <x:c r="J5" s="32" t="n">
        <x:v>31</x:v>
      </x:c>
      <x:c r="K5" s="30" t="n">
        <x:v>52040.89</x:v>
      </x:c>
      <x:c r="L5" s="32" t="n">
        <x:v>18767</x:v>
      </x:c>
      <x:c r="M5" s="36" t="n">
        <x:v>0.7657</x:v>
      </x:c>
      <x:c r="N5" s="32" t="n">
        <x:v>3</x:v>
      </x:c>
      <x:c r="O5" s="32" t="n">
        <x:v>2.8</x:v>
      </x:c>
    </x:row>
    <x:row r="6">
      <x:c r="A6" s="34" t="n">
        <x:v>45292</x:v>
      </x:c>
      <x:c r="B6" s="28" t="str">
        <x:v>Grupo Industrial S.A.</x:v>
      </x:c>
      <x:c r="C6" s="28" t="str">
        <x:v>Planta Campinas</x:v>
      </x:c>
      <x:c r="D6" s="28" t="str">
        <x:v>RápidoSul</x:v>
      </x:c>
      <x:c r="E6" s="28" t="str">
        <x:v>Campinas-Norte</x:v>
      </x:c>
      <x:c r="F6" s="28" t="str">
        <x:v>Sudeste</x:v>
      </x:c>
      <x:c r="G6" s="32" t="n">
        <x:v>32</x:v>
      </x:c>
      <x:c r="H6" s="32" t="n">
        <x:v>28</x:v>
      </x:c>
      <x:c r="I6" s="32" t="n">
        <x:v>30</x:v>
      </x:c>
      <x:c r="J6" s="32" t="n">
        <x:v>28</x:v>
      </x:c>
      <x:c r="K6" s="30" t="n">
        <x:v>81256</x:v>
      </x:c>
      <x:c r="L6" s="32" t="n">
        <x:v>28728</x:v>
      </x:c>
      <x:c r="M6" s="36" t="n">
        <x:v>0.7621</x:v>
      </x:c>
      <x:c r="N6" s="32" t="n">
        <x:v>3</x:v>
      </x:c>
      <x:c r="O6" s="32" t="n">
        <x:v>2.9</x:v>
      </x:c>
    </x:row>
    <x:row r="7">
      <x:c r="A7" s="34" t="n">
        <x:v>45292</x:v>
      </x:c>
      <x:c r="B7" s="28" t="str">
        <x:v>Grupo Industrial S.A.</x:v>
      </x:c>
      <x:c r="C7" s="28" t="str">
        <x:v>Planta Campinas</x:v>
      </x:c>
      <x:c r="D7" s="28" t="str">
        <x:v>NovaLog</x:v>
      </x:c>
      <x:c r="E7" s="28" t="str">
        <x:v>Campinas-Nordeste</x:v>
      </x:c>
      <x:c r="F7" s="28" t="str">
        <x:v>Sudeste</x:v>
      </x:c>
      <x:c r="G7" s="32" t="n">
        <x:v>40</x:v>
      </x:c>
      <x:c r="H7" s="32" t="n">
        <x:v>35</x:v>
      </x:c>
      <x:c r="I7" s="32" t="n">
        <x:v>37</x:v>
      </x:c>
      <x:c r="J7" s="32" t="n">
        <x:v>35</x:v>
      </x:c>
      <x:c r="K7" s="30" t="n">
        <x:v>62733.91</x:v>
      </x:c>
      <x:c r="L7" s="32" t="n">
        <x:v>21753</x:v>
      </x:c>
      <x:c r="M7" s="36" t="n">
        <x:v>0.7513</x:v>
      </x:c>
      <x:c r="N7" s="32" t="n">
        <x:v>3</x:v>
      </x:c>
      <x:c r="O7" s="32" t="n">
        <x:v>3.1</x:v>
      </x:c>
    </x:row>
    <x:row r="8">
      <x:c r="A8" s="34" t="n">
        <x:v>45292</x:v>
      </x:c>
      <x:c r="B8" s="28" t="str">
        <x:v>Grupo Industrial S.A.</x:v>
      </x:c>
      <x:c r="C8" s="28" t="str">
        <x:v>Planta Curitiba</x:v>
      </x:c>
      <x:c r="D8" s="28" t="str">
        <x:v>TransDados</x:v>
      </x:c>
      <x:c r="E8" s="28" t="str">
        <x:v>Curitiba-Sul</x:v>
      </x:c>
      <x:c r="F8" s="28" t="str">
        <x:v>Sul</x:v>
      </x:c>
      <x:c r="G8" s="32" t="n">
        <x:v>37</x:v>
      </x:c>
      <x:c r="H8" s="32" t="n">
        <x:v>34</x:v>
      </x:c>
      <x:c r="I8" s="32" t="n">
        <x:v>36</x:v>
      </x:c>
      <x:c r="J8" s="32" t="n">
        <x:v>34</x:v>
      </x:c>
      <x:c r="K8" s="30" t="n">
        <x:v>55746.09</x:v>
      </x:c>
      <x:c r="L8" s="32" t="n">
        <x:v>22379</x:v>
      </x:c>
      <x:c r="M8" s="36" t="n">
        <x:v>0.8052</x:v>
      </x:c>
      <x:c r="N8" s="32" t="n">
        <x:v>1</x:v>
      </x:c>
      <x:c r="O8" s="32" t="n">
        <x:v>2.5</x:v>
      </x:c>
    </x:row>
    <x:row r="9">
      <x:c r="A9" s="34" t="n">
        <x:v>45292</x:v>
      </x:c>
      <x:c r="B9" s="28" t="str">
        <x:v>Grupo Industrial S.A.</x:v>
      </x:c>
      <x:c r="C9" s="28" t="str">
        <x:v>Planta Curitiba</x:v>
      </x:c>
      <x:c r="D9" s="28" t="str">
        <x:v>RápidoSul</x:v>
      </x:c>
      <x:c r="E9" s="28" t="str">
        <x:v>Curitiba-Sudeste</x:v>
      </x:c>
      <x:c r="F9" s="28" t="str">
        <x:v>Sul</x:v>
      </x:c>
      <x:c r="G9" s="32" t="n">
        <x:v>43</x:v>
      </x:c>
      <x:c r="H9" s="32" t="n">
        <x:v>39</x:v>
      </x:c>
      <x:c r="I9" s="32" t="n">
        <x:v>42</x:v>
      </x:c>
      <x:c r="J9" s="32" t="n">
        <x:v>39</x:v>
      </x:c>
      <x:c r="K9" s="30" t="n">
        <x:v>81049.62</x:v>
      </x:c>
      <x:c r="L9" s="32" t="n">
        <x:v>31899</x:v>
      </x:c>
      <x:c r="M9" s="36" t="n">
        <x:v>0.7843</x:v>
      </x:c>
      <x:c r="N9" s="32" t="n">
        <x:v>2</x:v>
      </x:c>
      <x:c r="O9" s="32" t="n">
        <x:v>2.6</x:v>
      </x:c>
    </x:row>
    <x:row r="10">
      <x:c r="A10" s="34" t="n">
        <x:v>45292</x:v>
      </x:c>
      <x:c r="B10" s="28" t="str">
        <x:v>Grupo Industrial S.A.</x:v>
      </x:c>
      <x:c r="C10" s="28" t="str">
        <x:v>Planta Curitiba</x:v>
      </x:c>
      <x:c r="D10" s="28" t="str">
        <x:v>NovaLog</x:v>
      </x:c>
      <x:c r="E10" s="28" t="str">
        <x:v>Curitiba-Centro-Oeste</x:v>
      </x:c>
      <x:c r="F10" s="28" t="str">
        <x:v>Sul</x:v>
      </x:c>
      <x:c r="G10" s="32" t="n">
        <x:v>34</x:v>
      </x:c>
      <x:c r="H10" s="32" t="n">
        <x:v>30</x:v>
      </x:c>
      <x:c r="I10" s="32" t="n">
        <x:v>33</x:v>
      </x:c>
      <x:c r="J10" s="32" t="n">
        <x:v>30</x:v>
      </x:c>
      <x:c r="K10" s="30" t="n">
        <x:v>62602.82</x:v>
      </x:c>
      <x:c r="L10" s="32" t="n">
        <x:v>24165</x:v>
      </x:c>
      <x:c r="M10" s="36" t="n">
        <x:v>0.7917</x:v>
      </x:c>
      <x:c r="N10" s="32" t="n">
        <x:v>1</x:v>
      </x:c>
      <x:c r="O10" s="32" t="n">
        <x:v>2.8</x:v>
      </x:c>
    </x:row>
    <x:row r="11">
      <x:c r="A11" s="34" t="n">
        <x:v>45323</x:v>
      </x:c>
      <x:c r="B11" s="28" t="str">
        <x:v>Grupo Industrial S.A.</x:v>
      </x:c>
      <x:c r="C11" s="28" t="str">
        <x:v>Planta São Paulo</x:v>
      </x:c>
      <x:c r="D11" s="28" t="str">
        <x:v>TransDados</x:v>
      </x:c>
      <x:c r="E11" s="28" t="str">
        <x:v>SP-Sudeste</x:v>
      </x:c>
      <x:c r="F11" s="28" t="str">
        <x:v>Sudeste</x:v>
      </x:c>
      <x:c r="G11" s="32" t="n">
        <x:v>40</x:v>
      </x:c>
      <x:c r="H11" s="32" t="n">
        <x:v>37</x:v>
      </x:c>
      <x:c r="I11" s="32" t="n">
        <x:v>39</x:v>
      </x:c>
      <x:c r="J11" s="32" t="n">
        <x:v>37</x:v>
      </x:c>
      <x:c r="K11" s="30" t="n">
        <x:v>56496.35</x:v>
      </x:c>
      <x:c r="L11" s="32" t="n">
        <x:v>24041</x:v>
      </x:c>
      <x:c r="M11" s="36" t="n">
        <x:v>0.8358</x:v>
      </x:c>
      <x:c r="N11" s="32" t="n">
        <x:v>1</x:v>
      </x:c>
      <x:c r="O11" s="32" t="n">
        <x:v>2.3</x:v>
      </x:c>
    </x:row>
    <x:row r="12">
      <x:c r="A12" s="34" t="n">
        <x:v>45323</x:v>
      </x:c>
      <x:c r="B12" s="28" t="str">
        <x:v>Grupo Industrial S.A.</x:v>
      </x:c>
      <x:c r="C12" s="28" t="str">
        <x:v>Planta São Paulo</x:v>
      </x:c>
      <x:c r="D12" s="28" t="str">
        <x:v>RápidoSul</x:v>
      </x:c>
      <x:c r="E12" s="28" t="str">
        <x:v>SP-Centro-Oeste</x:v>
      </x:c>
      <x:c r="F12" s="28" t="str">
        <x:v>Sudeste</x:v>
      </x:c>
      <x:c r="G12" s="32" t="n">
        <x:v>44</x:v>
      </x:c>
      <x:c r="H12" s="32" t="n">
        <x:v>41</x:v>
      </x:c>
      <x:c r="I12" s="32" t="n">
        <x:v>43</x:v>
      </x:c>
      <x:c r="J12" s="32" t="n">
        <x:v>41</x:v>
      </x:c>
      <x:c r="K12" s="30" t="n">
        <x:v>73530.37</x:v>
      </x:c>
      <x:c r="L12" s="32" t="n">
        <x:v>30676</x:v>
      </x:c>
      <x:c r="M12" s="36" t="n">
        <x:v>0.8081</x:v>
      </x:c>
      <x:c r="N12" s="32" t="n">
        <x:v>2</x:v>
      </x:c>
      <x:c r="O12" s="32" t="n">
        <x:v>2.4</x:v>
      </x:c>
    </x:row>
    <x:row r="13">
      <x:c r="A13" s="34" t="n">
        <x:v>45323</x:v>
      </x:c>
      <x:c r="B13" s="28" t="str">
        <x:v>Grupo Industrial S.A.</x:v>
      </x:c>
      <x:c r="C13" s="28" t="str">
        <x:v>Planta São Paulo</x:v>
      </x:c>
      <x:c r="D13" s="28" t="str">
        <x:v>NovaLog</x:v>
      </x:c>
      <x:c r="E13" s="28" t="str">
        <x:v>SP-Nordeste</x:v>
      </x:c>
      <x:c r="F13" s="28" t="str">
        <x:v>Sudeste</x:v>
      </x:c>
      <x:c r="G13" s="32" t="n">
        <x:v>48</x:v>
      </x:c>
      <x:c r="H13" s="32" t="n">
        <x:v>44</x:v>
      </x:c>
      <x:c r="I13" s="32" t="n">
        <x:v>46</x:v>
      </x:c>
      <x:c r="J13" s="32" t="n">
        <x:v>44</x:v>
      </x:c>
      <x:c r="K13" s="30" t="n">
        <x:v>77291.5</x:v>
      </x:c>
      <x:c r="L13" s="32" t="n">
        <x:v>31625</x:v>
      </x:c>
      <x:c r="M13" s="36" t="n">
        <x:v>0.8398</x:v>
      </x:c>
      <x:c r="N13" s="32" t="n">
        <x:v>2</x:v>
      </x:c>
      <x:c r="O13" s="32" t="n">
        <x:v>2.6</x:v>
      </x:c>
    </x:row>
    <x:row r="14">
      <x:c r="A14" s="34" t="n">
        <x:v>45323</x:v>
      </x:c>
      <x:c r="B14" s="28" t="str">
        <x:v>Grupo Industrial S.A.</x:v>
      </x:c>
      <x:c r="C14" s="28" t="str">
        <x:v>Planta Campinas</x:v>
      </x:c>
      <x:c r="D14" s="28" t="str">
        <x:v>TransDados</x:v>
      </x:c>
      <x:c r="E14" s="28" t="str">
        <x:v>Campinas-Sudeste</x:v>
      </x:c>
      <x:c r="F14" s="28" t="str">
        <x:v>Sudeste</x:v>
      </x:c>
      <x:c r="G14" s="32" t="n">
        <x:v>42</x:v>
      </x:c>
      <x:c r="H14" s="32" t="n">
        <x:v>37</x:v>
      </x:c>
      <x:c r="I14" s="32" t="n">
        <x:v>40</x:v>
      </x:c>
      <x:c r="J14" s="32" t="n">
        <x:v>37</x:v>
      </x:c>
      <x:c r="K14" s="30" t="n">
        <x:v>83611.5</x:v>
      </x:c>
      <x:c r="L14" s="32" t="n">
        <x:v>30152</x:v>
      </x:c>
      <x:c r="M14" s="36" t="n">
        <x:v>0.7368</x:v>
      </x:c>
      <x:c r="N14" s="32" t="n">
        <x:v>3</x:v>
      </x:c>
      <x:c r="O14" s="32" t="n">
        <x:v>2.8</x:v>
      </x:c>
    </x:row>
    <x:row r="15">
      <x:c r="A15" s="34" t="n">
        <x:v>45323</x:v>
      </x:c>
      <x:c r="B15" s="28" t="str">
        <x:v>Grupo Industrial S.A.</x:v>
      </x:c>
      <x:c r="C15" s="28" t="str">
        <x:v>Planta Campinas</x:v>
      </x:c>
      <x:c r="D15" s="28" t="str">
        <x:v>RápidoSul</x:v>
      </x:c>
      <x:c r="E15" s="28" t="str">
        <x:v>Campinas-Norte</x:v>
      </x:c>
      <x:c r="F15" s="28" t="str">
        <x:v>Sudeste</x:v>
      </x:c>
      <x:c r="G15" s="32" t="n">
        <x:v>43</x:v>
      </x:c>
      <x:c r="H15" s="32" t="n">
        <x:v>36</x:v>
      </x:c>
      <x:c r="I15" s="32" t="n">
        <x:v>40</x:v>
      </x:c>
      <x:c r="J15" s="32" t="n">
        <x:v>36</x:v>
      </x:c>
      <x:c r="K15" s="30" t="n">
        <x:v>75183.3</x:v>
      </x:c>
      <x:c r="L15" s="32" t="n">
        <x:v>26581</x:v>
      </x:c>
      <x:c r="M15" s="36" t="n">
        <x:v>0.7366</x:v>
      </x:c>
      <x:c r="N15" s="32" t="n">
        <x:v>3</x:v>
      </x:c>
      <x:c r="O15" s="32" t="n">
        <x:v>2.9</x:v>
      </x:c>
    </x:row>
    <x:row r="16">
      <x:c r="A16" s="34" t="n">
        <x:v>45323</x:v>
      </x:c>
      <x:c r="B16" s="28" t="str">
        <x:v>Grupo Industrial S.A.</x:v>
      </x:c>
      <x:c r="C16" s="28" t="str">
        <x:v>Planta Campinas</x:v>
      </x:c>
      <x:c r="D16" s="28" t="str">
        <x:v>NovaLog</x:v>
      </x:c>
      <x:c r="E16" s="28" t="str">
        <x:v>Campinas-Nordeste</x:v>
      </x:c>
      <x:c r="F16" s="28" t="str">
        <x:v>Sudeste</x:v>
      </x:c>
      <x:c r="G16" s="32" t="n">
        <x:v>32</x:v>
      </x:c>
      <x:c r="H16" s="32" t="n">
        <x:v>27</x:v>
      </x:c>
      <x:c r="I16" s="32" t="n">
        <x:v>30</x:v>
      </x:c>
      <x:c r="J16" s="32" t="n">
        <x:v>27</x:v>
      </x:c>
      <x:c r="K16" s="30" t="n">
        <x:v>73995.62</x:v>
      </x:c>
      <x:c r="L16" s="32" t="n">
        <x:v>25658</x:v>
      </x:c>
      <x:c r="M16" s="36" t="n">
        <x:v>0.7476</x:v>
      </x:c>
      <x:c r="N16" s="32" t="n">
        <x:v>3</x:v>
      </x:c>
      <x:c r="O16" s="32" t="n">
        <x:v>3.1</x:v>
      </x:c>
    </x:row>
    <x:row r="17">
      <x:c r="A17" s="34" t="n">
        <x:v>45323</x:v>
      </x:c>
      <x:c r="B17" s="28" t="str">
        <x:v>Grupo Industrial S.A.</x:v>
      </x:c>
      <x:c r="C17" s="28" t="str">
        <x:v>Planta Curitiba</x:v>
      </x:c>
      <x:c r="D17" s="28" t="str">
        <x:v>TransDados</x:v>
      </x:c>
      <x:c r="E17" s="28" t="str">
        <x:v>Curitiba-Sul</x:v>
      </x:c>
      <x:c r="F17" s="28" t="str">
        <x:v>Sul</x:v>
      </x:c>
      <x:c r="G17" s="32" t="n">
        <x:v>36</x:v>
      </x:c>
      <x:c r="H17" s="32" t="n">
        <x:v>33</x:v>
      </x:c>
      <x:c r="I17" s="32" t="n">
        <x:v>35</x:v>
      </x:c>
      <x:c r="J17" s="32" t="n">
        <x:v>33</x:v>
      </x:c>
      <x:c r="K17" s="30" t="n">
        <x:v>78615.96</x:v>
      </x:c>
      <x:c r="L17" s="32" t="n">
        <x:v>31560</x:v>
      </x:c>
      <x:c r="M17" s="36" t="n">
        <x:v>0.7663</x:v>
      </x:c>
      <x:c r="N17" s="32" t="n">
        <x:v>1</x:v>
      </x:c>
      <x:c r="O17" s="32" t="n">
        <x:v>2.5</x:v>
      </x:c>
    </x:row>
    <x:row r="18">
      <x:c r="A18" s="34" t="n">
        <x:v>45323</x:v>
      </x:c>
      <x:c r="B18" s="28" t="str">
        <x:v>Grupo Industrial S.A.</x:v>
      </x:c>
      <x:c r="C18" s="28" t="str">
        <x:v>Planta Curitiba</x:v>
      </x:c>
      <x:c r="D18" s="28" t="str">
        <x:v>RápidoSul</x:v>
      </x:c>
      <x:c r="E18" s="28" t="str">
        <x:v>Curitiba-Sudeste</x:v>
      </x:c>
      <x:c r="F18" s="28" t="str">
        <x:v>Sul</x:v>
      </x:c>
      <x:c r="G18" s="32" t="n">
        <x:v>47</x:v>
      </x:c>
      <x:c r="H18" s="32" t="n">
        <x:v>42</x:v>
      </x:c>
      <x:c r="I18" s="32" t="n">
        <x:v>45</x:v>
      </x:c>
      <x:c r="J18" s="32" t="n">
        <x:v>42</x:v>
      </x:c>
      <x:c r="K18" s="30" t="n">
        <x:v>72197.4</x:v>
      </x:c>
      <x:c r="L18" s="32" t="n">
        <x:v>28415</x:v>
      </x:c>
      <x:c r="M18" s="36" t="n">
        <x:v>0.7902</x:v>
      </x:c>
      <x:c r="N18" s="32" t="n">
        <x:v>2</x:v>
      </x:c>
      <x:c r="O18" s="32" t="n">
        <x:v>2.6</x:v>
      </x:c>
    </x:row>
    <x:row r="19">
      <x:c r="A19" s="34" t="n">
        <x:v>45323</x:v>
      </x:c>
      <x:c r="B19" s="28" t="str">
        <x:v>Grupo Industrial S.A.</x:v>
      </x:c>
      <x:c r="C19" s="28" t="str">
        <x:v>Planta Curitiba</x:v>
      </x:c>
      <x:c r="D19" s="28" t="str">
        <x:v>NovaLog</x:v>
      </x:c>
      <x:c r="E19" s="28" t="str">
        <x:v>Curitiba-Centro-Oeste</x:v>
      </x:c>
      <x:c r="F19" s="28" t="str">
        <x:v>Sul</x:v>
      </x:c>
      <x:c r="G19" s="32" t="n">
        <x:v>48</x:v>
      </x:c>
      <x:c r="H19" s="32" t="n">
        <x:v>43</x:v>
      </x:c>
      <x:c r="I19" s="32" t="n">
        <x:v>46</x:v>
      </x:c>
      <x:c r="J19" s="32" t="n">
        <x:v>43</x:v>
      </x:c>
      <x:c r="K19" s="30" t="n">
        <x:v>69198.59</x:v>
      </x:c>
      <x:c r="L19" s="32" t="n">
        <x:v>26711</x:v>
      </x:c>
      <x:c r="M19" s="36" t="n">
        <x:v>0.7763</x:v>
      </x:c>
      <x:c r="N19" s="32" t="n">
        <x:v>2</x:v>
      </x:c>
      <x:c r="O19" s="32" t="n">
        <x:v>2.8</x:v>
      </x:c>
    </x:row>
    <x:row r="20">
      <x:c r="A20" s="34" t="n">
        <x:v>45352</x:v>
      </x:c>
      <x:c r="B20" s="28" t="str">
        <x:v>Grupo Industrial S.A.</x:v>
      </x:c>
      <x:c r="C20" s="28" t="str">
        <x:v>Planta São Paulo</x:v>
      </x:c>
      <x:c r="D20" s="28" t="str">
        <x:v>TransDados</x:v>
      </x:c>
      <x:c r="E20" s="28" t="str">
        <x:v>SP-Sudeste</x:v>
      </x:c>
      <x:c r="F20" s="28" t="str">
        <x:v>Sudeste</x:v>
      </x:c>
      <x:c r="G20" s="32" t="n">
        <x:v>36</x:v>
      </x:c>
      <x:c r="H20" s="32" t="n">
        <x:v>33</x:v>
      </x:c>
      <x:c r="I20" s="32" t="n">
        <x:v>35</x:v>
      </x:c>
      <x:c r="J20" s="32" t="n">
        <x:v>33</x:v>
      </x:c>
      <x:c r="K20" s="30" t="n">
        <x:v>66133.7</x:v>
      </x:c>
      <x:c r="L20" s="32" t="n">
        <x:v>28142</x:v>
      </x:c>
      <x:c r="M20" s="36" t="n">
        <x:v>0.8508</x:v>
      </x:c>
      <x:c r="N20" s="32" t="n">
        <x:v>1</x:v>
      </x:c>
      <x:c r="O20" s="32" t="n">
        <x:v>2.3</x:v>
      </x:c>
    </x:row>
    <x:row r="21">
      <x:c r="A21" s="34" t="n">
        <x:v>45352</x:v>
      </x:c>
      <x:c r="B21" s="28" t="str">
        <x:v>Grupo Industrial S.A.</x:v>
      </x:c>
      <x:c r="C21" s="28" t="str">
        <x:v>Planta São Paulo</x:v>
      </x:c>
      <x:c r="D21" s="28" t="str">
        <x:v>RápidoSul</x:v>
      </x:c>
      <x:c r="E21" s="28" t="str">
        <x:v>SP-Centro-Oeste</x:v>
      </x:c>
      <x:c r="F21" s="28" t="str">
        <x:v>Sudeste</x:v>
      </x:c>
      <x:c r="G21" s="32" t="n">
        <x:v>39</x:v>
      </x:c>
      <x:c r="H21" s="32" t="n">
        <x:v>37</x:v>
      </x:c>
      <x:c r="I21" s="32" t="n">
        <x:v>38</x:v>
      </x:c>
      <x:c r="J21" s="32" t="n">
        <x:v>37</x:v>
      </x:c>
      <x:c r="K21" s="30" t="n">
        <x:v>49476.48</x:v>
      </x:c>
      <x:c r="L21" s="32" t="n">
        <x:v>20641</x:v>
      </x:c>
      <x:c r="M21" s="36" t="n">
        <x:v>0.827</x:v>
      </x:c>
      <x:c r="N21" s="32" t="n">
        <x:v>1</x:v>
      </x:c>
      <x:c r="O21" s="32" t="n">
        <x:v>2.4</x:v>
      </x:c>
    </x:row>
    <x:row r="22">
      <x:c r="A22" s="34" t="n">
        <x:v>45352</x:v>
      </x:c>
      <x:c r="B22" s="28" t="str">
        <x:v>Grupo Industrial S.A.</x:v>
      </x:c>
      <x:c r="C22" s="28" t="str">
        <x:v>Planta São Paulo</x:v>
      </x:c>
      <x:c r="D22" s="28" t="str">
        <x:v>NovaLog</x:v>
      </x:c>
      <x:c r="E22" s="28" t="str">
        <x:v>SP-Nordeste</x:v>
      </x:c>
      <x:c r="F22" s="28" t="str">
        <x:v>Sudeste</x:v>
      </x:c>
      <x:c r="G22" s="32" t="n">
        <x:v>39</x:v>
      </x:c>
      <x:c r="H22" s="32" t="n">
        <x:v>37</x:v>
      </x:c>
      <x:c r="I22" s="32" t="n">
        <x:v>38</x:v>
      </x:c>
      <x:c r="J22" s="32" t="n">
        <x:v>37</x:v>
      </x:c>
      <x:c r="K22" s="30" t="n">
        <x:v>77039.77</x:v>
      </x:c>
      <x:c r="L22" s="32" t="n">
        <x:v>31522</x:v>
      </x:c>
      <x:c r="M22" s="36" t="n">
        <x:v>0.8085</x:v>
      </x:c>
      <x:c r="N22" s="32" t="n">
        <x:v>1</x:v>
      </x:c>
      <x:c r="O22" s="32" t="n">
        <x:v>2.6</x:v>
      </x:c>
    </x:row>
    <x:row r="23">
      <x:c r="A23" s="34" t="n">
        <x:v>45352</x:v>
      </x:c>
      <x:c r="B23" s="28" t="str">
        <x:v>Grupo Industrial S.A.</x:v>
      </x:c>
      <x:c r="C23" s="28" t="str">
        <x:v>Planta Campinas</x:v>
      </x:c>
      <x:c r="D23" s="28" t="str">
        <x:v>TransDados</x:v>
      </x:c>
      <x:c r="E23" s="28" t="str">
        <x:v>Campinas-Sudeste</x:v>
      </x:c>
      <x:c r="F23" s="28" t="str">
        <x:v>Sudeste</x:v>
      </x:c>
      <x:c r="G23" s="32" t="n">
        <x:v>45</x:v>
      </x:c>
      <x:c r="H23" s="32" t="n">
        <x:v>38</x:v>
      </x:c>
      <x:c r="I23" s="32" t="n">
        <x:v>42</x:v>
      </x:c>
      <x:c r="J23" s="32" t="n">
        <x:v>38</x:v>
      </x:c>
      <x:c r="K23" s="30" t="n">
        <x:v>85230.93</x:v>
      </x:c>
      <x:c r="L23" s="32" t="n">
        <x:v>30736</x:v>
      </x:c>
      <x:c r="M23" s="36" t="n">
        <x:v>0.7835</x:v>
      </x:c>
      <x:c r="N23" s="32" t="n">
        <x:v>4</x:v>
      </x:c>
      <x:c r="O23" s="32" t="n">
        <x:v>2.8</x:v>
      </x:c>
    </x:row>
    <x:row r="24">
      <x:c r="A24" s="34" t="n">
        <x:v>45352</x:v>
      </x:c>
      <x:c r="B24" s="28" t="str">
        <x:v>Grupo Industrial S.A.</x:v>
      </x:c>
      <x:c r="C24" s="28" t="str">
        <x:v>Planta Campinas</x:v>
      </x:c>
      <x:c r="D24" s="28" t="str">
        <x:v>RápidoSul</x:v>
      </x:c>
      <x:c r="E24" s="28" t="str">
        <x:v>Campinas-Norte</x:v>
      </x:c>
      <x:c r="F24" s="28" t="str">
        <x:v>Sudeste</x:v>
      </x:c>
      <x:c r="G24" s="32" t="n">
        <x:v>44</x:v>
      </x:c>
      <x:c r="H24" s="32" t="n">
        <x:v>39</x:v>
      </x:c>
      <x:c r="I24" s="32" t="n">
        <x:v>41</x:v>
      </x:c>
      <x:c r="J24" s="32" t="n">
        <x:v>39</x:v>
      </x:c>
      <x:c r="K24" s="30" t="n">
        <x:v>88115.01</x:v>
      </x:c>
      <x:c r="L24" s="32" t="n">
        <x:v>31153</x:v>
      </x:c>
      <x:c r="M24" s="36" t="n">
        <x:v>0.7807</x:v>
      </x:c>
      <x:c r="N24" s="32" t="n">
        <x:v>4</x:v>
      </x:c>
      <x:c r="O24" s="32" t="n">
        <x:v>2.9</x:v>
      </x:c>
    </x:row>
    <x:row r="25">
      <x:c r="A25" s="34" t="n">
        <x:v>45352</x:v>
      </x:c>
      <x:c r="B25" s="28" t="str">
        <x:v>Grupo Industrial S.A.</x:v>
      </x:c>
      <x:c r="C25" s="28" t="str">
        <x:v>Planta Campinas</x:v>
      </x:c>
      <x:c r="D25" s="28" t="str">
        <x:v>NovaLog</x:v>
      </x:c>
      <x:c r="E25" s="28" t="str">
        <x:v>Campinas-Nordeste</x:v>
      </x:c>
      <x:c r="F25" s="28" t="str">
        <x:v>Sudeste</x:v>
      </x:c>
      <x:c r="G25" s="32" t="n">
        <x:v>35</x:v>
      </x:c>
      <x:c r="H25" s="32" t="n">
        <x:v>30</x:v>
      </x:c>
      <x:c r="I25" s="32" t="n">
        <x:v>33</x:v>
      </x:c>
      <x:c r="J25" s="32" t="n">
        <x:v>30</x:v>
      </x:c>
      <x:c r="K25" s="30" t="n">
        <x:v>55328.01</x:v>
      </x:c>
      <x:c r="L25" s="32" t="n">
        <x:v>19185</x:v>
      </x:c>
      <x:c r="M25" s="36" t="n">
        <x:v>0.7671</x:v>
      </x:c>
      <x:c r="N25" s="32" t="n">
        <x:v>3</x:v>
      </x:c>
      <x:c r="O25" s="32" t="n">
        <x:v>3.1</x:v>
      </x:c>
    </x:row>
    <x:row r="26">
      <x:c r="A26" s="34" t="n">
        <x:v>45352</x:v>
      </x:c>
      <x:c r="B26" s="28" t="str">
        <x:v>Grupo Industrial S.A.</x:v>
      </x:c>
      <x:c r="C26" s="28" t="str">
        <x:v>Planta Curitiba</x:v>
      </x:c>
      <x:c r="D26" s="28" t="str">
        <x:v>TransDados</x:v>
      </x:c>
      <x:c r="E26" s="28" t="str">
        <x:v>Curitiba-Sul</x:v>
      </x:c>
      <x:c r="F26" s="28" t="str">
        <x:v>Sul</x:v>
      </x:c>
      <x:c r="G26" s="32" t="n">
        <x:v>39</x:v>
      </x:c>
      <x:c r="H26" s="32" t="n">
        <x:v>35</x:v>
      </x:c>
      <x:c r="I26" s="32" t="n">
        <x:v>38</x:v>
      </x:c>
      <x:c r="J26" s="32" t="n">
        <x:v>35</x:v>
      </x:c>
      <x:c r="K26" s="30" t="n">
        <x:v>56814.73</x:v>
      </x:c>
      <x:c r="L26" s="32" t="n">
        <x:v>22808</x:v>
      </x:c>
      <x:c r="M26" s="36" t="n">
        <x:v>0.8004</x:v>
      </x:c>
      <x:c r="N26" s="32" t="n">
        <x:v>1</x:v>
      </x:c>
      <x:c r="O26" s="32" t="n">
        <x:v>2.5</x:v>
      </x:c>
    </x:row>
    <x:row r="27">
      <x:c r="A27" s="34" t="n">
        <x:v>45352</x:v>
      </x:c>
      <x:c r="B27" s="28" t="str">
        <x:v>Grupo Industrial S.A.</x:v>
      </x:c>
      <x:c r="C27" s="28" t="str">
        <x:v>Planta Curitiba</x:v>
      </x:c>
      <x:c r="D27" s="28" t="str">
        <x:v>RápidoSul</x:v>
      </x:c>
      <x:c r="E27" s="28" t="str">
        <x:v>Curitiba-Sudeste</x:v>
      </x:c>
      <x:c r="F27" s="28" t="str">
        <x:v>Sul</x:v>
      </x:c>
      <x:c r="G27" s="32" t="n">
        <x:v>47</x:v>
      </x:c>
      <x:c r="H27" s="32" t="n">
        <x:v>42</x:v>
      </x:c>
      <x:c r="I27" s="32" t="n">
        <x:v>45</x:v>
      </x:c>
      <x:c r="J27" s="32" t="n">
        <x:v>42</x:v>
      </x:c>
      <x:c r="K27" s="30" t="n">
        <x:v>72060.2</x:v>
      </x:c>
      <x:c r="L27" s="32" t="n">
        <x:v>28361</x:v>
      </x:c>
      <x:c r="M27" s="36" t="n">
        <x:v>0.7808</x:v>
      </x:c>
      <x:c r="N27" s="32" t="n">
        <x:v>2</x:v>
      </x:c>
      <x:c r="O27" s="32" t="n">
        <x:v>2.6</x:v>
      </x:c>
    </x:row>
    <x:row r="28">
      <x:c r="A28" s="34" t="n">
        <x:v>45352</x:v>
      </x:c>
      <x:c r="B28" s="28" t="str">
        <x:v>Grupo Industrial S.A.</x:v>
      </x:c>
      <x:c r="C28" s="28" t="str">
        <x:v>Planta Curitiba</x:v>
      </x:c>
      <x:c r="D28" s="28" t="str">
        <x:v>NovaLog</x:v>
      </x:c>
      <x:c r="E28" s="28" t="str">
        <x:v>Curitiba-Centro-Oeste</x:v>
      </x:c>
      <x:c r="F28" s="28" t="str">
        <x:v>Sul</x:v>
      </x:c>
      <x:c r="G28" s="32" t="n">
        <x:v>33</x:v>
      </x:c>
      <x:c r="H28" s="32" t="n">
        <x:v>29</x:v>
      </x:c>
      <x:c r="I28" s="32" t="n">
        <x:v>32</x:v>
      </x:c>
      <x:c r="J28" s="32" t="n">
        <x:v>29</x:v>
      </x:c>
      <x:c r="K28" s="30" t="n">
        <x:v>78509.35</x:v>
      </x:c>
      <x:c r="L28" s="32" t="n">
        <x:v>30305</x:v>
      </x:c>
      <x:c r="M28" s="36" t="n">
        <x:v>0.7953</x:v>
      </x:c>
      <x:c r="N28" s="32" t="n">
        <x:v>1</x:v>
      </x:c>
      <x:c r="O28" s="32" t="n">
        <x:v>2.8</x:v>
      </x:c>
    </x:row>
    <x:row r="29">
      <x:c r="A29" s="34" t="n">
        <x:v>45383</x:v>
      </x:c>
      <x:c r="B29" s="28" t="str">
        <x:v>Grupo Industrial S.A.</x:v>
      </x:c>
      <x:c r="C29" s="28" t="str">
        <x:v>Planta São Paulo</x:v>
      </x:c>
      <x:c r="D29" s="28" t="str">
        <x:v>TransDados</x:v>
      </x:c>
      <x:c r="E29" s="28" t="str">
        <x:v>SP-Sudeste</x:v>
      </x:c>
      <x:c r="F29" s="28" t="str">
        <x:v>Sudeste</x:v>
      </x:c>
      <x:c r="G29" s="32" t="n">
        <x:v>34</x:v>
      </x:c>
      <x:c r="H29" s="32" t="n">
        <x:v>32</x:v>
      </x:c>
      <x:c r="I29" s="32" t="n">
        <x:v>33</x:v>
      </x:c>
      <x:c r="J29" s="32" t="n">
        <x:v>32</x:v>
      </x:c>
      <x:c r="K29" s="30" t="n">
        <x:v>62557</x:v>
      </x:c>
      <x:c r="L29" s="32" t="n">
        <x:v>26620</x:v>
      </x:c>
      <x:c r="M29" s="36" t="n">
        <x:v>0.8482</x:v>
      </x:c>
      <x:c r="N29" s="32" t="n">
        <x:v>1</x:v>
      </x:c>
      <x:c r="O29" s="32" t="n">
        <x:v>2.3</x:v>
      </x:c>
    </x:row>
    <x:row r="30">
      <x:c r="A30" s="34" t="n">
        <x:v>45383</x:v>
      </x:c>
      <x:c r="B30" s="28" t="str">
        <x:v>Grupo Industrial S.A.</x:v>
      </x:c>
      <x:c r="C30" s="28" t="str">
        <x:v>Planta São Paulo</x:v>
      </x:c>
      <x:c r="D30" s="28" t="str">
        <x:v>RápidoSul</x:v>
      </x:c>
      <x:c r="E30" s="28" t="str">
        <x:v>SP-Centro-Oeste</x:v>
      </x:c>
      <x:c r="F30" s="28" t="str">
        <x:v>Sudeste</x:v>
      </x:c>
      <x:c r="G30" s="32" t="n">
        <x:v>34</x:v>
      </x:c>
      <x:c r="H30" s="32" t="n">
        <x:v>32</x:v>
      </x:c>
      <x:c r="I30" s="32" t="n">
        <x:v>33</x:v>
      </x:c>
      <x:c r="J30" s="32" t="n">
        <x:v>32</x:v>
      </x:c>
      <x:c r="K30" s="30" t="n">
        <x:v>54620.44</x:v>
      </x:c>
      <x:c r="L30" s="32" t="n">
        <x:v>22787</x:v>
      </x:c>
      <x:c r="M30" s="36" t="n">
        <x:v>0.8392</x:v>
      </x:c>
      <x:c r="N30" s="32" t="n">
        <x:v>1</x:v>
      </x:c>
      <x:c r="O30" s="32" t="n">
        <x:v>2.4</x:v>
      </x:c>
    </x:row>
    <x:row r="31">
      <x:c r="A31" s="34" t="n">
        <x:v>45383</x:v>
      </x:c>
      <x:c r="B31" s="28" t="str">
        <x:v>Grupo Industrial S.A.</x:v>
      </x:c>
      <x:c r="C31" s="28" t="str">
        <x:v>Planta São Paulo</x:v>
      </x:c>
      <x:c r="D31" s="28" t="str">
        <x:v>NovaLog</x:v>
      </x:c>
      <x:c r="E31" s="28" t="str">
        <x:v>SP-Nordeste</x:v>
      </x:c>
      <x:c r="F31" s="28" t="str">
        <x:v>Sudeste</x:v>
      </x:c>
      <x:c r="G31" s="32" t="n">
        <x:v>47</x:v>
      </x:c>
      <x:c r="H31" s="32" t="n">
        <x:v>44</x:v>
      </x:c>
      <x:c r="I31" s="32" t="n">
        <x:v>46</x:v>
      </x:c>
      <x:c r="J31" s="32" t="n">
        <x:v>44</x:v>
      </x:c>
      <x:c r="K31" s="30" t="n">
        <x:v>46919.91</x:v>
      </x:c>
      <x:c r="L31" s="32" t="n">
        <x:v>19198</x:v>
      </x:c>
      <x:c r="M31" s="36" t="n">
        <x:v>0.8278</x:v>
      </x:c>
      <x:c r="N31" s="32" t="n">
        <x:v>2</x:v>
      </x:c>
      <x:c r="O31" s="32" t="n">
        <x:v>2.6</x:v>
      </x:c>
    </x:row>
    <x:row r="32">
      <x:c r="A32" s="34" t="n">
        <x:v>45383</x:v>
      </x:c>
      <x:c r="B32" s="28" t="str">
        <x:v>Grupo Industrial S.A.</x:v>
      </x:c>
      <x:c r="C32" s="28" t="str">
        <x:v>Planta Campinas</x:v>
      </x:c>
      <x:c r="D32" s="28" t="str">
        <x:v>TransDados</x:v>
      </x:c>
      <x:c r="E32" s="28" t="str">
        <x:v>Campinas-Sudeste</x:v>
      </x:c>
      <x:c r="F32" s="28" t="str">
        <x:v>Sudeste</x:v>
      </x:c>
      <x:c r="G32" s="32" t="n">
        <x:v>40</x:v>
      </x:c>
      <x:c r="H32" s="32" t="n">
        <x:v>35</x:v>
      </x:c>
      <x:c r="I32" s="32" t="n">
        <x:v>37</x:v>
      </x:c>
      <x:c r="J32" s="32" t="n">
        <x:v>35</x:v>
      </x:c>
      <x:c r="K32" s="30" t="n">
        <x:v>71077.54</x:v>
      </x:c>
      <x:c r="L32" s="32" t="n">
        <x:v>25632</x:v>
      </x:c>
      <x:c r="M32" s="36" t="n">
        <x:v>0.7769</x:v>
      </x:c>
      <x:c r="N32" s="32" t="n">
        <x:v>3</x:v>
      </x:c>
      <x:c r="O32" s="32" t="n">
        <x:v>2.8</x:v>
      </x:c>
    </x:row>
    <x:row r="33">
      <x:c r="A33" s="34" t="n">
        <x:v>45383</x:v>
      </x:c>
      <x:c r="B33" s="28" t="str">
        <x:v>Grupo Industrial S.A.</x:v>
      </x:c>
      <x:c r="C33" s="28" t="str">
        <x:v>Planta Campinas</x:v>
      </x:c>
      <x:c r="D33" s="28" t="str">
        <x:v>RápidoSul</x:v>
      </x:c>
      <x:c r="E33" s="28" t="str">
        <x:v>Campinas-Norte</x:v>
      </x:c>
      <x:c r="F33" s="28" t="str">
        <x:v>Sudeste</x:v>
      </x:c>
      <x:c r="G33" s="32" t="n">
        <x:v>45</x:v>
      </x:c>
      <x:c r="H33" s="32" t="n">
        <x:v>40</x:v>
      </x:c>
      <x:c r="I33" s="32" t="n">
        <x:v>42</x:v>
      </x:c>
      <x:c r="J33" s="32" t="n">
        <x:v>40</x:v>
      </x:c>
      <x:c r="K33" s="30" t="n">
        <x:v>82585.38</x:v>
      </x:c>
      <x:c r="L33" s="32" t="n">
        <x:v>29198</x:v>
      </x:c>
      <x:c r="M33" s="36" t="n">
        <x:v>0.7766</x:v>
      </x:c>
      <x:c r="N33" s="32" t="n">
        <x:v>4</x:v>
      </x:c>
      <x:c r="O33" s="32" t="n">
        <x:v>2.9</x:v>
      </x:c>
    </x:row>
    <x:row r="34">
      <x:c r="A34" s="34" t="n">
        <x:v>45383</x:v>
      </x:c>
      <x:c r="B34" s="28" t="str">
        <x:v>Grupo Industrial S.A.</x:v>
      </x:c>
      <x:c r="C34" s="28" t="str">
        <x:v>Planta Campinas</x:v>
      </x:c>
      <x:c r="D34" s="28" t="str">
        <x:v>NovaLog</x:v>
      </x:c>
      <x:c r="E34" s="28" t="str">
        <x:v>Campinas-Nordeste</x:v>
      </x:c>
      <x:c r="F34" s="28" t="str">
        <x:v>Sudeste</x:v>
      </x:c>
      <x:c r="G34" s="32" t="n">
        <x:v>47</x:v>
      </x:c>
      <x:c r="H34" s="32" t="n">
        <x:v>41</x:v>
      </x:c>
      <x:c r="I34" s="32" t="n">
        <x:v>45</x:v>
      </x:c>
      <x:c r="J34" s="32" t="n">
        <x:v>41</x:v>
      </x:c>
      <x:c r="K34" s="30" t="n">
        <x:v>53456.34</x:v>
      </x:c>
      <x:c r="L34" s="32" t="n">
        <x:v>18536</x:v>
      </x:c>
      <x:c r="M34" s="36" t="n">
        <x:v>0.7373</x:v>
      </x:c>
      <x:c r="N34" s="32" t="n">
        <x:v>4</x:v>
      </x:c>
      <x:c r="O34" s="32" t="n">
        <x:v>3.1</x:v>
      </x:c>
    </x:row>
    <x:row r="35">
      <x:c r="A35" s="34" t="n">
        <x:v>45383</x:v>
      </x:c>
      <x:c r="B35" s="28" t="str">
        <x:v>Grupo Industrial S.A.</x:v>
      </x:c>
      <x:c r="C35" s="28" t="str">
        <x:v>Planta Curitiba</x:v>
      </x:c>
      <x:c r="D35" s="28" t="str">
        <x:v>TransDados</x:v>
      </x:c>
      <x:c r="E35" s="28" t="str">
        <x:v>Curitiba-Sul</x:v>
      </x:c>
      <x:c r="F35" s="28" t="str">
        <x:v>Sul</x:v>
      </x:c>
      <x:c r="G35" s="32" t="n">
        <x:v>37</x:v>
      </x:c>
      <x:c r="H35" s="32" t="n">
        <x:v>33</x:v>
      </x:c>
      <x:c r="I35" s="32" t="n">
        <x:v>35</x:v>
      </x:c>
      <x:c r="J35" s="32" t="n">
        <x:v>33</x:v>
      </x:c>
      <x:c r="K35" s="30" t="n">
        <x:v>69239.84</x:v>
      </x:c>
      <x:c r="L35" s="32" t="n">
        <x:v>27796</x:v>
      </x:c>
      <x:c r="M35" s="36" t="n">
        <x:v>0.7868</x:v>
      </x:c>
      <x:c r="N35" s="32" t="n">
        <x:v>1</x:v>
      </x:c>
      <x:c r="O35" s="32" t="n">
        <x:v>2.5</x:v>
      </x:c>
    </x:row>
    <x:row r="36">
      <x:c r="A36" s="34" t="n">
        <x:v>45383</x:v>
      </x:c>
      <x:c r="B36" s="28" t="str">
        <x:v>Grupo Industrial S.A.</x:v>
      </x:c>
      <x:c r="C36" s="28" t="str">
        <x:v>Planta Curitiba</x:v>
      </x:c>
      <x:c r="D36" s="28" t="str">
        <x:v>RápidoSul</x:v>
      </x:c>
      <x:c r="E36" s="28" t="str">
        <x:v>Curitiba-Sudeste</x:v>
      </x:c>
      <x:c r="F36" s="28" t="str">
        <x:v>Sul</x:v>
      </x:c>
      <x:c r="G36" s="32" t="n">
        <x:v>39</x:v>
      </x:c>
      <x:c r="H36" s="32" t="n">
        <x:v>36</x:v>
      </x:c>
      <x:c r="I36" s="32" t="n">
        <x:v>37</x:v>
      </x:c>
      <x:c r="J36" s="32" t="n">
        <x:v>36</x:v>
      </x:c>
      <x:c r="K36" s="30" t="n">
        <x:v>48494.09</x:v>
      </x:c>
      <x:c r="L36" s="32" t="n">
        <x:v>19086</x:v>
      </x:c>
      <x:c r="M36" s="36" t="n">
        <x:v>0.7825</x:v>
      </x:c>
      <x:c r="N36" s="32" t="n">
        <x:v>1</x:v>
      </x:c>
      <x:c r="O36" s="32" t="n">
        <x:v>2.6</x:v>
      </x:c>
    </x:row>
    <x:row r="37">
      <x:c r="A37" s="34" t="n">
        <x:v>45383</x:v>
      </x:c>
      <x:c r="B37" s="28" t="str">
        <x:v>Grupo Industrial S.A.</x:v>
      </x:c>
      <x:c r="C37" s="28" t="str">
        <x:v>Planta Curitiba</x:v>
      </x:c>
      <x:c r="D37" s="28" t="str">
        <x:v>NovaLog</x:v>
      </x:c>
      <x:c r="E37" s="28" t="str">
        <x:v>Curitiba-Centro-Oeste</x:v>
      </x:c>
      <x:c r="F37" s="28" t="str">
        <x:v>Sul</x:v>
      </x:c>
      <x:c r="G37" s="32" t="n">
        <x:v>33</x:v>
      </x:c>
      <x:c r="H37" s="32" t="n">
        <x:v>30</x:v>
      </x:c>
      <x:c r="I37" s="32" t="n">
        <x:v>32</x:v>
      </x:c>
      <x:c r="J37" s="32" t="n">
        <x:v>30</x:v>
      </x:c>
      <x:c r="K37" s="30" t="n">
        <x:v>77690.7</x:v>
      </x:c>
      <x:c r="L37" s="32" t="n">
        <x:v>29989</x:v>
      </x:c>
      <x:c r="M37" s="36" t="n">
        <x:v>0.7792</x:v>
      </x:c>
      <x:c r="N37" s="32" t="n">
        <x:v>1</x:v>
      </x:c>
      <x:c r="O37" s="32" t="n">
        <x:v>2.8</x:v>
      </x:c>
    </x:row>
    <x:row r="38">
      <x:c r="A38" s="34" t="n">
        <x:v>45413</x:v>
      </x:c>
      <x:c r="B38" s="28" t="str">
        <x:v>Grupo Industrial S.A.</x:v>
      </x:c>
      <x:c r="C38" s="28" t="str">
        <x:v>Planta São Paulo</x:v>
      </x:c>
      <x:c r="D38" s="28" t="str">
        <x:v>TransDados</x:v>
      </x:c>
      <x:c r="E38" s="28" t="str">
        <x:v>SP-Sudeste</x:v>
      </x:c>
      <x:c r="F38" s="28" t="str">
        <x:v>Sudeste</x:v>
      </x:c>
      <x:c r="G38" s="32" t="n">
        <x:v>32</x:v>
      </x:c>
      <x:c r="H38" s="32" t="n">
        <x:v>30</x:v>
      </x:c>
      <x:c r="I38" s="32" t="n">
        <x:v>31</x:v>
      </x:c>
      <x:c r="J38" s="32" t="n">
        <x:v>30</x:v>
      </x:c>
      <x:c r="K38" s="30" t="n">
        <x:v>62305.55</x:v>
      </x:c>
      <x:c r="L38" s="32" t="n">
        <x:v>26513</x:v>
      </x:c>
      <x:c r="M38" s="36" t="n">
        <x:v>0.8484</x:v>
      </x:c>
      <x:c r="N38" s="32" t="n">
        <x:v>1</x:v>
      </x:c>
      <x:c r="O38" s="32" t="n">
        <x:v>2.3</x:v>
      </x:c>
    </x:row>
    <x:row r="39">
      <x:c r="A39" s="34" t="n">
        <x:v>45413</x:v>
      </x:c>
      <x:c r="B39" s="28" t="str">
        <x:v>Grupo Industrial S.A.</x:v>
      </x:c>
      <x:c r="C39" s="28" t="str">
        <x:v>Planta São Paulo</x:v>
      </x:c>
      <x:c r="D39" s="28" t="str">
        <x:v>RápidoSul</x:v>
      </x:c>
      <x:c r="E39" s="28" t="str">
        <x:v>SP-Centro-Oeste</x:v>
      </x:c>
      <x:c r="F39" s="28" t="str">
        <x:v>Sudeste</x:v>
      </x:c>
      <x:c r="G39" s="32" t="n">
        <x:v>45</x:v>
      </x:c>
      <x:c r="H39" s="32" t="n">
        <x:v>42</x:v>
      </x:c>
      <x:c r="I39" s="32" t="n">
        <x:v>43</x:v>
      </x:c>
      <x:c r="J39" s="32" t="n">
        <x:v>42</x:v>
      </x:c>
      <x:c r="K39" s="30" t="n">
        <x:v>76169.47</x:v>
      </x:c>
      <x:c r="L39" s="32" t="n">
        <x:v>31777</x:v>
      </x:c>
      <x:c r="M39" s="36" t="n">
        <x:v>0.8519</x:v>
      </x:c>
      <x:c r="N39" s="32" t="n">
        <x:v>2</x:v>
      </x:c>
      <x:c r="O39" s="32" t="n">
        <x:v>2.4</x:v>
      </x:c>
    </x:row>
    <x:row r="40">
      <x:c r="A40" s="34" t="n">
        <x:v>45413</x:v>
      </x:c>
      <x:c r="B40" s="28" t="str">
        <x:v>Grupo Industrial S.A.</x:v>
      </x:c>
      <x:c r="C40" s="28" t="str">
        <x:v>Planta São Paulo</x:v>
      </x:c>
      <x:c r="D40" s="28" t="str">
        <x:v>NovaLog</x:v>
      </x:c>
      <x:c r="E40" s="28" t="str">
        <x:v>SP-Nordeste</x:v>
      </x:c>
      <x:c r="F40" s="28" t="str">
        <x:v>Sudeste</x:v>
      </x:c>
      <x:c r="G40" s="32" t="n">
        <x:v>32</x:v>
      </x:c>
      <x:c r="H40" s="32" t="n">
        <x:v>30</x:v>
      </x:c>
      <x:c r="I40" s="32" t="n">
        <x:v>31</x:v>
      </x:c>
      <x:c r="J40" s="32" t="n">
        <x:v>30</x:v>
      </x:c>
      <x:c r="K40" s="30" t="n">
        <x:v>73227.13</x:v>
      </x:c>
      <x:c r="L40" s="32" t="n">
        <x:v>29962</x:v>
      </x:c>
      <x:c r="M40" s="36" t="n">
        <x:v>0.8153</x:v>
      </x:c>
      <x:c r="N40" s="32" t="n">
        <x:v>1</x:v>
      </x:c>
      <x:c r="O40" s="32" t="n">
        <x:v>2.6</x:v>
      </x:c>
    </x:row>
    <x:row r="41">
      <x:c r="A41" s="34" t="n">
        <x:v>45413</x:v>
      </x:c>
      <x:c r="B41" s="28" t="str">
        <x:v>Grupo Industrial S.A.</x:v>
      </x:c>
      <x:c r="C41" s="28" t="str">
        <x:v>Planta Campinas</x:v>
      </x:c>
      <x:c r="D41" s="28" t="str">
        <x:v>TransDados</x:v>
      </x:c>
      <x:c r="E41" s="28" t="str">
        <x:v>Campinas-Sudeste</x:v>
      </x:c>
      <x:c r="F41" s="28" t="str">
        <x:v>Sudeste</x:v>
      </x:c>
      <x:c r="G41" s="32" t="n">
        <x:v>40</x:v>
      </x:c>
      <x:c r="H41" s="32" t="n">
        <x:v>34</x:v>
      </x:c>
      <x:c r="I41" s="32" t="n">
        <x:v>37</x:v>
      </x:c>
      <x:c r="J41" s="32" t="n">
        <x:v>34</x:v>
      </x:c>
      <x:c r="K41" s="30" t="n">
        <x:v>68010.6</x:v>
      </x:c>
      <x:c r="L41" s="32" t="n">
        <x:v>24526</x:v>
      </x:c>
      <x:c r="M41" s="36" t="n">
        <x:v>0.7404</x:v>
      </x:c>
      <x:c r="N41" s="32" t="n">
        <x:v>3</x:v>
      </x:c>
      <x:c r="O41" s="32" t="n">
        <x:v>2.8</x:v>
      </x:c>
    </x:row>
    <x:row r="42">
      <x:c r="A42" s="34" t="n">
        <x:v>45413</x:v>
      </x:c>
      <x:c r="B42" s="28" t="str">
        <x:v>Grupo Industrial S.A.</x:v>
      </x:c>
      <x:c r="C42" s="28" t="str">
        <x:v>Planta Campinas</x:v>
      </x:c>
      <x:c r="D42" s="28" t="str">
        <x:v>RápidoSul</x:v>
      </x:c>
      <x:c r="E42" s="28" t="str">
        <x:v>Campinas-Norte</x:v>
      </x:c>
      <x:c r="F42" s="28" t="str">
        <x:v>Sudeste</x:v>
      </x:c>
      <x:c r="G42" s="32" t="n">
        <x:v>45</x:v>
      </x:c>
      <x:c r="H42" s="32" t="n">
        <x:v>40</x:v>
      </x:c>
      <x:c r="I42" s="32" t="n">
        <x:v>42</x:v>
      </x:c>
      <x:c r="J42" s="32" t="n">
        <x:v>40</x:v>
      </x:c>
      <x:c r="K42" s="30" t="n">
        <x:v>86819.58</x:v>
      </x:c>
      <x:c r="L42" s="32" t="n">
        <x:v>30695</x:v>
      </x:c>
      <x:c r="M42" s="36" t="n">
        <x:v>0.739</x:v>
      </x:c>
      <x:c r="N42" s="32" t="n">
        <x:v>4</x:v>
      </x:c>
      <x:c r="O42" s="32" t="n">
        <x:v>2.9</x:v>
      </x:c>
    </x:row>
    <x:row r="43">
      <x:c r="A43" s="34" t="n">
        <x:v>45413</x:v>
      </x:c>
      <x:c r="B43" s="28" t="str">
        <x:v>Grupo Industrial S.A.</x:v>
      </x:c>
      <x:c r="C43" s="28" t="str">
        <x:v>Planta Campinas</x:v>
      </x:c>
      <x:c r="D43" s="28" t="str">
        <x:v>NovaLog</x:v>
      </x:c>
      <x:c r="E43" s="28" t="str">
        <x:v>Campinas-Nordeste</x:v>
      </x:c>
      <x:c r="F43" s="28" t="str">
        <x:v>Sudeste</x:v>
      </x:c>
      <x:c r="G43" s="32" t="n">
        <x:v>47</x:v>
      </x:c>
      <x:c r="H43" s="32" t="n">
        <x:v>41</x:v>
      </x:c>
      <x:c r="I43" s="32" t="n">
        <x:v>44</x:v>
      </x:c>
      <x:c r="J43" s="32" t="n">
        <x:v>41</x:v>
      </x:c>
      <x:c r="K43" s="30" t="n">
        <x:v>78814.65</x:v>
      </x:c>
      <x:c r="L43" s="32" t="n">
        <x:v>27329</x:v>
      </x:c>
      <x:c r="M43" s="36" t="n">
        <x:v>0.7626</x:v>
      </x:c>
      <x:c r="N43" s="32" t="n">
        <x:v>4</x:v>
      </x:c>
      <x:c r="O43" s="32" t="n">
        <x:v>3.1</x:v>
      </x:c>
    </x:row>
    <x:row r="44">
      <x:c r="A44" s="34" t="n">
        <x:v>45413</x:v>
      </x:c>
      <x:c r="B44" s="28" t="str">
        <x:v>Grupo Industrial S.A.</x:v>
      </x:c>
      <x:c r="C44" s="28" t="str">
        <x:v>Planta Curitiba</x:v>
      </x:c>
      <x:c r="D44" s="28" t="str">
        <x:v>TransDados</x:v>
      </x:c>
      <x:c r="E44" s="28" t="str">
        <x:v>Curitiba-Sul</x:v>
      </x:c>
      <x:c r="F44" s="28" t="str">
        <x:v>Sul</x:v>
      </x:c>
      <x:c r="G44" s="32" t="n">
        <x:v>44</x:v>
      </x:c>
      <x:c r="H44" s="32" t="n">
        <x:v>40</x:v>
      </x:c>
      <x:c r="I44" s="32" t="n">
        <x:v>43</x:v>
      </x:c>
      <x:c r="J44" s="32" t="n">
        <x:v>40</x:v>
      </x:c>
      <x:c r="K44" s="30" t="n">
        <x:v>74022.56</x:v>
      </x:c>
      <x:c r="L44" s="32" t="n">
        <x:v>29716</x:v>
      </x:c>
      <x:c r="M44" s="36" t="n">
        <x:v>0.7997</x:v>
      </x:c>
      <x:c r="N44" s="32" t="n">
        <x:v>2</x:v>
      </x:c>
      <x:c r="O44" s="32" t="n">
        <x:v>2.5</x:v>
      </x:c>
    </x:row>
    <x:row r="45">
      <x:c r="A45" s="34" t="n">
        <x:v>45413</x:v>
      </x:c>
      <x:c r="B45" s="28" t="str">
        <x:v>Grupo Industrial S.A.</x:v>
      </x:c>
      <x:c r="C45" s="28" t="str">
        <x:v>Planta Curitiba</x:v>
      </x:c>
      <x:c r="D45" s="28" t="str">
        <x:v>RápidoSul</x:v>
      </x:c>
      <x:c r="E45" s="28" t="str">
        <x:v>Curitiba-Sudeste</x:v>
      </x:c>
      <x:c r="F45" s="28" t="str">
        <x:v>Sul</x:v>
      </x:c>
      <x:c r="G45" s="32" t="n">
        <x:v>48</x:v>
      </x:c>
      <x:c r="H45" s="32" t="n">
        <x:v>43</x:v>
      </x:c>
      <x:c r="I45" s="32" t="n">
        <x:v>47</x:v>
      </x:c>
      <x:c r="J45" s="32" t="n">
        <x:v>43</x:v>
      </x:c>
      <x:c r="K45" s="30" t="n">
        <x:v>71285.25</x:v>
      </x:c>
      <x:c r="L45" s="32" t="n">
        <x:v>28056</x:v>
      </x:c>
      <x:c r="M45" s="36" t="n">
        <x:v>0.7946</x:v>
      </x:c>
      <x:c r="N45" s="32" t="n">
        <x:v>2</x:v>
      </x:c>
      <x:c r="O45" s="32" t="n">
        <x:v>2.6</x:v>
      </x:c>
    </x:row>
    <x:row r="46">
      <x:c r="A46" s="34" t="n">
        <x:v>45413</x:v>
      </x:c>
      <x:c r="B46" s="28" t="str">
        <x:v>Grupo Industrial S.A.</x:v>
      </x:c>
      <x:c r="C46" s="28" t="str">
        <x:v>Planta Curitiba</x:v>
      </x:c>
      <x:c r="D46" s="28" t="str">
        <x:v>NovaLog</x:v>
      </x:c>
      <x:c r="E46" s="28" t="str">
        <x:v>Curitiba-Centro-Oeste</x:v>
      </x:c>
      <x:c r="F46" s="28" t="str">
        <x:v>Sul</x:v>
      </x:c>
      <x:c r="G46" s="32" t="n">
        <x:v>32</x:v>
      </x:c>
      <x:c r="H46" s="32" t="n">
        <x:v>29</x:v>
      </x:c>
      <x:c r="I46" s="32" t="n">
        <x:v>31</x:v>
      </x:c>
      <x:c r="J46" s="32" t="n">
        <x:v>29</x:v>
      </x:c>
      <x:c r="K46" s="30" t="n">
        <x:v>54369.76</x:v>
      </x:c>
      <x:c r="L46" s="32" t="n">
        <x:v>20987</x:v>
      </x:c>
      <x:c r="M46" s="36" t="n">
        <x:v>0.7861</x:v>
      </x:c>
      <x:c r="N46" s="32" t="n">
        <x:v>1</x:v>
      </x:c>
      <x:c r="O46" s="32" t="n">
        <x:v>2.8</x:v>
      </x:c>
    </x:row>
    <x:row r="47">
      <x:c r="A47" s="34" t="n">
        <x:v>45444</x:v>
      </x:c>
      <x:c r="B47" s="28" t="str">
        <x:v>Grupo Industrial S.A.</x:v>
      </x:c>
      <x:c r="C47" s="28" t="str">
        <x:v>Planta São Paulo</x:v>
      </x:c>
      <x:c r="D47" s="28" t="str">
        <x:v>TransDados</x:v>
      </x:c>
      <x:c r="E47" s="28" t="str">
        <x:v>SP-Sudeste</x:v>
      </x:c>
      <x:c r="F47" s="28" t="str">
        <x:v>Sudeste</x:v>
      </x:c>
      <x:c r="G47" s="32" t="n">
        <x:v>41</x:v>
      </x:c>
      <x:c r="H47" s="32" t="n">
        <x:v>38</x:v>
      </x:c>
      <x:c r="I47" s="32" t="n">
        <x:v>40</x:v>
      </x:c>
      <x:c r="J47" s="32" t="n">
        <x:v>38</x:v>
      </x:c>
      <x:c r="K47" s="30" t="n">
        <x:v>60912</x:v>
      </x:c>
      <x:c r="L47" s="32" t="n">
        <x:v>25920</x:v>
      </x:c>
      <x:c r="M47" s="36" t="n">
        <x:v>0.8101</x:v>
      </x:c>
      <x:c r="N47" s="32" t="n">
        <x:v>1</x:v>
      </x:c>
      <x:c r="O47" s="32" t="n">
        <x:v>2.3</x:v>
      </x:c>
    </x:row>
    <x:row r="48">
      <x:c r="A48" s="34" t="n">
        <x:v>45444</x:v>
      </x:c>
      <x:c r="B48" s="28" t="str">
        <x:v>Grupo Industrial S.A.</x:v>
      </x:c>
      <x:c r="C48" s="28" t="str">
        <x:v>Planta São Paulo</x:v>
      </x:c>
      <x:c r="D48" s="28" t="str">
        <x:v>RápidoSul</x:v>
      </x:c>
      <x:c r="E48" s="28" t="str">
        <x:v>SP-Centro-Oeste</x:v>
      </x:c>
      <x:c r="F48" s="28" t="str">
        <x:v>Sudeste</x:v>
      </x:c>
      <x:c r="G48" s="32" t="n">
        <x:v>33</x:v>
      </x:c>
      <x:c r="H48" s="32" t="n">
        <x:v>31</x:v>
      </x:c>
      <x:c r="I48" s="32" t="n">
        <x:v>32</x:v>
      </x:c>
      <x:c r="J48" s="32" t="n">
        <x:v>31</x:v>
      </x:c>
      <x:c r="K48" s="30" t="n">
        <x:v>45674.84</x:v>
      </x:c>
      <x:c r="L48" s="32" t="n">
        <x:v>19055</x:v>
      </x:c>
      <x:c r="M48" s="36" t="n">
        <x:v>0.8527</x:v>
      </x:c>
      <x:c r="N48" s="32" t="n">
        <x:v>1</x:v>
      </x:c>
      <x:c r="O48" s="32" t="n">
        <x:v>2.4</x:v>
      </x:c>
    </x:row>
    <x:row r="49">
      <x:c r="A49" s="34" t="n">
        <x:v>45444</x:v>
      </x:c>
      <x:c r="B49" s="28" t="str">
        <x:v>Grupo Industrial S.A.</x:v>
      </x:c>
      <x:c r="C49" s="28" t="str">
        <x:v>Planta São Paulo</x:v>
      </x:c>
      <x:c r="D49" s="28" t="str">
        <x:v>NovaLog</x:v>
      </x:c>
      <x:c r="E49" s="28" t="str">
        <x:v>SP-Nordeste</x:v>
      </x:c>
      <x:c r="F49" s="28" t="str">
        <x:v>Sudeste</x:v>
      </x:c>
      <x:c r="G49" s="32" t="n">
        <x:v>41</x:v>
      </x:c>
      <x:c r="H49" s="32" t="n">
        <x:v>38</x:v>
      </x:c>
      <x:c r="I49" s="32" t="n">
        <x:v>40</x:v>
      </x:c>
      <x:c r="J49" s="32" t="n">
        <x:v>38</x:v>
      </x:c>
      <x:c r="K49" s="30" t="n">
        <x:v>71694.74</x:v>
      </x:c>
      <x:c r="L49" s="32" t="n">
        <x:v>29335</x:v>
      </x:c>
      <x:c r="M49" s="36" t="n">
        <x:v>0.8186</x:v>
      </x:c>
      <x:c r="N49" s="32" t="n">
        <x:v>1</x:v>
      </x:c>
      <x:c r="O49" s="32" t="n">
        <x:v>2.6</x:v>
      </x:c>
    </x:row>
    <x:row r="50">
      <x:c r="A50" s="34" t="n">
        <x:v>45444</x:v>
      </x:c>
      <x:c r="B50" s="28" t="str">
        <x:v>Grupo Industrial S.A.</x:v>
      </x:c>
      <x:c r="C50" s="28" t="str">
        <x:v>Planta Campinas</x:v>
      </x:c>
      <x:c r="D50" s="28" t="str">
        <x:v>TransDados</x:v>
      </x:c>
      <x:c r="E50" s="28" t="str">
        <x:v>Campinas-Sudeste</x:v>
      </x:c>
      <x:c r="F50" s="28" t="str">
        <x:v>Sudeste</x:v>
      </x:c>
      <x:c r="G50" s="32" t="n">
        <x:v>33</x:v>
      </x:c>
      <x:c r="H50" s="32" t="n">
        <x:v>28</x:v>
      </x:c>
      <x:c r="I50" s="32" t="n">
        <x:v>31</x:v>
      </x:c>
      <x:c r="J50" s="32" t="n">
        <x:v>28</x:v>
      </x:c>
      <x:c r="K50" s="30" t="n">
        <x:v>87804.27</x:v>
      </x:c>
      <x:c r="L50" s="32" t="n">
        <x:v>31664</x:v>
      </x:c>
      <x:c r="M50" s="36" t="n">
        <x:v>0.7468</x:v>
      </x:c>
      <x:c r="N50" s="32" t="n">
        <x:v>3</x:v>
      </x:c>
      <x:c r="O50" s="32" t="n">
        <x:v>2.8</x:v>
      </x:c>
    </x:row>
    <x:row r="51">
      <x:c r="A51" s="34" t="n">
        <x:v>45444</x:v>
      </x:c>
      <x:c r="B51" s="28" t="str">
        <x:v>Grupo Industrial S.A.</x:v>
      </x:c>
      <x:c r="C51" s="28" t="str">
        <x:v>Planta Campinas</x:v>
      </x:c>
      <x:c r="D51" s="28" t="str">
        <x:v>RápidoSul</x:v>
      </x:c>
      <x:c r="E51" s="28" t="str">
        <x:v>Campinas-Norte</x:v>
      </x:c>
      <x:c r="F51" s="28" t="str">
        <x:v>Sudeste</x:v>
      </x:c>
      <x:c r="G51" s="32" t="n">
        <x:v>47</x:v>
      </x:c>
      <x:c r="H51" s="32" t="n">
        <x:v>40</x:v>
      </x:c>
      <x:c r="I51" s="32" t="n">
        <x:v>45</x:v>
      </x:c>
      <x:c r="J51" s="32" t="n">
        <x:v>40</x:v>
      </x:c>
      <x:c r="K51" s="30" t="n">
        <x:v>71164.05</x:v>
      </x:c>
      <x:c r="L51" s="32" t="n">
        <x:v>25160</x:v>
      </x:c>
      <x:c r="M51" s="36" t="n">
        <x:v>0.7558</x:v>
      </x:c>
      <x:c r="N51" s="32" t="n">
        <x:v>4</x:v>
      </x:c>
      <x:c r="O51" s="32" t="n">
        <x:v>2.9</x:v>
      </x:c>
    </x:row>
    <x:row r="52">
      <x:c r="A52" s="34" t="n">
        <x:v>45444</x:v>
      </x:c>
      <x:c r="B52" s="28" t="str">
        <x:v>Grupo Industrial S.A.</x:v>
      </x:c>
      <x:c r="C52" s="28" t="str">
        <x:v>Planta Campinas</x:v>
      </x:c>
      <x:c r="D52" s="28" t="str">
        <x:v>NovaLog</x:v>
      </x:c>
      <x:c r="E52" s="28" t="str">
        <x:v>Campinas-Nordeste</x:v>
      </x:c>
      <x:c r="F52" s="28" t="str">
        <x:v>Sudeste</x:v>
      </x:c>
      <x:c r="G52" s="32" t="n">
        <x:v>43</x:v>
      </x:c>
      <x:c r="H52" s="32" t="n">
        <x:v>37</x:v>
      </x:c>
      <x:c r="I52" s="32" t="n">
        <x:v>40</x:v>
      </x:c>
      <x:c r="J52" s="32" t="n">
        <x:v>37</x:v>
      </x:c>
      <x:c r="K52" s="30" t="n">
        <x:v>73104.49</x:v>
      </x:c>
      <x:c r="L52" s="32" t="n">
        <x:v>25349</x:v>
      </x:c>
      <x:c r="M52" s="36" t="n">
        <x:v>0.7705</x:v>
      </x:c>
      <x:c r="N52" s="32" t="n">
        <x:v>3</x:v>
      </x:c>
      <x:c r="O52" s="32" t="n">
        <x:v>3.1</x:v>
      </x:c>
    </x:row>
    <x:row r="53">
      <x:c r="A53" s="34" t="n">
        <x:v>45444</x:v>
      </x:c>
      <x:c r="B53" s="28" t="str">
        <x:v>Grupo Industrial S.A.</x:v>
      </x:c>
      <x:c r="C53" s="28" t="str">
        <x:v>Planta Curitiba</x:v>
      </x:c>
      <x:c r="D53" s="28" t="str">
        <x:v>TransDados</x:v>
      </x:c>
      <x:c r="E53" s="28" t="str">
        <x:v>Curitiba-Sul</x:v>
      </x:c>
      <x:c r="F53" s="28" t="str">
        <x:v>Sul</x:v>
      </x:c>
      <x:c r="G53" s="32" t="n">
        <x:v>41</x:v>
      </x:c>
      <x:c r="H53" s="32" t="n">
        <x:v>38</x:v>
      </x:c>
      <x:c r="I53" s="32" t="n">
        <x:v>40</x:v>
      </x:c>
      <x:c r="J53" s="32" t="n">
        <x:v>38</x:v>
      </x:c>
      <x:c r="K53" s="30" t="n">
        <x:v>54958.93</x:v>
      </x:c>
      <x:c r="L53" s="32" t="n">
        <x:v>22063</x:v>
      </x:c>
      <x:c r="M53" s="36" t="n">
        <x:v>0.7728</x:v>
      </x:c>
      <x:c r="N53" s="32" t="n">
        <x:v>1</x:v>
      </x:c>
      <x:c r="O53" s="32" t="n">
        <x:v>2.5</x:v>
      </x:c>
    </x:row>
    <x:row r="54">
      <x:c r="A54" s="34" t="n">
        <x:v>45444</x:v>
      </x:c>
      <x:c r="B54" s="28" t="str">
        <x:v>Grupo Industrial S.A.</x:v>
      </x:c>
      <x:c r="C54" s="28" t="str">
        <x:v>Planta Curitiba</x:v>
      </x:c>
      <x:c r="D54" s="28" t="str">
        <x:v>RápidoSul</x:v>
      </x:c>
      <x:c r="E54" s="28" t="str">
        <x:v>Curitiba-Sudeste</x:v>
      </x:c>
      <x:c r="F54" s="28" t="str">
        <x:v>Sul</x:v>
      </x:c>
      <x:c r="G54" s="32" t="n">
        <x:v>45</x:v>
      </x:c>
      <x:c r="H54" s="32" t="n">
        <x:v>41</x:v>
      </x:c>
      <x:c r="I54" s="32" t="n">
        <x:v>43</x:v>
      </x:c>
      <x:c r="J54" s="32" t="n">
        <x:v>41</x:v>
      </x:c>
      <x:c r="K54" s="30" t="n">
        <x:v>78427.49</x:v>
      </x:c>
      <x:c r="L54" s="32" t="n">
        <x:v>30867</x:v>
      </x:c>
      <x:c r="M54" s="36" t="n">
        <x:v>0.7823</x:v>
      </x:c>
      <x:c r="N54" s="32" t="n">
        <x:v>2</x:v>
      </x:c>
      <x:c r="O54" s="32" t="n">
        <x:v>2.6</x:v>
      </x:c>
    </x:row>
    <x:row r="55">
      <x:c r="A55" s="34" t="n">
        <x:v>45444</x:v>
      </x:c>
      <x:c r="B55" s="28" t="str">
        <x:v>Grupo Industrial S.A.</x:v>
      </x:c>
      <x:c r="C55" s="28" t="str">
        <x:v>Planta Curitiba</x:v>
      </x:c>
      <x:c r="D55" s="28" t="str">
        <x:v>NovaLog</x:v>
      </x:c>
      <x:c r="E55" s="28" t="str">
        <x:v>Curitiba-Centro-Oeste</x:v>
      </x:c>
      <x:c r="F55" s="28" t="str">
        <x:v>Sul</x:v>
      </x:c>
      <x:c r="G55" s="32" t="n">
        <x:v>43</x:v>
      </x:c>
      <x:c r="H55" s="32" t="n">
        <x:v>40</x:v>
      </x:c>
      <x:c r="I55" s="32" t="n">
        <x:v>42</x:v>
      </x:c>
      <x:c r="J55" s="32" t="n">
        <x:v>40</x:v>
      </x:c>
      <x:c r="K55" s="30" t="n">
        <x:v>59955.18</x:v>
      </x:c>
      <x:c r="L55" s="32" t="n">
        <x:v>23143</x:v>
      </x:c>
      <x:c r="M55" s="36" t="n">
        <x:v>0.7751</x:v>
      </x:c>
      <x:c r="N55" s="32" t="n">
        <x:v>2</x:v>
      </x:c>
      <x:c r="O55" s="32" t="n">
        <x:v>2.8</x:v>
      </x:c>
    </x:row>
    <x:row r="56">
      <x:c r="A56" s="34" t="n">
        <x:v>45474</x:v>
      </x:c>
      <x:c r="B56" s="28" t="str">
        <x:v>Grupo Industrial S.A.</x:v>
      </x:c>
      <x:c r="C56" s="28" t="str">
        <x:v>Planta São Paulo</x:v>
      </x:c>
      <x:c r="D56" s="28" t="str">
        <x:v>TransDados</x:v>
      </x:c>
      <x:c r="E56" s="28" t="str">
        <x:v>SP-Sudeste</x:v>
      </x:c>
      <x:c r="F56" s="28" t="str">
        <x:v>Sudeste</x:v>
      </x:c>
      <x:c r="G56" s="32" t="n">
        <x:v>48</x:v>
      </x:c>
      <x:c r="H56" s="32" t="n">
        <x:v>44</x:v>
      </x:c>
      <x:c r="I56" s="32" t="n">
        <x:v>47</x:v>
      </x:c>
      <x:c r="J56" s="32" t="n">
        <x:v>44</x:v>
      </x:c>
      <x:c r="K56" s="30" t="n">
        <x:v>68629.4</x:v>
      </x:c>
      <x:c r="L56" s="32" t="n">
        <x:v>29204</x:v>
      </x:c>
      <x:c r="M56" s="36" t="n">
        <x:v>0.8161</x:v>
      </x:c>
      <x:c r="N56" s="32" t="n">
        <x:v>2</x:v>
      </x:c>
      <x:c r="O56" s="32" t="n">
        <x:v>2.3</x:v>
      </x:c>
    </x:row>
    <x:row r="57">
      <x:c r="A57" s="34" t="n">
        <x:v>45474</x:v>
      </x:c>
      <x:c r="B57" s="28" t="str">
        <x:v>Grupo Industrial S.A.</x:v>
      </x:c>
      <x:c r="C57" s="28" t="str">
        <x:v>Planta São Paulo</x:v>
      </x:c>
      <x:c r="D57" s="28" t="str">
        <x:v>RápidoSul</x:v>
      </x:c>
      <x:c r="E57" s="28" t="str">
        <x:v>SP-Centro-Oeste</x:v>
      </x:c>
      <x:c r="F57" s="28" t="str">
        <x:v>Sudeste</x:v>
      </x:c>
      <x:c r="G57" s="32" t="n">
        <x:v>38</x:v>
      </x:c>
      <x:c r="H57" s="32" t="n">
        <x:v>36</x:v>
      </x:c>
      <x:c r="I57" s="32" t="n">
        <x:v>37</x:v>
      </x:c>
      <x:c r="J57" s="32" t="n">
        <x:v>36</x:v>
      </x:c>
      <x:c r="K57" s="30" t="n">
        <x:v>73480.04</x:v>
      </x:c>
      <x:c r="L57" s="32" t="n">
        <x:v>30655</x:v>
      </x:c>
      <x:c r="M57" s="36" t="n">
        <x:v>0.8337</x:v>
      </x:c>
      <x:c r="N57" s="32" t="n">
        <x:v>1</x:v>
      </x:c>
      <x:c r="O57" s="32" t="n">
        <x:v>2.4</x:v>
      </x:c>
    </x:row>
    <x:row r="58">
      <x:c r="A58" s="34" t="n">
        <x:v>45474</x:v>
      </x:c>
      <x:c r="B58" s="28" t="str">
        <x:v>Grupo Industrial S.A.</x:v>
      </x:c>
      <x:c r="C58" s="28" t="str">
        <x:v>Planta São Paulo</x:v>
      </x:c>
      <x:c r="D58" s="28" t="str">
        <x:v>NovaLog</x:v>
      </x:c>
      <x:c r="E58" s="28" t="str">
        <x:v>SP-Nordeste</x:v>
      </x:c>
      <x:c r="F58" s="28" t="str">
        <x:v>Sudeste</x:v>
      </x:c>
      <x:c r="G58" s="32" t="n">
        <x:v>39</x:v>
      </x:c>
      <x:c r="H58" s="32" t="n">
        <x:v>36</x:v>
      </x:c>
      <x:c r="I58" s="32" t="n">
        <x:v>38</x:v>
      </x:c>
      <x:c r="J58" s="32" t="n">
        <x:v>36</x:v>
      </x:c>
      <x:c r="K58" s="30" t="n">
        <x:v>65381.89</x:v>
      </x:c>
      <x:c r="L58" s="32" t="n">
        <x:v>26752</x:v>
      </x:c>
      <x:c r="M58" s="36" t="n">
        <x:v>0.8426</x:v>
      </x:c>
      <x:c r="N58" s="32" t="n">
        <x:v>1</x:v>
      </x:c>
      <x:c r="O58" s="32" t="n">
        <x:v>2.6</x:v>
      </x:c>
    </x:row>
    <x:row r="59">
      <x:c r="A59" s="34" t="n">
        <x:v>45474</x:v>
      </x:c>
      <x:c r="B59" s="28" t="str">
        <x:v>Grupo Industrial S.A.</x:v>
      </x:c>
      <x:c r="C59" s="28" t="str">
        <x:v>Planta Campinas</x:v>
      </x:c>
      <x:c r="D59" s="28" t="str">
        <x:v>TransDados</x:v>
      </x:c>
      <x:c r="E59" s="28" t="str">
        <x:v>Campinas-Sudeste</x:v>
      </x:c>
      <x:c r="F59" s="28" t="str">
        <x:v>Sudeste</x:v>
      </x:c>
      <x:c r="G59" s="32" t="n">
        <x:v>43</x:v>
      </x:c>
      <x:c r="H59" s="32" t="n">
        <x:v>38</x:v>
      </x:c>
      <x:c r="I59" s="32" t="n">
        <x:v>40</x:v>
      </x:c>
      <x:c r="J59" s="32" t="n">
        <x:v>38</x:v>
      </x:c>
      <x:c r="K59" s="30" t="n">
        <x:v>69449.79</x:v>
      </x:c>
      <x:c r="L59" s="32" t="n">
        <x:v>25045</x:v>
      </x:c>
      <x:c r="M59" s="36" t="n">
        <x:v>0.7638</x:v>
      </x:c>
      <x:c r="N59" s="32" t="n">
        <x:v>3</x:v>
      </x:c>
      <x:c r="O59" s="32" t="n">
        <x:v>2.8</x:v>
      </x:c>
    </x:row>
    <x:row r="60">
      <x:c r="A60" s="34" t="n">
        <x:v>45474</x:v>
      </x:c>
      <x:c r="B60" s="28" t="str">
        <x:v>Grupo Industrial S.A.</x:v>
      </x:c>
      <x:c r="C60" s="28" t="str">
        <x:v>Planta Campinas</x:v>
      </x:c>
      <x:c r="D60" s="28" t="str">
        <x:v>RápidoSul</x:v>
      </x:c>
      <x:c r="E60" s="28" t="str">
        <x:v>Campinas-Norte</x:v>
      </x:c>
      <x:c r="F60" s="28" t="str">
        <x:v>Sudeste</x:v>
      </x:c>
      <x:c r="G60" s="32" t="n">
        <x:v>47</x:v>
      </x:c>
      <x:c r="H60" s="32" t="n">
        <x:v>40</x:v>
      </x:c>
      <x:c r="I60" s="32" t="n">
        <x:v>45</x:v>
      </x:c>
      <x:c r="J60" s="32" t="n">
        <x:v>40</x:v>
      </x:c>
      <x:c r="K60" s="30" t="n">
        <x:v>54982.43</x:v>
      </x:c>
      <x:c r="L60" s="32" t="n">
        <x:v>19439</x:v>
      </x:c>
      <x:c r="M60" s="36" t="n">
        <x:v>0.7356</x:v>
      </x:c>
      <x:c r="N60" s="32" t="n">
        <x:v>4</x:v>
      </x:c>
      <x:c r="O60" s="32" t="n">
        <x:v>2.9</x:v>
      </x:c>
    </x:row>
    <x:row r="61">
      <x:c r="A61" s="34" t="n">
        <x:v>45474</x:v>
      </x:c>
      <x:c r="B61" s="28" t="str">
        <x:v>Grupo Industrial S.A.</x:v>
      </x:c>
      <x:c r="C61" s="28" t="str">
        <x:v>Planta Campinas</x:v>
      </x:c>
      <x:c r="D61" s="28" t="str">
        <x:v>NovaLog</x:v>
      </x:c>
      <x:c r="E61" s="28" t="str">
        <x:v>Campinas-Nordeste</x:v>
      </x:c>
      <x:c r="F61" s="28" t="str">
        <x:v>Sudeste</x:v>
      </x:c>
      <x:c r="G61" s="32" t="n">
        <x:v>37</x:v>
      </x:c>
      <x:c r="H61" s="32" t="n">
        <x:v>32</x:v>
      </x:c>
      <x:c r="I61" s="32" t="n">
        <x:v>35</x:v>
      </x:c>
      <x:c r="J61" s="32" t="n">
        <x:v>32</x:v>
      </x:c>
      <x:c r="K61" s="30" t="n">
        <x:v>85989.84</x:v>
      </x:c>
      <x:c r="L61" s="32" t="n">
        <x:v>29817</x:v>
      </x:c>
      <x:c r="M61" s="36" t="n">
        <x:v>0.7463</x:v>
      </x:c>
      <x:c r="N61" s="32" t="n">
        <x:v>3</x:v>
      </x:c>
      <x:c r="O61" s="32" t="n">
        <x:v>3.1</x:v>
      </x:c>
    </x:row>
    <x:row r="62">
      <x:c r="A62" s="34" t="n">
        <x:v>45474</x:v>
      </x:c>
      <x:c r="B62" s="28" t="str">
        <x:v>Grupo Industrial S.A.</x:v>
      </x:c>
      <x:c r="C62" s="28" t="str">
        <x:v>Planta Curitiba</x:v>
      </x:c>
      <x:c r="D62" s="28" t="str">
        <x:v>TransDados</x:v>
      </x:c>
      <x:c r="E62" s="28" t="str">
        <x:v>Curitiba-Sul</x:v>
      </x:c>
      <x:c r="F62" s="28" t="str">
        <x:v>Sul</x:v>
      </x:c>
      <x:c r="G62" s="32" t="n">
        <x:v>33</x:v>
      </x:c>
      <x:c r="H62" s="32" t="n">
        <x:v>30</x:v>
      </x:c>
      <x:c r="I62" s="32" t="n">
        <x:v>32</x:v>
      </x:c>
      <x:c r="J62" s="32" t="n">
        <x:v>30</x:v>
      </x:c>
      <x:c r="K62" s="30" t="n">
        <x:v>50432.79</x:v>
      </x:c>
      <x:c r="L62" s="32" t="n">
        <x:v>20246</x:v>
      </x:c>
      <x:c r="M62" s="36" t="n">
        <x:v>0.8031</x:v>
      </x:c>
      <x:c r="N62" s="32" t="n">
        <x:v>1</x:v>
      </x:c>
      <x:c r="O62" s="32" t="n">
        <x:v>2.5</x:v>
      </x:c>
    </x:row>
    <x:row r="63">
      <x:c r="A63" s="34" t="n">
        <x:v>45474</x:v>
      </x:c>
      <x:c r="B63" s="28" t="str">
        <x:v>Grupo Industrial S.A.</x:v>
      </x:c>
      <x:c r="C63" s="28" t="str">
        <x:v>Planta Curitiba</x:v>
      </x:c>
      <x:c r="D63" s="28" t="str">
        <x:v>RápidoSul</x:v>
      </x:c>
      <x:c r="E63" s="28" t="str">
        <x:v>Curitiba-Sudeste</x:v>
      </x:c>
      <x:c r="F63" s="28" t="str">
        <x:v>Sul</x:v>
      </x:c>
      <x:c r="G63" s="32" t="n">
        <x:v>35</x:v>
      </x:c>
      <x:c r="H63" s="32" t="n">
        <x:v>32</x:v>
      </x:c>
      <x:c r="I63" s="32" t="n">
        <x:v>34</x:v>
      </x:c>
      <x:c r="J63" s="32" t="n">
        <x:v>32</x:v>
      </x:c>
      <x:c r="K63" s="30" t="n">
        <x:v>76074.69</x:v>
      </x:c>
      <x:c r="L63" s="32" t="n">
        <x:v>29941</x:v>
      </x:c>
      <x:c r="M63" s="36" t="n">
        <x:v>0.7816</x:v>
      </x:c>
      <x:c r="N63" s="32" t="n">
        <x:v>1</x:v>
      </x:c>
      <x:c r="O63" s="32" t="n">
        <x:v>2.6</x:v>
      </x:c>
    </x:row>
    <x:row r="64">
      <x:c r="A64" s="34" t="n">
        <x:v>45474</x:v>
      </x:c>
      <x:c r="B64" s="28" t="str">
        <x:v>Grupo Industrial S.A.</x:v>
      </x:c>
      <x:c r="C64" s="28" t="str">
        <x:v>Planta Curitiba</x:v>
      </x:c>
      <x:c r="D64" s="28" t="str">
        <x:v>NovaLog</x:v>
      </x:c>
      <x:c r="E64" s="28" t="str">
        <x:v>Curitiba-Centro-Oeste</x:v>
      </x:c>
      <x:c r="F64" s="28" t="str">
        <x:v>Sul</x:v>
      </x:c>
      <x:c r="G64" s="32" t="n">
        <x:v>43</x:v>
      </x:c>
      <x:c r="H64" s="32" t="n">
        <x:v>38</x:v>
      </x:c>
      <x:c r="I64" s="32" t="n">
        <x:v>42</x:v>
      </x:c>
      <x:c r="J64" s="32" t="n">
        <x:v>38</x:v>
      </x:c>
      <x:c r="K64" s="30" t="n">
        <x:v>51457.88</x:v>
      </x:c>
      <x:c r="L64" s="32" t="n">
        <x:v>19863</x:v>
      </x:c>
      <x:c r="M64" s="36" t="n">
        <x:v>0.8146</x:v>
      </x:c>
      <x:c r="N64" s="32" t="n">
        <x:v>2</x:v>
      </x:c>
      <x:c r="O64" s="32" t="n">
        <x:v>2.8</x:v>
      </x:c>
    </x:row>
    <x:row r="65">
      <x:c r="A65" s="34" t="n">
        <x:v>45505</x:v>
      </x:c>
      <x:c r="B65" s="28" t="str">
        <x:v>Grupo Industrial S.A.</x:v>
      </x:c>
      <x:c r="C65" s="28" t="str">
        <x:v>Planta São Paulo</x:v>
      </x:c>
      <x:c r="D65" s="28" t="str">
        <x:v>TransDados</x:v>
      </x:c>
      <x:c r="E65" s="28" t="str">
        <x:v>SP-Sudeste</x:v>
      </x:c>
      <x:c r="F65" s="28" t="str">
        <x:v>Sudeste</x:v>
      </x:c>
      <x:c r="G65" s="32" t="n">
        <x:v>33</x:v>
      </x:c>
      <x:c r="H65" s="32" t="n">
        <x:v>31</x:v>
      </x:c>
      <x:c r="I65" s="32" t="n">
        <x:v>32</x:v>
      </x:c>
      <x:c r="J65" s="32" t="n">
        <x:v>31</x:v>
      </x:c>
      <x:c r="K65" s="30" t="n">
        <x:v>46962.4</x:v>
      </x:c>
      <x:c r="L65" s="32" t="n">
        <x:v>19984</x:v>
      </x:c>
      <x:c r="M65" s="36" t="n">
        <x:v>0.8128</x:v>
      </x:c>
      <x:c r="N65" s="32" t="n">
        <x:v>1</x:v>
      </x:c>
      <x:c r="O65" s="32" t="n">
        <x:v>2.3</x:v>
      </x:c>
    </x:row>
    <x:row r="66">
      <x:c r="A66" s="34" t="n">
        <x:v>45505</x:v>
      </x:c>
      <x:c r="B66" s="28" t="str">
        <x:v>Grupo Industrial S.A.</x:v>
      </x:c>
      <x:c r="C66" s="28" t="str">
        <x:v>Planta São Paulo</x:v>
      </x:c>
      <x:c r="D66" s="28" t="str">
        <x:v>RápidoSul</x:v>
      </x:c>
      <x:c r="E66" s="28" t="str">
        <x:v>SP-Centro-Oeste</x:v>
      </x:c>
      <x:c r="F66" s="28" t="str">
        <x:v>Sudeste</x:v>
      </x:c>
      <x:c r="G66" s="32" t="n">
        <x:v>46</x:v>
      </x:c>
      <x:c r="H66" s="32" t="n">
        <x:v>43</x:v>
      </x:c>
      <x:c r="I66" s="32" t="n">
        <x:v>45</x:v>
      </x:c>
      <x:c r="J66" s="32" t="n">
        <x:v>43</x:v>
      </x:c>
      <x:c r="K66" s="30" t="n">
        <x:v>51887.86</x:v>
      </x:c>
      <x:c r="L66" s="32" t="n">
        <x:v>21647</x:v>
      </x:c>
      <x:c r="M66" s="36" t="n">
        <x:v>0.809</x:v>
      </x:c>
      <x:c r="N66" s="32" t="n">
        <x:v>2</x:v>
      </x:c>
      <x:c r="O66" s="32" t="n">
        <x:v>2.4</x:v>
      </x:c>
    </x:row>
    <x:row r="67">
      <x:c r="A67" s="34" t="n">
        <x:v>45505</x:v>
      </x:c>
      <x:c r="B67" s="28" t="str">
        <x:v>Grupo Industrial S.A.</x:v>
      </x:c>
      <x:c r="C67" s="28" t="str">
        <x:v>Planta São Paulo</x:v>
      </x:c>
      <x:c r="D67" s="28" t="str">
        <x:v>NovaLog</x:v>
      </x:c>
      <x:c r="E67" s="28" t="str">
        <x:v>SP-Nordeste</x:v>
      </x:c>
      <x:c r="F67" s="28" t="str">
        <x:v>Sudeste</x:v>
      </x:c>
      <x:c r="G67" s="32" t="n">
        <x:v>33</x:v>
      </x:c>
      <x:c r="H67" s="32" t="n">
        <x:v>30</x:v>
      </x:c>
      <x:c r="I67" s="32" t="n">
        <x:v>32</x:v>
      </x:c>
      <x:c r="J67" s="32" t="n">
        <x:v>30</x:v>
      </x:c>
      <x:c r="K67" s="30" t="n">
        <x:v>58150.09</x:v>
      </x:c>
      <x:c r="L67" s="32" t="n">
        <x:v>23793</x:v>
      </x:c>
      <x:c r="M67" s="36" t="n">
        <x:v>0.8255</x:v>
      </x:c>
      <x:c r="N67" s="32" t="n">
        <x:v>1</x:v>
      </x:c>
      <x:c r="O67" s="32" t="n">
        <x:v>2.6</x:v>
      </x:c>
    </x:row>
    <x:row r="68">
      <x:c r="A68" s="34" t="n">
        <x:v>45505</x:v>
      </x:c>
      <x:c r="B68" s="28" t="str">
        <x:v>Grupo Industrial S.A.</x:v>
      </x:c>
      <x:c r="C68" s="28" t="str">
        <x:v>Planta Campinas</x:v>
      </x:c>
      <x:c r="D68" s="28" t="str">
        <x:v>TransDados</x:v>
      </x:c>
      <x:c r="E68" s="28" t="str">
        <x:v>Campinas-Sudeste</x:v>
      </x:c>
      <x:c r="F68" s="28" t="str">
        <x:v>Sudeste</x:v>
      </x:c>
      <x:c r="G68" s="32" t="n">
        <x:v>38</x:v>
      </x:c>
      <x:c r="H68" s="32" t="n">
        <x:v>33</x:v>
      </x:c>
      <x:c r="I68" s="32" t="n">
        <x:v>36</x:v>
      </x:c>
      <x:c r="J68" s="32" t="n">
        <x:v>33</x:v>
      </x:c>
      <x:c r="K68" s="30" t="n">
        <x:v>78922.35</x:v>
      </x:c>
      <x:c r="L68" s="32" t="n">
        <x:v>28461</x:v>
      </x:c>
      <x:c r="M68" s="36" t="n">
        <x:v>0.7389</x:v>
      </x:c>
      <x:c r="N68" s="32" t="n">
        <x:v>3</x:v>
      </x:c>
      <x:c r="O68" s="32" t="n">
        <x:v>2.8</x:v>
      </x:c>
    </x:row>
    <x:row r="69">
      <x:c r="A69" s="34" t="n">
        <x:v>45505</x:v>
      </x:c>
      <x:c r="B69" s="28" t="str">
        <x:v>Grupo Industrial S.A.</x:v>
      </x:c>
      <x:c r="C69" s="28" t="str">
        <x:v>Planta Campinas</x:v>
      </x:c>
      <x:c r="D69" s="28" t="str">
        <x:v>RápidoSul</x:v>
      </x:c>
      <x:c r="E69" s="28" t="str">
        <x:v>Campinas-Norte</x:v>
      </x:c>
      <x:c r="F69" s="28" t="str">
        <x:v>Sudeste</x:v>
      </x:c>
      <x:c r="G69" s="32" t="n">
        <x:v>32</x:v>
      </x:c>
      <x:c r="H69" s="32" t="n">
        <x:v>28</x:v>
      </x:c>
      <x:c r="I69" s="32" t="n">
        <x:v>30</x:v>
      </x:c>
      <x:c r="J69" s="32" t="n">
        <x:v>28</x:v>
      </x:c>
      <x:c r="K69" s="30" t="n">
        <x:v>76945.43</x:v>
      </x:c>
      <x:c r="L69" s="32" t="n">
        <x:v>27204</x:v>
      </x:c>
      <x:c r="M69" s="36" t="n">
        <x:v>0.7624</x:v>
      </x:c>
      <x:c r="N69" s="32" t="n">
        <x:v>3</x:v>
      </x:c>
      <x:c r="O69" s="32" t="n">
        <x:v>2.9</x:v>
      </x:c>
    </x:row>
    <x:row r="70">
      <x:c r="A70" s="34" t="n">
        <x:v>45505</x:v>
      </x:c>
      <x:c r="B70" s="28" t="str">
        <x:v>Grupo Industrial S.A.</x:v>
      </x:c>
      <x:c r="C70" s="28" t="str">
        <x:v>Planta Campinas</x:v>
      </x:c>
      <x:c r="D70" s="28" t="str">
        <x:v>NovaLog</x:v>
      </x:c>
      <x:c r="E70" s="28" t="str">
        <x:v>Campinas-Nordeste</x:v>
      </x:c>
      <x:c r="F70" s="28" t="str">
        <x:v>Sudeste</x:v>
      </x:c>
      <x:c r="G70" s="32" t="n">
        <x:v>34</x:v>
      </x:c>
      <x:c r="H70" s="32" t="n">
        <x:v>29</x:v>
      </x:c>
      <x:c r="I70" s="32" t="n">
        <x:v>32</x:v>
      </x:c>
      <x:c r="J70" s="32" t="n">
        <x:v>29</x:v>
      </x:c>
      <x:c r="K70" s="30" t="n">
        <x:v>78846.37</x:v>
      </x:c>
      <x:c r="L70" s="32" t="n">
        <x:v>27340</x:v>
      </x:c>
      <x:c r="M70" s="36" t="n">
        <x:v>0.7566</x:v>
      </x:c>
      <x:c r="N70" s="32" t="n">
        <x:v>3</x:v>
      </x:c>
      <x:c r="O70" s="32" t="n">
        <x:v>3.1</x:v>
      </x:c>
    </x:row>
    <x:row r="71">
      <x:c r="A71" s="34" t="n">
        <x:v>45505</x:v>
      </x:c>
      <x:c r="B71" s="28" t="str">
        <x:v>Grupo Industrial S.A.</x:v>
      </x:c>
      <x:c r="C71" s="28" t="str">
        <x:v>Planta Curitiba</x:v>
      </x:c>
      <x:c r="D71" s="28" t="str">
        <x:v>TransDados</x:v>
      </x:c>
      <x:c r="E71" s="28" t="str">
        <x:v>Curitiba-Sul</x:v>
      </x:c>
      <x:c r="F71" s="28" t="str">
        <x:v>Sul</x:v>
      </x:c>
      <x:c r="G71" s="32" t="n">
        <x:v>43</x:v>
      </x:c>
      <x:c r="H71" s="32" t="n">
        <x:v>39</x:v>
      </x:c>
      <x:c r="I71" s="32" t="n">
        <x:v>42</x:v>
      </x:c>
      <x:c r="J71" s="32" t="n">
        <x:v>39</x:v>
      </x:c>
      <x:c r="K71" s="30" t="n">
        <x:v>58872.29</x:v>
      </x:c>
      <x:c r="L71" s="32" t="n">
        <x:v>23634</x:v>
      </x:c>
      <x:c r="M71" s="36" t="n">
        <x:v>0.7697</x:v>
      </x:c>
      <x:c r="N71" s="32" t="n">
        <x:v>2</x:v>
      </x:c>
      <x:c r="O71" s="32" t="n">
        <x:v>2.5</x:v>
      </x:c>
    </x:row>
    <x:row r="72">
      <x:c r="A72" s="34" t="n">
        <x:v>45505</x:v>
      </x:c>
      <x:c r="B72" s="28" t="str">
        <x:v>Grupo Industrial S.A.</x:v>
      </x:c>
      <x:c r="C72" s="28" t="str">
        <x:v>Planta Curitiba</x:v>
      </x:c>
      <x:c r="D72" s="28" t="str">
        <x:v>RápidoSul</x:v>
      </x:c>
      <x:c r="E72" s="28" t="str">
        <x:v>Curitiba-Sudeste</x:v>
      </x:c>
      <x:c r="F72" s="28" t="str">
        <x:v>Sul</x:v>
      </x:c>
      <x:c r="G72" s="32" t="n">
        <x:v>44</x:v>
      </x:c>
      <x:c r="H72" s="32" t="n">
        <x:v>39</x:v>
      </x:c>
      <x:c r="I72" s="32" t="n">
        <x:v>42</x:v>
      </x:c>
      <x:c r="J72" s="32" t="n">
        <x:v>39</x:v>
      </x:c>
      <x:c r="K72" s="30" t="n">
        <x:v>67814.49</x:v>
      </x:c>
      <x:c r="L72" s="32" t="n">
        <x:v>26690</x:v>
      </x:c>
      <x:c r="M72" s="36" t="n">
        <x:v>0.779</x:v>
      </x:c>
      <x:c r="N72" s="32" t="n">
        <x:v>2</x:v>
      </x:c>
      <x:c r="O72" s="32" t="n">
        <x:v>2.6</x:v>
      </x:c>
    </x:row>
    <x:row r="73">
      <x:c r="A73" s="34" t="n">
        <x:v>45505</x:v>
      </x:c>
      <x:c r="B73" s="28" t="str">
        <x:v>Grupo Industrial S.A.</x:v>
      </x:c>
      <x:c r="C73" s="28" t="str">
        <x:v>Planta Curitiba</x:v>
      </x:c>
      <x:c r="D73" s="28" t="str">
        <x:v>NovaLog</x:v>
      </x:c>
      <x:c r="E73" s="28" t="str">
        <x:v>Curitiba-Centro-Oeste</x:v>
      </x:c>
      <x:c r="F73" s="28" t="str">
        <x:v>Sul</x:v>
      </x:c>
      <x:c r="G73" s="32" t="n">
        <x:v>38</x:v>
      </x:c>
      <x:c r="H73" s="32" t="n">
        <x:v>35</x:v>
      </x:c>
      <x:c r="I73" s="32" t="n">
        <x:v>37</x:v>
      </x:c>
      <x:c r="J73" s="32" t="n">
        <x:v>35</x:v>
      </x:c>
      <x:c r="K73" s="30" t="n">
        <x:v>72379.89</x:v>
      </x:c>
      <x:c r="L73" s="32" t="n">
        <x:v>27939</x:v>
      </x:c>
      <x:c r="M73" s="36" t="n">
        <x:v>0.7983</x:v>
      </x:c>
      <x:c r="N73" s="32" t="n">
        <x:v>1</x:v>
      </x:c>
      <x:c r="O73" s="32" t="n">
        <x:v>2.8</x:v>
      </x:c>
    </x:row>
    <x:row r="74">
      <x:c r="A74" s="34" t="n">
        <x:v>45536</x:v>
      </x:c>
      <x:c r="B74" s="28" t="str">
        <x:v>Grupo Industrial S.A.</x:v>
      </x:c>
      <x:c r="C74" s="28" t="str">
        <x:v>Planta São Paulo</x:v>
      </x:c>
      <x:c r="D74" s="28" t="str">
        <x:v>TransDados</x:v>
      </x:c>
      <x:c r="E74" s="28" t="str">
        <x:v>SP-Sudeste</x:v>
      </x:c>
      <x:c r="F74" s="28" t="str">
        <x:v>Sudeste</x:v>
      </x:c>
      <x:c r="G74" s="32" t="n">
        <x:v>34</x:v>
      </x:c>
      <x:c r="H74" s="32" t="n">
        <x:v>31</x:v>
      </x:c>
      <x:c r="I74" s="32" t="n">
        <x:v>33</x:v>
      </x:c>
      <x:c r="J74" s="32" t="n">
        <x:v>31</x:v>
      </x:c>
      <x:c r="K74" s="30" t="n">
        <x:v>54322.6</x:v>
      </x:c>
      <x:c r="L74" s="32" t="n">
        <x:v>23116</x:v>
      </x:c>
      <x:c r="M74" s="36" t="n">
        <x:v>0.8468</x:v>
      </x:c>
      <x:c r="N74" s="32" t="n">
        <x:v>1</x:v>
      </x:c>
      <x:c r="O74" s="32" t="n">
        <x:v>2.3</x:v>
      </x:c>
    </x:row>
    <x:row r="75">
      <x:c r="A75" s="34" t="n">
        <x:v>45536</x:v>
      </x:c>
      <x:c r="B75" s="28" t="str">
        <x:v>Grupo Industrial S.A.</x:v>
      </x:c>
      <x:c r="C75" s="28" t="str">
        <x:v>Planta São Paulo</x:v>
      </x:c>
      <x:c r="D75" s="28" t="str">
        <x:v>RápidoSul</x:v>
      </x:c>
      <x:c r="E75" s="28" t="str">
        <x:v>SP-Centro-Oeste</x:v>
      </x:c>
      <x:c r="F75" s="28" t="str">
        <x:v>Sudeste</x:v>
      </x:c>
      <x:c r="G75" s="32" t="n">
        <x:v>45</x:v>
      </x:c>
      <x:c r="H75" s="32" t="n">
        <x:v>42</x:v>
      </x:c>
      <x:c r="I75" s="32" t="n">
        <x:v>44</x:v>
      </x:c>
      <x:c r="J75" s="32" t="n">
        <x:v>42</x:v>
      </x:c>
      <x:c r="K75" s="30" t="n">
        <x:v>66639</x:v>
      </x:c>
      <x:c r="L75" s="32" t="n">
        <x:v>27801</x:v>
      </x:c>
      <x:c r="M75" s="36" t="n">
        <x:v>0.8504</x:v>
      </x:c>
      <x:c r="N75" s="32" t="n">
        <x:v>2</x:v>
      </x:c>
      <x:c r="O75" s="32" t="n">
        <x:v>2.4</x:v>
      </x:c>
    </x:row>
    <x:row r="76">
      <x:c r="A76" s="34" t="n">
        <x:v>45536</x:v>
      </x:c>
      <x:c r="B76" s="28" t="str">
        <x:v>Grupo Industrial S.A.</x:v>
      </x:c>
      <x:c r="C76" s="28" t="str">
        <x:v>Planta São Paulo</x:v>
      </x:c>
      <x:c r="D76" s="28" t="str">
        <x:v>NovaLog</x:v>
      </x:c>
      <x:c r="E76" s="28" t="str">
        <x:v>SP-Nordeste</x:v>
      </x:c>
      <x:c r="F76" s="28" t="str">
        <x:v>Sudeste</x:v>
      </x:c>
      <x:c r="G76" s="32" t="n">
        <x:v>36</x:v>
      </x:c>
      <x:c r="H76" s="32" t="n">
        <x:v>33</x:v>
      </x:c>
      <x:c r="I76" s="32" t="n">
        <x:v>34</x:v>
      </x:c>
      <x:c r="J76" s="32" t="n">
        <x:v>33</x:v>
      </x:c>
      <x:c r="K76" s="30" t="n">
        <x:v>73667.05</x:v>
      </x:c>
      <x:c r="L76" s="32" t="n">
        <x:v>30142</x:v>
      </x:c>
      <x:c r="M76" s="36" t="n">
        <x:v>0.8055</x:v>
      </x:c>
      <x:c r="N76" s="32" t="n">
        <x:v>1</x:v>
      </x:c>
      <x:c r="O76" s="32" t="n">
        <x:v>2.6</x:v>
      </x:c>
    </x:row>
    <x:row r="77">
      <x:c r="A77" s="34" t="n">
        <x:v>45536</x:v>
      </x:c>
      <x:c r="B77" s="28" t="str">
        <x:v>Grupo Industrial S.A.</x:v>
      </x:c>
      <x:c r="C77" s="28" t="str">
        <x:v>Planta Campinas</x:v>
      </x:c>
      <x:c r="D77" s="28" t="str">
        <x:v>TransDados</x:v>
      </x:c>
      <x:c r="E77" s="28" t="str">
        <x:v>Campinas-Sudeste</x:v>
      </x:c>
      <x:c r="F77" s="28" t="str">
        <x:v>Sudeste</x:v>
      </x:c>
      <x:c r="G77" s="32" t="n">
        <x:v>39</x:v>
      </x:c>
      <x:c r="H77" s="32" t="n">
        <x:v>33</x:v>
      </x:c>
      <x:c r="I77" s="32" t="n">
        <x:v>37</x:v>
      </x:c>
      <x:c r="J77" s="32" t="n">
        <x:v>33</x:v>
      </x:c>
      <x:c r="K77" s="30" t="n">
        <x:v>76121.62</x:v>
      </x:c>
      <x:c r="L77" s="32" t="n">
        <x:v>27451</x:v>
      </x:c>
      <x:c r="M77" s="36" t="n">
        <x:v>0.7728</x:v>
      </x:c>
      <x:c r="N77" s="32" t="n">
        <x:v>3</x:v>
      </x:c>
      <x:c r="O77" s="32" t="n">
        <x:v>2.8</x:v>
      </x:c>
    </x:row>
    <x:row r="78">
      <x:c r="A78" s="34" t="n">
        <x:v>45536</x:v>
      </x:c>
      <x:c r="B78" s="28" t="str">
        <x:v>Grupo Industrial S.A.</x:v>
      </x:c>
      <x:c r="C78" s="28" t="str">
        <x:v>Planta Campinas</x:v>
      </x:c>
      <x:c r="D78" s="28" t="str">
        <x:v>RápidoSul</x:v>
      </x:c>
      <x:c r="E78" s="28" t="str">
        <x:v>Campinas-Norte</x:v>
      </x:c>
      <x:c r="F78" s="28" t="str">
        <x:v>Sudeste</x:v>
      </x:c>
      <x:c r="G78" s="32" t="n">
        <x:v>33</x:v>
      </x:c>
      <x:c r="H78" s="32" t="n">
        <x:v>28</x:v>
      </x:c>
      <x:c r="I78" s="32" t="n">
        <x:v>31</x:v>
      </x:c>
      <x:c r="J78" s="32" t="n">
        <x:v>28</x:v>
      </x:c>
      <x:c r="K78" s="30" t="n">
        <x:v>66434.87</x:v>
      </x:c>
      <x:c r="L78" s="32" t="n">
        <x:v>23488</x:v>
      </x:c>
      <x:c r="M78" s="36" t="n">
        <x:v>0.7676</x:v>
      </x:c>
      <x:c r="N78" s="32" t="n">
        <x:v>3</x:v>
      </x:c>
      <x:c r="O78" s="32" t="n">
        <x:v>2.9</x:v>
      </x:c>
    </x:row>
    <x:row r="79">
      <x:c r="A79" s="34" t="n">
        <x:v>45536</x:v>
      </x:c>
      <x:c r="B79" s="28" t="str">
        <x:v>Grupo Industrial S.A.</x:v>
      </x:c>
      <x:c r="C79" s="28" t="str">
        <x:v>Planta Campinas</x:v>
      </x:c>
      <x:c r="D79" s="28" t="str">
        <x:v>NovaLog</x:v>
      </x:c>
      <x:c r="E79" s="28" t="str">
        <x:v>Campinas-Nordeste</x:v>
      </x:c>
      <x:c r="F79" s="28" t="str">
        <x:v>Sudeste</x:v>
      </x:c>
      <x:c r="G79" s="32" t="n">
        <x:v>33</x:v>
      </x:c>
      <x:c r="H79" s="32" t="n">
        <x:v>29</x:v>
      </x:c>
      <x:c r="I79" s="32" t="n">
        <x:v>31</x:v>
      </x:c>
      <x:c r="J79" s="32" t="n">
        <x:v>29</x:v>
      </x:c>
      <x:c r="K79" s="30" t="n">
        <x:v>85006.43</x:v>
      </x:c>
      <x:c r="L79" s="32" t="n">
        <x:v>29476</x:v>
      </x:c>
      <x:c r="M79" s="36" t="n">
        <x:v>0.7624</x:v>
      </x:c>
      <x:c r="N79" s="32" t="n">
        <x:v>3</x:v>
      </x:c>
      <x:c r="O79" s="32" t="n">
        <x:v>3.1</x:v>
      </x:c>
    </x:row>
    <x:row r="80">
      <x:c r="A80" s="34" t="n">
        <x:v>45536</x:v>
      </x:c>
      <x:c r="B80" s="28" t="str">
        <x:v>Grupo Industrial S.A.</x:v>
      </x:c>
      <x:c r="C80" s="28" t="str">
        <x:v>Planta Curitiba</x:v>
      </x:c>
      <x:c r="D80" s="28" t="str">
        <x:v>TransDados</x:v>
      </x:c>
      <x:c r="E80" s="28" t="str">
        <x:v>Curitiba-Sul</x:v>
      </x:c>
      <x:c r="F80" s="28" t="str">
        <x:v>Sul</x:v>
      </x:c>
      <x:c r="G80" s="32" t="n">
        <x:v>42</x:v>
      </x:c>
      <x:c r="H80" s="32" t="n">
        <x:v>39</x:v>
      </x:c>
      <x:c r="I80" s="32" t="n">
        <x:v>40</x:v>
      </x:c>
      <x:c r="J80" s="32" t="n">
        <x:v>39</x:v>
      </x:c>
      <x:c r="K80" s="30" t="n">
        <x:v>68402.86</x:v>
      </x:c>
      <x:c r="L80" s="32" t="n">
        <x:v>27460</x:v>
      </x:c>
      <x:c r="M80" s="36" t="n">
        <x:v>0.7999</x:v>
      </x:c>
      <x:c r="N80" s="32" t="n">
        <x:v>1</x:v>
      </x:c>
      <x:c r="O80" s="32" t="n">
        <x:v>2.5</x:v>
      </x:c>
    </x:row>
    <x:row r="81">
      <x:c r="A81" s="34" t="n">
        <x:v>45536</x:v>
      </x:c>
      <x:c r="B81" s="28" t="str">
        <x:v>Grupo Industrial S.A.</x:v>
      </x:c>
      <x:c r="C81" s="28" t="str">
        <x:v>Planta Curitiba</x:v>
      </x:c>
      <x:c r="D81" s="28" t="str">
        <x:v>RápidoSul</x:v>
      </x:c>
      <x:c r="E81" s="28" t="str">
        <x:v>Curitiba-Sudeste</x:v>
      </x:c>
      <x:c r="F81" s="28" t="str">
        <x:v>Sul</x:v>
      </x:c>
      <x:c r="G81" s="32" t="n">
        <x:v>41</x:v>
      </x:c>
      <x:c r="H81" s="32" t="n">
        <x:v>37</x:v>
      </x:c>
      <x:c r="I81" s="32" t="n">
        <x:v>40</x:v>
      </x:c>
      <x:c r="J81" s="32" t="n">
        <x:v>37</x:v>
      </x:c>
      <x:c r="K81" s="30" t="n">
        <x:v>69946.23</x:v>
      </x:c>
      <x:c r="L81" s="32" t="n">
        <x:v>27529</x:v>
      </x:c>
      <x:c r="M81" s="36" t="n">
        <x:v>0.8132</x:v>
      </x:c>
      <x:c r="N81" s="32" t="n">
        <x:v>1</x:v>
      </x:c>
      <x:c r="O81" s="32" t="n">
        <x:v>2.6</x:v>
      </x:c>
    </x:row>
    <x:row r="82">
      <x:c r="A82" s="34" t="n">
        <x:v>45536</x:v>
      </x:c>
      <x:c r="B82" s="28" t="str">
        <x:v>Grupo Industrial S.A.</x:v>
      </x:c>
      <x:c r="C82" s="28" t="str">
        <x:v>Planta Curitiba</x:v>
      </x:c>
      <x:c r="D82" s="28" t="str">
        <x:v>NovaLog</x:v>
      </x:c>
      <x:c r="E82" s="28" t="str">
        <x:v>Curitiba-Centro-Oeste</x:v>
      </x:c>
      <x:c r="F82" s="28" t="str">
        <x:v>Sul</x:v>
      </x:c>
      <x:c r="G82" s="32" t="n">
        <x:v>33</x:v>
      </x:c>
      <x:c r="H82" s="32" t="n">
        <x:v>30</x:v>
      </x:c>
      <x:c r="I82" s="32" t="n">
        <x:v>32</x:v>
      </x:c>
      <x:c r="J82" s="32" t="n">
        <x:v>30</x:v>
      </x:c>
      <x:c r="K82" s="30" t="n">
        <x:v>58211.68</x:v>
      </x:c>
      <x:c r="L82" s="32" t="n">
        <x:v>22470</x:v>
      </x:c>
      <x:c r="M82" s="36" t="n">
        <x:v>0.8038</x:v>
      </x:c>
      <x:c r="N82" s="32" t="n">
        <x:v>1</x:v>
      </x:c>
      <x:c r="O82" s="32" t="n">
        <x:v>2.8</x:v>
      </x:c>
    </x:row>
    <x:row r="83">
      <x:c r="A83" s="34" t="n">
        <x:v>45566</x:v>
      </x:c>
      <x:c r="B83" s="28" t="str">
        <x:v>Grupo Industrial S.A.</x:v>
      </x:c>
      <x:c r="C83" s="28" t="str">
        <x:v>Planta São Paulo</x:v>
      </x:c>
      <x:c r="D83" s="28" t="str">
        <x:v>TransDados</x:v>
      </x:c>
      <x:c r="E83" s="28" t="str">
        <x:v>SP-Sudeste</x:v>
      </x:c>
      <x:c r="F83" s="28" t="str">
        <x:v>Sudeste</x:v>
      </x:c>
      <x:c r="G83" s="32" t="n">
        <x:v>44</x:v>
      </x:c>
      <x:c r="H83" s="32" t="n">
        <x:v>41</x:v>
      </x:c>
      <x:c r="I83" s="32" t="n">
        <x:v>43</x:v>
      </x:c>
      <x:c r="J83" s="32" t="n">
        <x:v>41</x:v>
      </x:c>
      <x:c r="K83" s="30" t="n">
        <x:v>56696.1</x:v>
      </x:c>
      <x:c r="L83" s="32" t="n">
        <x:v>24126</x:v>
      </x:c>
      <x:c r="M83" s="36" t="n">
        <x:v>0.8506</x:v>
      </x:c>
      <x:c r="N83" s="32" t="n">
        <x:v>2</x:v>
      </x:c>
      <x:c r="O83" s="32" t="n">
        <x:v>2.3</x:v>
      </x:c>
    </x:row>
    <x:row r="84">
      <x:c r="A84" s="34" t="n">
        <x:v>45566</x:v>
      </x:c>
      <x:c r="B84" s="28" t="str">
        <x:v>Grupo Industrial S.A.</x:v>
      </x:c>
      <x:c r="C84" s="28" t="str">
        <x:v>Planta São Paulo</x:v>
      </x:c>
      <x:c r="D84" s="28" t="str">
        <x:v>RápidoSul</x:v>
      </x:c>
      <x:c r="E84" s="28" t="str">
        <x:v>SP-Centro-Oeste</x:v>
      </x:c>
      <x:c r="F84" s="28" t="str">
        <x:v>Sudeste</x:v>
      </x:c>
      <x:c r="G84" s="32" t="n">
        <x:v>42</x:v>
      </x:c>
      <x:c r="H84" s="32" t="n">
        <x:v>39</x:v>
      </x:c>
      <x:c r="I84" s="32" t="n">
        <x:v>41</x:v>
      </x:c>
      <x:c r="J84" s="32" t="n">
        <x:v>39</x:v>
      </x:c>
      <x:c r="K84" s="30" t="n">
        <x:v>59448</x:v>
      </x:c>
      <x:c r="L84" s="32" t="n">
        <x:v>24801</x:v>
      </x:c>
      <x:c r="M84" s="36" t="n">
        <x:v>0.8154</x:v>
      </x:c>
      <x:c r="N84" s="32" t="n">
        <x:v>1</x:v>
      </x:c>
      <x:c r="O84" s="32" t="n">
        <x:v>2.4</x:v>
      </x:c>
    </x:row>
    <x:row r="85">
      <x:c r="A85" s="34" t="n">
        <x:v>45566</x:v>
      </x:c>
      <x:c r="B85" s="28" t="str">
        <x:v>Grupo Industrial S.A.</x:v>
      </x:c>
      <x:c r="C85" s="28" t="str">
        <x:v>Planta São Paulo</x:v>
      </x:c>
      <x:c r="D85" s="28" t="str">
        <x:v>NovaLog</x:v>
      </x:c>
      <x:c r="E85" s="28" t="str">
        <x:v>SP-Nordeste</x:v>
      </x:c>
      <x:c r="F85" s="28" t="str">
        <x:v>Sudeste</x:v>
      </x:c>
      <x:c r="G85" s="32" t="n">
        <x:v>33</x:v>
      </x:c>
      <x:c r="H85" s="32" t="n">
        <x:v>31</x:v>
      </x:c>
      <x:c r="I85" s="32" t="n">
        <x:v>32</x:v>
      </x:c>
      <x:c r="J85" s="32" t="n">
        <x:v>31</x:v>
      </x:c>
      <x:c r="K85" s="30" t="n">
        <x:v>64744</x:v>
      </x:c>
      <x:c r="L85" s="32" t="n">
        <x:v>26491</x:v>
      </x:c>
      <x:c r="M85" s="36" t="n">
        <x:v>0.8442</x:v>
      </x:c>
      <x:c r="N85" s="32" t="n">
        <x:v>1</x:v>
      </x:c>
      <x:c r="O85" s="32" t="n">
        <x:v>2.6</x:v>
      </x:c>
    </x:row>
    <x:row r="86">
      <x:c r="A86" s="34" t="n">
        <x:v>45566</x:v>
      </x:c>
      <x:c r="B86" s="28" t="str">
        <x:v>Grupo Industrial S.A.</x:v>
      </x:c>
      <x:c r="C86" s="28" t="str">
        <x:v>Planta Campinas</x:v>
      </x:c>
      <x:c r="D86" s="28" t="str">
        <x:v>TransDados</x:v>
      </x:c>
      <x:c r="E86" s="28" t="str">
        <x:v>Campinas-Sudeste</x:v>
      </x:c>
      <x:c r="F86" s="28" t="str">
        <x:v>Sudeste</x:v>
      </x:c>
      <x:c r="G86" s="32" t="n">
        <x:v>39</x:v>
      </x:c>
      <x:c r="H86" s="32" t="n">
        <x:v>34</x:v>
      </x:c>
      <x:c r="I86" s="32" t="n">
        <x:v>37</x:v>
      </x:c>
      <x:c r="J86" s="32" t="n">
        <x:v>34</x:v>
      </x:c>
      <x:c r="K86" s="30" t="n">
        <x:v>70733.68</x:v>
      </x:c>
      <x:c r="L86" s="32" t="n">
        <x:v>25508</x:v>
      </x:c>
      <x:c r="M86" s="36" t="n">
        <x:v>0.7768</x:v>
      </x:c>
      <x:c r="N86" s="32" t="n">
        <x:v>3</x:v>
      </x:c>
      <x:c r="O86" s="32" t="n">
        <x:v>2.8</x:v>
      </x:c>
    </x:row>
    <x:row r="87">
      <x:c r="A87" s="34" t="n">
        <x:v>45566</x:v>
      </x:c>
      <x:c r="B87" s="28" t="str">
        <x:v>Grupo Industrial S.A.</x:v>
      </x:c>
      <x:c r="C87" s="28" t="str">
        <x:v>Planta Campinas</x:v>
      </x:c>
      <x:c r="D87" s="28" t="str">
        <x:v>RápidoSul</x:v>
      </x:c>
      <x:c r="E87" s="28" t="str">
        <x:v>Campinas-Norte</x:v>
      </x:c>
      <x:c r="F87" s="28" t="str">
        <x:v>Sudeste</x:v>
      </x:c>
      <x:c r="G87" s="32" t="n">
        <x:v>38</x:v>
      </x:c>
      <x:c r="H87" s="32" t="n">
        <x:v>32</x:v>
      </x:c>
      <x:c r="I87" s="32" t="n">
        <x:v>36</x:v>
      </x:c>
      <x:c r="J87" s="32" t="n">
        <x:v>32</x:v>
      </x:c>
      <x:c r="K87" s="30" t="n">
        <x:v>64327.67</x:v>
      </x:c>
      <x:c r="L87" s="32" t="n">
        <x:v>22743</x:v>
      </x:c>
      <x:c r="M87" s="36" t="n">
        <x:v>0.7431</x:v>
      </x:c>
      <x:c r="N87" s="32" t="n">
        <x:v>3</x:v>
      </x:c>
      <x:c r="O87" s="32" t="n">
        <x:v>2.9</x:v>
      </x:c>
    </x:row>
    <x:row r="88">
      <x:c r="A88" s="34" t="n">
        <x:v>45566</x:v>
      </x:c>
      <x:c r="B88" s="28" t="str">
        <x:v>Grupo Industrial S.A.</x:v>
      </x:c>
      <x:c r="C88" s="28" t="str">
        <x:v>Planta Campinas</x:v>
      </x:c>
      <x:c r="D88" s="28" t="str">
        <x:v>NovaLog</x:v>
      </x:c>
      <x:c r="E88" s="28" t="str">
        <x:v>Campinas-Nordeste</x:v>
      </x:c>
      <x:c r="F88" s="28" t="str">
        <x:v>Sudeste</x:v>
      </x:c>
      <x:c r="G88" s="32" t="n">
        <x:v>42</x:v>
      </x:c>
      <x:c r="H88" s="32" t="n">
        <x:v>36</x:v>
      </x:c>
      <x:c r="I88" s="32" t="n">
        <x:v>39</x:v>
      </x:c>
      <x:c r="J88" s="32" t="n">
        <x:v>36</x:v>
      </x:c>
      <x:c r="K88" s="30" t="n">
        <x:v>57375.59</x:v>
      </x:c>
      <x:c r="L88" s="32" t="n">
        <x:v>19895</x:v>
      </x:c>
      <x:c r="M88" s="36" t="n">
        <x:v>0.7846</x:v>
      </x:c>
      <x:c r="N88" s="32" t="n">
        <x:v>3</x:v>
      </x:c>
      <x:c r="O88" s="32" t="n">
        <x:v>3.1</x:v>
      </x:c>
    </x:row>
    <x:row r="89">
      <x:c r="A89" s="34" t="n">
        <x:v>45566</x:v>
      </x:c>
      <x:c r="B89" s="28" t="str">
        <x:v>Grupo Industrial S.A.</x:v>
      </x:c>
      <x:c r="C89" s="28" t="str">
        <x:v>Planta Curitiba</x:v>
      </x:c>
      <x:c r="D89" s="28" t="str">
        <x:v>TransDados</x:v>
      </x:c>
      <x:c r="E89" s="28" t="str">
        <x:v>Curitiba-Sul</x:v>
      </x:c>
      <x:c r="F89" s="28" t="str">
        <x:v>Sul</x:v>
      </x:c>
      <x:c r="G89" s="32" t="n">
        <x:v>36</x:v>
      </x:c>
      <x:c r="H89" s="32" t="n">
        <x:v>32</x:v>
      </x:c>
      <x:c r="I89" s="32" t="n">
        <x:v>34</x:v>
      </x:c>
      <x:c r="J89" s="32" t="n">
        <x:v>32</x:v>
      </x:c>
      <x:c r="K89" s="30" t="n">
        <x:v>47361.38</x:v>
      </x:c>
      <x:c r="L89" s="32" t="n">
        <x:v>19013</x:v>
      </x:c>
      <x:c r="M89" s="36" t="n">
        <x:v>0.7905</x:v>
      </x:c>
      <x:c r="N89" s="32" t="n">
        <x:v>1</x:v>
      </x:c>
      <x:c r="O89" s="32" t="n">
        <x:v>2.5</x:v>
      </x:c>
    </x:row>
    <x:row r="90">
      <x:c r="A90" s="34" t="n">
        <x:v>45566</x:v>
      </x:c>
      <x:c r="B90" s="28" t="str">
        <x:v>Grupo Industrial S.A.</x:v>
      </x:c>
      <x:c r="C90" s="28" t="str">
        <x:v>Planta Curitiba</x:v>
      </x:c>
      <x:c r="D90" s="28" t="str">
        <x:v>RápidoSul</x:v>
      </x:c>
      <x:c r="E90" s="28" t="str">
        <x:v>Curitiba-Sudeste</x:v>
      </x:c>
      <x:c r="F90" s="28" t="str">
        <x:v>Sul</x:v>
      </x:c>
      <x:c r="G90" s="32" t="n">
        <x:v>36</x:v>
      </x:c>
      <x:c r="H90" s="32" t="n">
        <x:v>33</x:v>
      </x:c>
      <x:c r="I90" s="32" t="n">
        <x:v>34</x:v>
      </x:c>
      <x:c r="J90" s="32" t="n">
        <x:v>33</x:v>
      </x:c>
      <x:c r="K90" s="30" t="n">
        <x:v>49289.37</x:v>
      </x:c>
      <x:c r="L90" s="32" t="n">
        <x:v>19399</x:v>
      </x:c>
      <x:c r="M90" s="36" t="n">
        <x:v>0.7652</x:v>
      </x:c>
      <x:c r="N90" s="32" t="n">
        <x:v>1</x:v>
      </x:c>
      <x:c r="O90" s="32" t="n">
        <x:v>2.6</x:v>
      </x:c>
    </x:row>
    <x:row r="91">
      <x:c r="A91" s="34" t="n">
        <x:v>45566</x:v>
      </x:c>
      <x:c r="B91" s="28" t="str">
        <x:v>Grupo Industrial S.A.</x:v>
      </x:c>
      <x:c r="C91" s="28" t="str">
        <x:v>Planta Curitiba</x:v>
      </x:c>
      <x:c r="D91" s="28" t="str">
        <x:v>NovaLog</x:v>
      </x:c>
      <x:c r="E91" s="28" t="str">
        <x:v>Curitiba-Centro-Oeste</x:v>
      </x:c>
      <x:c r="F91" s="28" t="str">
        <x:v>Sul</x:v>
      </x:c>
      <x:c r="G91" s="32" t="n">
        <x:v>36</x:v>
      </x:c>
      <x:c r="H91" s="32" t="n">
        <x:v>32</x:v>
      </x:c>
      <x:c r="I91" s="32" t="n">
        <x:v>35</x:v>
      </x:c>
      <x:c r="J91" s="32" t="n">
        <x:v>32</x:v>
      </x:c>
      <x:c r="K91" s="30" t="n">
        <x:v>56152.12</x:v>
      </x:c>
      <x:c r="L91" s="32" t="n">
        <x:v>21675</x:v>
      </x:c>
      <x:c r="M91" s="36" t="n">
        <x:v>0.807</x:v>
      </x:c>
      <x:c r="N91" s="32" t="n">
        <x:v>1</x:v>
      </x:c>
      <x:c r="O91" s="32" t="n">
        <x:v>2.8</x:v>
      </x:c>
    </x:row>
    <x:row r="92">
      <x:c r="A92" s="34" t="n">
        <x:v>45597</x:v>
      </x:c>
      <x:c r="B92" s="28" t="str">
        <x:v>Grupo Industrial S.A.</x:v>
      </x:c>
      <x:c r="C92" s="28" t="str">
        <x:v>Planta São Paulo</x:v>
      </x:c>
      <x:c r="D92" s="28" t="str">
        <x:v>TransDados</x:v>
      </x:c>
      <x:c r="E92" s="28" t="str">
        <x:v>SP-Sudeste</x:v>
      </x:c>
      <x:c r="F92" s="28" t="str">
        <x:v>Sudeste</x:v>
      </x:c>
      <x:c r="G92" s="32" t="n">
        <x:v>42</x:v>
      </x:c>
      <x:c r="H92" s="32" t="n">
        <x:v>39</x:v>
      </x:c>
      <x:c r="I92" s="32" t="n">
        <x:v>40</x:v>
      </x:c>
      <x:c r="J92" s="32" t="n">
        <x:v>39</x:v>
      </x:c>
      <x:c r="K92" s="30" t="n">
        <x:v>46443.05</x:v>
      </x:c>
      <x:c r="L92" s="32" t="n">
        <x:v>19763</x:v>
      </x:c>
      <x:c r="M92" s="36" t="n">
        <x:v>0.8367</x:v>
      </x:c>
      <x:c r="N92" s="32" t="n">
        <x:v>1</x:v>
      </x:c>
      <x:c r="O92" s="32" t="n">
        <x:v>2.3</x:v>
      </x:c>
    </x:row>
    <x:row r="93">
      <x:c r="A93" s="34" t="n">
        <x:v>45597</x:v>
      </x:c>
      <x:c r="B93" s="28" t="str">
        <x:v>Grupo Industrial S.A.</x:v>
      </x:c>
      <x:c r="C93" s="28" t="str">
        <x:v>Planta São Paulo</x:v>
      </x:c>
      <x:c r="D93" s="28" t="str">
        <x:v>RápidoSul</x:v>
      </x:c>
      <x:c r="E93" s="28" t="str">
        <x:v>SP-Centro-Oeste</x:v>
      </x:c>
      <x:c r="F93" s="28" t="str">
        <x:v>Sudeste</x:v>
      </x:c>
      <x:c r="G93" s="32" t="n">
        <x:v>34</x:v>
      </x:c>
      <x:c r="H93" s="32" t="n">
        <x:v>31</x:v>
      </x:c>
      <x:c r="I93" s="32" t="n">
        <x:v>33</x:v>
      </x:c>
      <x:c r="J93" s="32" t="n">
        <x:v>31</x:v>
      </x:c>
      <x:c r="K93" s="30" t="n">
        <x:v>60584.18</x:v>
      </x:c>
      <x:c r="L93" s="32" t="n">
        <x:v>25275</x:v>
      </x:c>
      <x:c r="M93" s="36" t="n">
        <x:v>0.8532</x:v>
      </x:c>
      <x:c r="N93" s="32" t="n">
        <x:v>1</x:v>
      </x:c>
      <x:c r="O93" s="32" t="n">
        <x:v>2.4</x:v>
      </x:c>
    </x:row>
    <x:row r="94">
      <x:c r="A94" s="34" t="n">
        <x:v>45597</x:v>
      </x:c>
      <x:c r="B94" s="28" t="str">
        <x:v>Grupo Industrial S.A.</x:v>
      </x:c>
      <x:c r="C94" s="28" t="str">
        <x:v>Planta São Paulo</x:v>
      </x:c>
      <x:c r="D94" s="28" t="str">
        <x:v>NovaLog</x:v>
      </x:c>
      <x:c r="E94" s="28" t="str">
        <x:v>SP-Nordeste</x:v>
      </x:c>
      <x:c r="F94" s="28" t="str">
        <x:v>Sudeste</x:v>
      </x:c>
      <x:c r="G94" s="32" t="n">
        <x:v>44</x:v>
      </x:c>
      <x:c r="H94" s="32" t="n">
        <x:v>42</x:v>
      </x:c>
      <x:c r="I94" s="32" t="n">
        <x:v>43</x:v>
      </x:c>
      <x:c r="J94" s="32" t="n">
        <x:v>42</x:v>
      </x:c>
      <x:c r="K94" s="30" t="n">
        <x:v>62930.56</x:v>
      </x:c>
      <x:c r="L94" s="32" t="n">
        <x:v>25749</x:v>
      </x:c>
      <x:c r="M94" s="36" t="n">
        <x:v>0.847</x:v>
      </x:c>
      <x:c r="N94" s="32" t="n">
        <x:v>2</x:v>
      </x:c>
      <x:c r="O94" s="32" t="n">
        <x:v>2.6</x:v>
      </x:c>
    </x:row>
    <x:row r="95">
      <x:c r="A95" s="34" t="n">
        <x:v>45597</x:v>
      </x:c>
      <x:c r="B95" s="28" t="str">
        <x:v>Grupo Industrial S.A.</x:v>
      </x:c>
      <x:c r="C95" s="28" t="str">
        <x:v>Planta Campinas</x:v>
      </x:c>
      <x:c r="D95" s="28" t="str">
        <x:v>TransDados</x:v>
      </x:c>
      <x:c r="E95" s="28" t="str">
        <x:v>Campinas-Sudeste</x:v>
      </x:c>
      <x:c r="F95" s="28" t="str">
        <x:v>Sudeste</x:v>
      </x:c>
      <x:c r="G95" s="32" t="n">
        <x:v>43</x:v>
      </x:c>
      <x:c r="H95" s="32" t="n">
        <x:v>37</x:v>
      </x:c>
      <x:c r="I95" s="32" t="n">
        <x:v>41</x:v>
      </x:c>
      <x:c r="J95" s="32" t="n">
        <x:v>37</x:v>
      </x:c>
      <x:c r="K95" s="30" t="n">
        <x:v>53407.98</x:v>
      </x:c>
      <x:c r="L95" s="32" t="n">
        <x:v>19260</x:v>
      </x:c>
      <x:c r="M95" s="36" t="n">
        <x:v>0.7746</x:v>
      </x:c>
      <x:c r="N95" s="32" t="n">
        <x:v>3</x:v>
      </x:c>
      <x:c r="O95" s="32" t="n">
        <x:v>2.8</x:v>
      </x:c>
    </x:row>
    <x:row r="96">
      <x:c r="A96" s="34" t="n">
        <x:v>45597</x:v>
      </x:c>
      <x:c r="B96" s="28" t="str">
        <x:v>Grupo Industrial S.A.</x:v>
      </x:c>
      <x:c r="C96" s="28" t="str">
        <x:v>Planta Campinas</x:v>
      </x:c>
      <x:c r="D96" s="28" t="str">
        <x:v>RápidoSul</x:v>
      </x:c>
      <x:c r="E96" s="28" t="str">
        <x:v>Campinas-Norte</x:v>
      </x:c>
      <x:c r="F96" s="28" t="str">
        <x:v>Sudeste</x:v>
      </x:c>
      <x:c r="G96" s="32" t="n">
        <x:v>32</x:v>
      </x:c>
      <x:c r="H96" s="32" t="n">
        <x:v>28</x:v>
      </x:c>
      <x:c r="I96" s="32" t="n">
        <x:v>30</x:v>
      </x:c>
      <x:c r="J96" s="32" t="n">
        <x:v>28</x:v>
      </x:c>
      <x:c r="K96" s="30" t="n">
        <x:v>79867.23</x:v>
      </x:c>
      <x:c r="L96" s="32" t="n">
        <x:v>28237</x:v>
      </x:c>
      <x:c r="M96" s="36" t="n">
        <x:v>0.7442</x:v>
      </x:c>
      <x:c r="N96" s="32" t="n">
        <x:v>3</x:v>
      </x:c>
      <x:c r="O96" s="32" t="n">
        <x:v>2.9</x:v>
      </x:c>
    </x:row>
    <x:row r="97">
      <x:c r="A97" s="34" t="n">
        <x:v>45597</x:v>
      </x:c>
      <x:c r="B97" s="28" t="str">
        <x:v>Grupo Industrial S.A.</x:v>
      </x:c>
      <x:c r="C97" s="28" t="str">
        <x:v>Planta Campinas</x:v>
      </x:c>
      <x:c r="D97" s="28" t="str">
        <x:v>NovaLog</x:v>
      </x:c>
      <x:c r="E97" s="28" t="str">
        <x:v>Campinas-Nordeste</x:v>
      </x:c>
      <x:c r="F97" s="28" t="str">
        <x:v>Sudeste</x:v>
      </x:c>
      <x:c r="G97" s="32" t="n">
        <x:v>42</x:v>
      </x:c>
      <x:c r="H97" s="32" t="n">
        <x:v>36</x:v>
      </x:c>
      <x:c r="I97" s="32" t="n">
        <x:v>39</x:v>
      </x:c>
      <x:c r="J97" s="32" t="n">
        <x:v>36</x:v>
      </x:c>
      <x:c r="K97" s="30" t="n">
        <x:v>70269.59</x:v>
      </x:c>
      <x:c r="L97" s="32" t="n">
        <x:v>24366</x:v>
      </x:c>
      <x:c r="M97" s="36" t="n">
        <x:v>0.7356</x:v>
      </x:c>
      <x:c r="N97" s="32" t="n">
        <x:v>3</x:v>
      </x:c>
      <x:c r="O97" s="32" t="n">
        <x:v>3.1</x:v>
      </x:c>
    </x:row>
    <x:row r="98">
      <x:c r="A98" s="34" t="n">
        <x:v>45597</x:v>
      </x:c>
      <x:c r="B98" s="28" t="str">
        <x:v>Grupo Industrial S.A.</x:v>
      </x:c>
      <x:c r="C98" s="28" t="str">
        <x:v>Planta Curitiba</x:v>
      </x:c>
      <x:c r="D98" s="28" t="str">
        <x:v>TransDados</x:v>
      </x:c>
      <x:c r="E98" s="28" t="str">
        <x:v>Curitiba-Sul</x:v>
      </x:c>
      <x:c r="F98" s="28" t="str">
        <x:v>Sul</x:v>
      </x:c>
      <x:c r="G98" s="32" t="n">
        <x:v>38</x:v>
      </x:c>
      <x:c r="H98" s="32" t="n">
        <x:v>34</x:v>
      </x:c>
      <x:c r="I98" s="32" t="n">
        <x:v>37</x:v>
      </x:c>
      <x:c r="J98" s="32" t="n">
        <x:v>34</x:v>
      </x:c>
      <x:c r="K98" s="30" t="n">
        <x:v>75382.64</x:v>
      </x:c>
      <x:c r="L98" s="32" t="n">
        <x:v>30262</x:v>
      </x:c>
      <x:c r="M98" s="36" t="n">
        <x:v>0.7948</x:v>
      </x:c>
      <x:c r="N98" s="32" t="n">
        <x:v>1</x:v>
      </x:c>
      <x:c r="O98" s="32" t="n">
        <x:v>2.5</x:v>
      </x:c>
    </x:row>
    <x:row r="99">
      <x:c r="A99" s="34" t="n">
        <x:v>45597</x:v>
      </x:c>
      <x:c r="B99" s="28" t="str">
        <x:v>Grupo Industrial S.A.</x:v>
      </x:c>
      <x:c r="C99" s="28" t="str">
        <x:v>Planta Curitiba</x:v>
      </x:c>
      <x:c r="D99" s="28" t="str">
        <x:v>RápidoSul</x:v>
      </x:c>
      <x:c r="E99" s="28" t="str">
        <x:v>Curitiba-Sudeste</x:v>
      </x:c>
      <x:c r="F99" s="28" t="str">
        <x:v>Sul</x:v>
      </x:c>
      <x:c r="G99" s="32" t="n">
        <x:v>33</x:v>
      </x:c>
      <x:c r="H99" s="32" t="n">
        <x:v>29</x:v>
      </x:c>
      <x:c r="I99" s="32" t="n">
        <x:v>32</x:v>
      </x:c>
      <x:c r="J99" s="32" t="n">
        <x:v>29</x:v>
      </x:c>
      <x:c r="K99" s="30" t="n">
        <x:v>65802.16</x:v>
      </x:c>
      <x:c r="L99" s="32" t="n">
        <x:v>25898</x:v>
      </x:c>
      <x:c r="M99" s="36" t="n">
        <x:v>0.7995</x:v>
      </x:c>
      <x:c r="N99" s="32" t="n">
        <x:v>1</x:v>
      </x:c>
      <x:c r="O99" s="32" t="n">
        <x:v>2.6</x:v>
      </x:c>
    </x:row>
    <x:row r="100">
      <x:c r="A100" s="34" t="n">
        <x:v>45597</x:v>
      </x:c>
      <x:c r="B100" s="28" t="str">
        <x:v>Grupo Industrial S.A.</x:v>
      </x:c>
      <x:c r="C100" s="28" t="str">
        <x:v>Planta Curitiba</x:v>
      </x:c>
      <x:c r="D100" s="28" t="str">
        <x:v>NovaLog</x:v>
      </x:c>
      <x:c r="E100" s="28" t="str">
        <x:v>Curitiba-Centro-Oeste</x:v>
      </x:c>
      <x:c r="F100" s="28" t="str">
        <x:v>Sul</x:v>
      </x:c>
      <x:c r="G100" s="32" t="n">
        <x:v>41</x:v>
      </x:c>
      <x:c r="H100" s="32" t="n">
        <x:v>36</x:v>
      </x:c>
      <x:c r="I100" s="32" t="n">
        <x:v>40</x:v>
      </x:c>
      <x:c r="J100" s="32" t="n">
        <x:v>36</x:v>
      </x:c>
      <x:c r="K100" s="30" t="n">
        <x:v>52802.42</x:v>
      </x:c>
      <x:c r="L100" s="32" t="n">
        <x:v>20382</x:v>
      </x:c>
      <x:c r="M100" s="36" t="n">
        <x:v>0.7849</x:v>
      </x:c>
      <x:c r="N100" s="32" t="n">
        <x:v>1</x:v>
      </x:c>
      <x:c r="O100" s="32" t="n">
        <x:v>2.8</x:v>
      </x:c>
    </x:row>
    <x:row r="101">
      <x:c r="A101" s="34" t="n">
        <x:v>45627</x:v>
      </x:c>
      <x:c r="B101" s="28" t="str">
        <x:v>Grupo Industrial S.A.</x:v>
      </x:c>
      <x:c r="C101" s="28" t="str">
        <x:v>Planta São Paulo</x:v>
      </x:c>
      <x:c r="D101" s="28" t="str">
        <x:v>TransDados</x:v>
      </x:c>
      <x:c r="E101" s="28" t="str">
        <x:v>SP-Sudeste</x:v>
      </x:c>
      <x:c r="F101" s="28" t="str">
        <x:v>Sudeste</x:v>
      </x:c>
      <x:c r="G101" s="32" t="n">
        <x:v>37</x:v>
      </x:c>
      <x:c r="H101" s="32" t="n">
        <x:v>35</x:v>
      </x:c>
      <x:c r="I101" s="32" t="n">
        <x:v>36</x:v>
      </x:c>
      <x:c r="J101" s="32" t="n">
        <x:v>35</x:v>
      </x:c>
      <x:c r="K101" s="30" t="n">
        <x:v>52823.3</x:v>
      </x:c>
      <x:c r="L101" s="32" t="n">
        <x:v>22478</x:v>
      </x:c>
      <x:c r="M101" s="36" t="n">
        <x:v>0.8181</x:v>
      </x:c>
      <x:c r="N101" s="32" t="n">
        <x:v>1</x:v>
      </x:c>
      <x:c r="O101" s="32" t="n">
        <x:v>2.3</x:v>
      </x:c>
    </x:row>
    <x:row r="102">
      <x:c r="A102" s="34" t="n">
        <x:v>45627</x:v>
      </x:c>
      <x:c r="B102" s="28" t="str">
        <x:v>Grupo Industrial S.A.</x:v>
      </x:c>
      <x:c r="C102" s="28" t="str">
        <x:v>Planta São Paulo</x:v>
      </x:c>
      <x:c r="D102" s="28" t="str">
        <x:v>RápidoSul</x:v>
      </x:c>
      <x:c r="E102" s="28" t="str">
        <x:v>SP-Centro-Oeste</x:v>
      </x:c>
      <x:c r="F102" s="28" t="str">
        <x:v>Sudeste</x:v>
      </x:c>
      <x:c r="G102" s="32" t="n">
        <x:v>48</x:v>
      </x:c>
      <x:c r="H102" s="32" t="n">
        <x:v>45</x:v>
      </x:c>
      <x:c r="I102" s="32" t="n">
        <x:v>47</x:v>
      </x:c>
      <x:c r="J102" s="32" t="n">
        <x:v>45</x:v>
      </x:c>
      <x:c r="K102" s="30" t="n">
        <x:v>66559.9</x:v>
      </x:c>
      <x:c r="L102" s="32" t="n">
        <x:v>27768</x:v>
      </x:c>
      <x:c r="M102" s="36" t="n">
        <x:v>0.8111</x:v>
      </x:c>
      <x:c r="N102" s="32" t="n">
        <x:v>2</x:v>
      </x:c>
      <x:c r="O102" s="32" t="n">
        <x:v>2.4</x:v>
      </x:c>
    </x:row>
    <x:row r="103">
      <x:c r="A103" s="34" t="n">
        <x:v>45627</x:v>
      </x:c>
      <x:c r="B103" s="28" t="str">
        <x:v>Grupo Industrial S.A.</x:v>
      </x:c>
      <x:c r="C103" s="28" t="str">
        <x:v>Planta São Paulo</x:v>
      </x:c>
      <x:c r="D103" s="28" t="str">
        <x:v>NovaLog</x:v>
      </x:c>
      <x:c r="E103" s="28" t="str">
        <x:v>SP-Nordeste</x:v>
      </x:c>
      <x:c r="F103" s="28" t="str">
        <x:v>Sudeste</x:v>
      </x:c>
      <x:c r="G103" s="32" t="n">
        <x:v>34</x:v>
      </x:c>
      <x:c r="H103" s="32" t="n">
        <x:v>32</x:v>
      </x:c>
      <x:c r="I103" s="32" t="n">
        <x:v>33</x:v>
      </x:c>
      <x:c r="J103" s="32" t="n">
        <x:v>32</x:v>
      </x:c>
      <x:c r="K103" s="30" t="n">
        <x:v>53865.76</x:v>
      </x:c>
      <x:c r="L103" s="32" t="n">
        <x:v>22040</x:v>
      </x:c>
      <x:c r="M103" s="36" t="n">
        <x:v>0.819</x:v>
      </x:c>
      <x:c r="N103" s="32" t="n">
        <x:v>1</x:v>
      </x:c>
      <x:c r="O103" s="32" t="n">
        <x:v>2.6</x:v>
      </x:c>
    </x:row>
    <x:row r="104">
      <x:c r="A104" s="34" t="n">
        <x:v>45627</x:v>
      </x:c>
      <x:c r="B104" s="28" t="str">
        <x:v>Grupo Industrial S.A.</x:v>
      </x:c>
      <x:c r="C104" s="28" t="str">
        <x:v>Planta Campinas</x:v>
      </x:c>
      <x:c r="D104" s="28" t="str">
        <x:v>TransDados</x:v>
      </x:c>
      <x:c r="E104" s="28" t="str">
        <x:v>Campinas-Sudeste</x:v>
      </x:c>
      <x:c r="F104" s="28" t="str">
        <x:v>Sudeste</x:v>
      </x:c>
      <x:c r="G104" s="32" t="n">
        <x:v>41</x:v>
      </x:c>
      <x:c r="H104" s="32" t="n">
        <x:v>35</x:v>
      </x:c>
      <x:c r="I104" s="32" t="n">
        <x:v>39</x:v>
      </x:c>
      <x:c r="J104" s="32" t="n">
        <x:v>35</x:v>
      </x:c>
      <x:c r="K104" s="30" t="n">
        <x:v>51932.74</x:v>
      </x:c>
      <x:c r="L104" s="32" t="n">
        <x:v>18728</x:v>
      </x:c>
      <x:c r="M104" s="36" t="n">
        <x:v>0.7597</x:v>
      </x:c>
      <x:c r="N104" s="32" t="n">
        <x:v>3</x:v>
      </x:c>
      <x:c r="O104" s="32" t="n">
        <x:v>2.8</x:v>
      </x:c>
    </x:row>
    <x:row r="105">
      <x:c r="A105" s="34" t="n">
        <x:v>45627</x:v>
      </x:c>
      <x:c r="B105" s="28" t="str">
        <x:v>Grupo Industrial S.A.</x:v>
      </x:c>
      <x:c r="C105" s="28" t="str">
        <x:v>Planta Campinas</x:v>
      </x:c>
      <x:c r="D105" s="28" t="str">
        <x:v>RápidoSul</x:v>
      </x:c>
      <x:c r="E105" s="28" t="str">
        <x:v>Campinas-Norte</x:v>
      </x:c>
      <x:c r="F105" s="28" t="str">
        <x:v>Sudeste</x:v>
      </x:c>
      <x:c r="G105" s="32" t="n">
        <x:v>35</x:v>
      </x:c>
      <x:c r="H105" s="32" t="n">
        <x:v>30</x:v>
      </x:c>
      <x:c r="I105" s="32" t="n">
        <x:v>32</x:v>
      </x:c>
      <x:c r="J105" s="32" t="n">
        <x:v>30</x:v>
      </x:c>
      <x:c r="K105" s="30" t="n">
        <x:v>57924.03</x:v>
      </x:c>
      <x:c r="L105" s="32" t="n">
        <x:v>20479</x:v>
      </x:c>
      <x:c r="M105" s="36" t="n">
        <x:v>0.7837</x:v>
      </x:c>
      <x:c r="N105" s="32" t="n">
        <x:v>3</x:v>
      </x:c>
      <x:c r="O105" s="32" t="n">
        <x:v>2.9</x:v>
      </x:c>
    </x:row>
    <x:row r="106">
      <x:c r="A106" s="34" t="n">
        <x:v>45627</x:v>
      </x:c>
      <x:c r="B106" s="28" t="str">
        <x:v>Grupo Industrial S.A.</x:v>
      </x:c>
      <x:c r="C106" s="28" t="str">
        <x:v>Planta Campinas</x:v>
      </x:c>
      <x:c r="D106" s="28" t="str">
        <x:v>NovaLog</x:v>
      </x:c>
      <x:c r="E106" s="28" t="str">
        <x:v>Campinas-Nordeste</x:v>
      </x:c>
      <x:c r="F106" s="28" t="str">
        <x:v>Sudeste</x:v>
      </x:c>
      <x:c r="G106" s="32" t="n">
        <x:v>36</x:v>
      </x:c>
      <x:c r="H106" s="32" t="n">
        <x:v>32</x:v>
      </x:c>
      <x:c r="I106" s="32" t="n">
        <x:v>34</x:v>
      </x:c>
      <x:c r="J106" s="32" t="n">
        <x:v>32</x:v>
      </x:c>
      <x:c r="K106" s="30" t="n">
        <x:v>76475.79</x:v>
      </x:c>
      <x:c r="L106" s="32" t="n">
        <x:v>26518</x:v>
      </x:c>
      <x:c r="M106" s="36" t="n">
        <x:v>0.7672</x:v>
      </x:c>
      <x:c r="N106" s="32" t="n">
        <x:v>3</x:v>
      </x:c>
      <x:c r="O106" s="32" t="n">
        <x:v>3.1</x:v>
      </x:c>
    </x:row>
    <x:row r="107">
      <x:c r="A107" s="34" t="n">
        <x:v>45627</x:v>
      </x:c>
      <x:c r="B107" s="28" t="str">
        <x:v>Grupo Industrial S.A.</x:v>
      </x:c>
      <x:c r="C107" s="28" t="str">
        <x:v>Planta Curitiba</x:v>
      </x:c>
      <x:c r="D107" s="28" t="str">
        <x:v>TransDados</x:v>
      </x:c>
      <x:c r="E107" s="28" t="str">
        <x:v>Curitiba-Sul</x:v>
      </x:c>
      <x:c r="F107" s="28" t="str">
        <x:v>Sul</x:v>
      </x:c>
      <x:c r="G107" s="32" t="n">
        <x:v>43</x:v>
      </x:c>
      <x:c r="H107" s="32" t="n">
        <x:v>39</x:v>
      </x:c>
      <x:c r="I107" s="32" t="n">
        <x:v>42</x:v>
      </x:c>
      <x:c r="J107" s="32" t="n">
        <x:v>39</x:v>
      </x:c>
      <x:c r="K107" s="30" t="n">
        <x:v>57915.75</x:v>
      </x:c>
      <x:c r="L107" s="32" t="n">
        <x:v>23250</x:v>
      </x:c>
      <x:c r="M107" s="36" t="n">
        <x:v>0.7981</x:v>
      </x:c>
      <x:c r="N107" s="32" t="n">
        <x:v>2</x:v>
      </x:c>
      <x:c r="O107" s="32" t="n">
        <x:v>2.5</x:v>
      </x:c>
    </x:row>
    <x:row r="108">
      <x:c r="A108" s="34" t="n">
        <x:v>45627</x:v>
      </x:c>
      <x:c r="B108" s="28" t="str">
        <x:v>Grupo Industrial S.A.</x:v>
      </x:c>
      <x:c r="C108" s="28" t="str">
        <x:v>Planta Curitiba</x:v>
      </x:c>
      <x:c r="D108" s="28" t="str">
        <x:v>RápidoSul</x:v>
      </x:c>
      <x:c r="E108" s="28" t="str">
        <x:v>Curitiba-Sudeste</x:v>
      </x:c>
      <x:c r="F108" s="28" t="str">
        <x:v>Sul</x:v>
      </x:c>
      <x:c r="G108" s="32" t="n">
        <x:v>32</x:v>
      </x:c>
      <x:c r="H108" s="32" t="n">
        <x:v>29</x:v>
      </x:c>
      <x:c r="I108" s="32" t="n">
        <x:v>31</x:v>
      </x:c>
      <x:c r="J108" s="32" t="n">
        <x:v>29</x:v>
      </x:c>
      <x:c r="K108" s="30" t="n">
        <x:v>72349.85</x:v>
      </x:c>
      <x:c r="L108" s="32" t="n">
        <x:v>28475</x:v>
      </x:c>
      <x:c r="M108" s="36" t="n">
        <x:v>0.779</x:v>
      </x:c>
      <x:c r="N108" s="32" t="n">
        <x:v>1</x:v>
      </x:c>
      <x:c r="O108" s="32" t="n">
        <x:v>2.6</x:v>
      </x:c>
    </x:row>
    <x:row r="109">
      <x:c r="A109" s="34" t="n">
        <x:v>45627</x:v>
      </x:c>
      <x:c r="B109" s="28" t="str">
        <x:v>Grupo Industrial S.A.</x:v>
      </x:c>
      <x:c r="C109" s="28" t="str">
        <x:v>Planta Curitiba</x:v>
      </x:c>
      <x:c r="D109" s="28" t="str">
        <x:v>NovaLog</x:v>
      </x:c>
      <x:c r="E109" s="28" t="str">
        <x:v>Curitiba-Centro-Oeste</x:v>
      </x:c>
      <x:c r="F109" s="28" t="str">
        <x:v>Sul</x:v>
      </x:c>
      <x:c r="G109" s="32" t="n">
        <x:v>42</x:v>
      </x:c>
      <x:c r="H109" s="32" t="n">
        <x:v>38</x:v>
      </x:c>
      <x:c r="I109" s="32" t="n">
        <x:v>40</x:v>
      </x:c>
      <x:c r="J109" s="32" t="n">
        <x:v>38</x:v>
      </x:c>
      <x:c r="K109" s="30" t="n">
        <x:v>77825.42</x:v>
      </x:c>
      <x:c r="L109" s="32" t="n">
        <x:v>30041</x:v>
      </x:c>
      <x:c r="M109" s="36" t="n">
        <x:v>0.8061</x:v>
      </x:c>
      <x:c r="N109" s="32" t="n">
        <x:v>1</x:v>
      </x:c>
      <x:c r="O109" s="32" t="n">
        <x:v>2.8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24" hidden="0" customWidth="1"/>
    <x:col min="4" max="4" width="22" hidden="0" customWidth="1"/>
    <x:col min="5" max="5" width="22" hidden="0" customWidth="1"/>
    <x:col min="6" max="6" width="16" hidden="0" customWidth="1"/>
    <x:col min="7" max="7" width="20" hidden="0" customWidth="1"/>
    <x:col min="8" max="8" width="24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20" hidden="0" customWidth="1"/>
    <x:col min="14" max="14" width="16" hidden="0" customWidth="1"/>
    <x:col min="15" max="15" width="26" hidden="0" customWidth="1"/>
    <x:col min="16" max="16" width="22" hidden="0" customWidth="1"/>
  </x:cols>
  <x:sheetData>
    <x:row r="1">
      <x:c r="A1" s="22" t="str">
        <x:v>Pedido</x:v>
      </x:c>
      <x:c r="B1" s="22" t="str">
        <x:v>Competencia</x:v>
      </x:c>
      <x:c r="C1" s="22" t="str">
        <x:v>Grupo</x:v>
      </x:c>
      <x:c r="D1" s="22" t="str">
        <x:v>Fabrica</x:v>
      </x:c>
      <x:c r="E1" s="22" t="str">
        <x:v>Cliente</x:v>
      </x:c>
      <x:c r="F1" s="22" t="str">
        <x:v>Regiao</x:v>
      </x:c>
      <x:c r="G1" s="22" t="str">
        <x:v>Transportadora</x:v>
      </x:c>
      <x:c r="H1" s="22" t="str">
        <x:v>Rota</x:v>
      </x:c>
      <x:c r="I1" s="22" t="str">
        <x:v>Data_Prometida</x:v>
      </x:c>
      <x:c r="J1" s="22" t="str">
        <x:v>Data_Entrega</x:v>
      </x:c>
      <x:c r="K1" s="22" t="str">
        <x:v>Qtd_Pedida</x:v>
      </x:c>
      <x:c r="L1" s="22" t="str">
        <x:v>Qtd_Entregue</x:v>
      </x:c>
      <x:c r="M1" s="22" t="str">
        <x:v>Receita_Pedido_R$</x:v>
      </x:c>
      <x:c r="N1" s="22" t="str">
        <x:v>Status_OTIF</x:v>
      </x:c>
      <x:c r="O1" s="22" t="str">
        <x:v>Causa_Nao_OTIF</x:v>
      </x:c>
      <x:c r="P1" s="22" t="str">
        <x:v>Receita_em_Risco_R$</x:v>
      </x:c>
    </x:row>
    <x:row r="2">
      <x:c r="A2" s="28" t="str">
        <x:v>PED-48001</x:v>
      </x:c>
      <x:c r="B2" s="34" t="n">
        <x:v>45292</x:v>
      </x:c>
      <x:c r="C2" s="28" t="str">
        <x:v>Grupo Industrial S.A.</x:v>
      </x:c>
      <x:c r="D2" s="28" t="str">
        <x:v>Planta São Paulo</x:v>
      </x:c>
      <x:c r="E2" s="28" t="str">
        <x:v>Farma Vida</x:v>
      </x:c>
      <x:c r="F2" s="28" t="str">
        <x:v>Sudeste</x:v>
      </x:c>
      <x:c r="G2" s="28" t="str">
        <x:v>TransDados</x:v>
      </x:c>
      <x:c r="H2" s="28" t="str">
        <x:v>SP-Sudeste</x:v>
      </x:c>
      <x:c r="I2" s="34" t="n">
        <x:v>45297</x:v>
      </x:c>
      <x:c r="J2" s="34" t="n">
        <x:v>45298</x:v>
      </x:c>
      <x:c r="K2" s="32" t="n">
        <x:v>1015</x:v>
      </x:c>
      <x:c r="L2" s="32" t="n">
        <x:v>1015</x:v>
      </x:c>
      <x:c r="M2" s="30" t="n">
        <x:v>79170</x:v>
      </x:c>
      <x:c r="N2" s="28" t="str">
        <x:v>Em atraso</x:v>
      </x:c>
      <x:c r="O2" s="28" t="str">
        <x:v>Atraso transportadora</x:v>
      </x:c>
      <x:c r="P2" s="30" t="n">
        <x:v>79170</x:v>
      </x:c>
    </x:row>
    <x:row r="3">
      <x:c r="A3" s="28" t="str">
        <x:v>PED-48002</x:v>
      </x:c>
      <x:c r="B3" s="34" t="n">
        <x:v>45292</x:v>
      </x:c>
      <x:c r="C3" s="28" t="str">
        <x:v>Grupo Industrial S.A.</x:v>
      </x:c>
      <x:c r="D3" s="28" t="str">
        <x:v>Planta São Paulo</x:v>
      </x:c>
      <x:c r="E3" s="28" t="str">
        <x:v>AutoPeças BR</x:v>
      </x:c>
      <x:c r="F3" s="28" t="str">
        <x:v>Sudeste</x:v>
      </x:c>
      <x:c r="G3" s="28" t="str">
        <x:v>TransDados</x:v>
      </x:c>
      <x:c r="H3" s="28" t="str">
        <x:v>SP-Sudeste</x:v>
      </x:c>
      <x:c r="I3" s="34" t="n">
        <x:v>45300</x:v>
      </x:c>
      <x:c r="J3" s="34" t="n">
        <x:v>45302</x:v>
      </x:c>
      <x:c r="K3" s="32" t="n">
        <x:v>752</x:v>
      </x:c>
      <x:c r="L3" s="32" t="n">
        <x:v>752</x:v>
      </x:c>
      <x:c r="M3" s="30" t="n">
        <x:v>63168</x:v>
      </x:c>
      <x:c r="N3" s="28" t="str">
        <x:v>Em atraso</x:v>
      </x:c>
      <x:c r="O3" s="28" t="str">
        <x:v>Atraso transportadora</x:v>
      </x:c>
      <x:c r="P3" s="30" t="n">
        <x:v>63168</x:v>
      </x:c>
    </x:row>
    <x:row r="4">
      <x:c r="A4" s="28" t="str">
        <x:v>PED-48003</x:v>
      </x:c>
      <x:c r="B4" s="34" t="n">
        <x:v>45292</x:v>
      </x:c>
      <x:c r="C4" s="28" t="str">
        <x:v>Grupo Industrial S.A.</x:v>
      </x:c>
      <x:c r="D4" s="28" t="str">
        <x:v>Planta São Paulo</x:v>
      </x:c>
      <x:c r="E4" s="28" t="str">
        <x:v>Construbem</x:v>
      </x:c>
      <x:c r="F4" s="28" t="str">
        <x:v>Sudeste</x:v>
      </x:c>
      <x:c r="G4" s="28" t="str">
        <x:v>TransDados</x:v>
      </x:c>
      <x:c r="H4" s="28" t="str">
        <x:v>SP-Sudeste</x:v>
      </x:c>
      <x:c r="I4" s="34" t="n">
        <x:v>45303</x:v>
      </x:c>
      <x:c r="J4" s="34" t="n">
        <x:v>45305</x:v>
      </x:c>
      <x:c r="K4" s="32" t="n">
        <x:v>972</x:v>
      </x:c>
      <x:c r="L4" s="32" t="n">
        <x:v>972</x:v>
      </x:c>
      <x:c r="M4" s="30" t="n">
        <x:v>89424</x:v>
      </x:c>
      <x:c r="N4" s="28" t="str">
        <x:v>Em atraso</x:v>
      </x:c>
      <x:c r="O4" s="28" t="str">
        <x:v>Atraso transportadora</x:v>
      </x:c>
      <x:c r="P4" s="30" t="n">
        <x:v>89424</x:v>
      </x:c>
    </x:row>
    <x:row r="5">
      <x:c r="A5" s="28" t="str">
        <x:v>PED-48004</x:v>
      </x:c>
      <x:c r="B5" s="34" t="n">
        <x:v>45292</x:v>
      </x:c>
      <x:c r="C5" s="28" t="str">
        <x:v>Grupo Industrial S.A.</x:v>
      </x:c>
      <x:c r="D5" s="28" t="str">
        <x:v>Planta São Paulo</x:v>
      </x:c>
      <x:c r="E5" s="28" t="str">
        <x:v>Alimentos SA</x:v>
      </x:c>
      <x:c r="F5" s="28" t="str">
        <x:v>Sudeste</x:v>
      </x:c>
      <x:c r="G5" s="28" t="str">
        <x:v>TransDados</x:v>
      </x:c>
      <x:c r="H5" s="28" t="str">
        <x:v>SP-Sudeste</x:v>
      </x:c>
      <x:c r="I5" s="34" t="n">
        <x:v>45306</x:v>
      </x:c>
      <x:c r="J5" s="34" t="n">
        <x:v>45307</x:v>
      </x:c>
      <x:c r="K5" s="32" t="n">
        <x:v>1566</x:v>
      </x:c>
      <x:c r="L5" s="32" t="n">
        <x:v>1566</x:v>
      </x:c>
      <x:c r="M5" s="30" t="n">
        <x:v>122148</x:v>
      </x:c>
      <x:c r="N5" s="28" t="str">
        <x:v>Em atraso</x:v>
      </x:c>
      <x:c r="O5" s="28" t="str">
        <x:v>Atraso transportadora</x:v>
      </x:c>
      <x:c r="P5" s="30" t="n">
        <x:v>122148</x:v>
      </x:c>
    </x:row>
    <x:row r="6">
      <x:c r="A6" s="28" t="str">
        <x:v>PED-48005</x:v>
      </x:c>
      <x:c r="B6" s="34" t="n">
        <x:v>45292</x:v>
      </x:c>
      <x:c r="C6" s="28" t="str">
        <x:v>Grupo Industrial S.A.</x:v>
      </x:c>
      <x:c r="D6" s="28" t="str">
        <x:v>Planta São Paulo</x:v>
      </x:c>
      <x:c r="E6" s="28" t="str">
        <x:v>Farma Vida</x:v>
      </x:c>
      <x:c r="F6" s="28" t="str">
        <x:v>Sudeste</x:v>
      </x:c>
      <x:c r="G6" s="28" t="str">
        <x:v>TransDados</x:v>
      </x:c>
      <x:c r="H6" s="28" t="str">
        <x:v>SP-Sudeste</x:v>
      </x:c>
      <x:c r="I6" s="34" t="n">
        <x:v>45309</x:v>
      </x:c>
      <x:c r="J6" s="34" t="n">
        <x:v>45310</x:v>
      </x:c>
      <x:c r="K6" s="32" t="n">
        <x:v>1889</x:v>
      </x:c>
      <x:c r="L6" s="32" t="n">
        <x:v>1889</x:v>
      </x:c>
      <x:c r="M6" s="30" t="n">
        <x:v>173788</x:v>
      </x:c>
      <x:c r="N6" s="28" t="str">
        <x:v>Em atraso</x:v>
      </x:c>
      <x:c r="O6" s="28" t="str">
        <x:v>Atraso transportadora</x:v>
      </x:c>
      <x:c r="P6" s="30" t="n">
        <x:v>173788</x:v>
      </x:c>
    </x:row>
    <x:row r="7">
      <x:c r="A7" s="28" t="str">
        <x:v>PED-48006</x:v>
      </x:c>
      <x:c r="B7" s="34" t="n">
        <x:v>45292</x:v>
      </x:c>
      <x:c r="C7" s="28" t="str">
        <x:v>Grupo Industrial S.A.</x:v>
      </x:c>
      <x:c r="D7" s="28" t="str">
        <x:v>Planta São Paulo</x:v>
      </x:c>
      <x:c r="E7" s="28" t="str">
        <x:v>AutoPeças BR</x:v>
      </x:c>
      <x:c r="F7" s="28" t="str">
        <x:v>Sudeste</x:v>
      </x:c>
      <x:c r="G7" s="28" t="str">
        <x:v>TransDados</x:v>
      </x:c>
      <x:c r="H7" s="28" t="str">
        <x:v>SP-Sudeste</x:v>
      </x:c>
      <x:c r="I7" s="34" t="n">
        <x:v>45312</x:v>
      </x:c>
      <x:c r="J7" s="34" t="n">
        <x:v>45316</x:v>
      </x:c>
      <x:c r="K7" s="32" t="n">
        <x:v>1565</x:v>
      </x:c>
      <x:c r="L7" s="32" t="n">
        <x:v>1565</x:v>
      </x:c>
      <x:c r="M7" s="30" t="n">
        <x:v>143980</x:v>
      </x:c>
      <x:c r="N7" s="28" t="str">
        <x:v>Em atraso</x:v>
      </x:c>
      <x:c r="O7" s="28" t="str">
        <x:v>Atraso transportadora</x:v>
      </x:c>
      <x:c r="P7" s="30" t="n">
        <x:v>143980</x:v>
      </x:c>
    </x:row>
    <x:row r="8">
      <x:c r="A8" s="28" t="str">
        <x:v>PED-48007</x:v>
      </x:c>
      <x:c r="B8" s="34" t="n">
        <x:v>45292</x:v>
      </x:c>
      <x:c r="C8" s="28" t="str">
        <x:v>Grupo Industrial S.A.</x:v>
      </x:c>
      <x:c r="D8" s="28" t="str">
        <x:v>Planta São Paulo</x:v>
      </x:c>
      <x:c r="E8" s="28" t="str">
        <x:v>Alimentos SA</x:v>
      </x:c>
      <x:c r="F8" s="28" t="str">
        <x:v>Sudeste</x:v>
      </x:c>
      <x:c r="G8" s="28" t="str">
        <x:v>RápidoSul</x:v>
      </x:c>
      <x:c r="H8" s="28" t="str">
        <x:v>SP-Centro-Oeste</x:v>
      </x:c>
      <x:c r="I8" s="34" t="n">
        <x:v>45297</x:v>
      </x:c>
      <x:c r="J8" s="34" t="n">
        <x:v>45298</x:v>
      </x:c>
      <x:c r="K8" s="32" t="n">
        <x:v>1186</x:v>
      </x:c>
      <x:c r="L8" s="32" t="n">
        <x:v>1186</x:v>
      </x:c>
      <x:c r="M8" s="30" t="n">
        <x:v>99624</x:v>
      </x:c>
      <x:c r="N8" s="28" t="str">
        <x:v>Em atraso</x:v>
      </x:c>
      <x:c r="O8" s="28" t="str">
        <x:v>Atraso transportadora</x:v>
      </x:c>
      <x:c r="P8" s="30" t="n">
        <x:v>99624</x:v>
      </x:c>
    </x:row>
    <x:row r="9">
      <x:c r="A9" s="28" t="str">
        <x:v>PED-48008</x:v>
      </x:c>
      <x:c r="B9" s="34" t="n">
        <x:v>45292</x:v>
      </x:c>
      <x:c r="C9" s="28" t="str">
        <x:v>Grupo Industrial S.A.</x:v>
      </x:c>
      <x:c r="D9" s="28" t="str">
        <x:v>Planta São Paulo</x:v>
      </x:c>
      <x:c r="E9" s="28" t="str">
        <x:v>Farma Vida</x:v>
      </x:c>
      <x:c r="F9" s="28" t="str">
        <x:v>Sudeste</x:v>
      </x:c>
      <x:c r="G9" s="28" t="str">
        <x:v>RápidoSul</x:v>
      </x:c>
      <x:c r="H9" s="28" t="str">
        <x:v>SP-Centro-Oeste</x:v>
      </x:c>
      <x:c r="I9" s="34" t="n">
        <x:v>45300</x:v>
      </x:c>
      <x:c r="J9" s="34" t="n">
        <x:v>45300</x:v>
      </x:c>
      <x:c r="K9" s="32" t="n">
        <x:v>1151</x:v>
      </x:c>
      <x:c r="L9" s="32" t="n">
        <x:v>1151</x:v>
      </x:c>
      <x:c r="M9" s="30" t="n">
        <x:v>96684</x:v>
      </x:c>
      <x:c r="N9" s="28" t="str">
        <x:v>OTIF</x:v>
      </x:c>
      <x:c r="O9" s="28" t="str">
        <x:v>Janela perdida no cliente</x:v>
      </x:c>
      <x:c r="P9" s="30" t="n">
        <x:v>0</x:v>
      </x:c>
    </x:row>
    <x:row r="10">
      <x:c r="A10" s="28" t="str">
        <x:v>PED-48009</x:v>
      </x:c>
      <x:c r="B10" s="34" t="n">
        <x:v>45292</x:v>
      </x:c>
      <x:c r="C10" s="28" t="str">
        <x:v>Grupo Industrial S.A.</x:v>
      </x:c>
      <x:c r="D10" s="28" t="str">
        <x:v>Planta São Paulo</x:v>
      </x:c>
      <x:c r="E10" s="28" t="str">
        <x:v>AutoPeças BR</x:v>
      </x:c>
      <x:c r="F10" s="28" t="str">
        <x:v>Sudeste</x:v>
      </x:c>
      <x:c r="G10" s="28" t="str">
        <x:v>RápidoSul</x:v>
      </x:c>
      <x:c r="H10" s="28" t="str">
        <x:v>SP-Centro-Oeste</x:v>
      </x:c>
      <x:c r="I10" s="34" t="n">
        <x:v>45303</x:v>
      </x:c>
      <x:c r="J10" s="34" t="n">
        <x:v>45307</x:v>
      </x:c>
      <x:c r="K10" s="32" t="n">
        <x:v>1930</x:v>
      </x:c>
      <x:c r="L10" s="32" t="n">
        <x:v>1930</x:v>
      </x:c>
      <x:c r="M10" s="30" t="n">
        <x:v>150540</x:v>
      </x:c>
      <x:c r="N10" s="28" t="str">
        <x:v>Em atraso</x:v>
      </x:c>
      <x:c r="O10" s="28" t="str">
        <x:v>Janela perdida no cliente</x:v>
      </x:c>
      <x:c r="P10" s="30" t="n">
        <x:v>150540</x:v>
      </x:c>
    </x:row>
    <x:row r="11">
      <x:c r="A11" s="28" t="str">
        <x:v>PED-48010</x:v>
      </x:c>
      <x:c r="B11" s="34" t="n">
        <x:v>45292</x:v>
      </x:c>
      <x:c r="C11" s="28" t="str">
        <x:v>Grupo Industrial S.A.</x:v>
      </x:c>
      <x:c r="D11" s="28" t="str">
        <x:v>Planta São Paulo</x:v>
      </x:c>
      <x:c r="E11" s="28" t="str">
        <x:v>Construbem</x:v>
      </x:c>
      <x:c r="F11" s="28" t="str">
        <x:v>Sudeste</x:v>
      </x:c>
      <x:c r="G11" s="28" t="str">
        <x:v>RápidoSul</x:v>
      </x:c>
      <x:c r="H11" s="28" t="str">
        <x:v>SP-Centro-Oeste</x:v>
      </x:c>
      <x:c r="I11" s="34" t="n">
        <x:v>45306</x:v>
      </x:c>
      <x:c r="J11" s="34" t="n">
        <x:v>45306</x:v>
      </x:c>
      <x:c r="K11" s="32" t="n">
        <x:v>985</x:v>
      </x:c>
      <x:c r="L11" s="32" t="n">
        <x:v>985</x:v>
      </x:c>
      <x:c r="M11" s="30" t="n">
        <x:v>76830</x:v>
      </x:c>
      <x:c r="N11" s="28" t="str">
        <x:v>OTIF</x:v>
      </x:c>
      <x:c r="O11" s="28" t="str">
        <x:v>Janela perdida no cliente</x:v>
      </x:c>
      <x:c r="P11" s="30" t="n">
        <x:v>0</x:v>
      </x:c>
    </x:row>
    <x:row r="12">
      <x:c r="A12" s="28" t="str">
        <x:v>PED-48011</x:v>
      </x:c>
      <x:c r="B12" s="34" t="n">
        <x:v>45292</x:v>
      </x:c>
      <x:c r="C12" s="28" t="str">
        <x:v>Grupo Industrial S.A.</x:v>
      </x:c>
      <x:c r="D12" s="28" t="str">
        <x:v>Planta São Paulo</x:v>
      </x:c>
      <x:c r="E12" s="28" t="str">
        <x:v>Alimentos SA</x:v>
      </x:c>
      <x:c r="F12" s="28" t="str">
        <x:v>Sudeste</x:v>
      </x:c>
      <x:c r="G12" s="28" t="str">
        <x:v>RápidoSul</x:v>
      </x:c>
      <x:c r="H12" s="28" t="str">
        <x:v>SP-Centro-Oeste</x:v>
      </x:c>
      <x:c r="I12" s="34" t="n">
        <x:v>45309</x:v>
      </x:c>
      <x:c r="J12" s="34" t="n">
        <x:v>45311</x:v>
      </x:c>
      <x:c r="K12" s="32" t="n">
        <x:v>1197</x:v>
      </x:c>
      <x:c r="L12" s="32" t="n">
        <x:v>1197</x:v>
      </x:c>
      <x:c r="M12" s="30" t="n">
        <x:v>110124</x:v>
      </x:c>
      <x:c r="N12" s="28" t="str">
        <x:v>Em atraso</x:v>
      </x:c>
      <x:c r="O12" s="28" t="str">
        <x:v>Janela perdida no cliente</x:v>
      </x:c>
      <x:c r="P12" s="30" t="n">
        <x:v>110124</x:v>
      </x:c>
    </x:row>
    <x:row r="13">
      <x:c r="A13" s="28" t="str">
        <x:v>PED-48012</x:v>
      </x:c>
      <x:c r="B13" s="34" t="n">
        <x:v>45292</x:v>
      </x:c>
      <x:c r="C13" s="28" t="str">
        <x:v>Grupo Industrial S.A.</x:v>
      </x:c>
      <x:c r="D13" s="28" t="str">
        <x:v>Planta São Paulo</x:v>
      </x:c>
      <x:c r="E13" s="28" t="str">
        <x:v>Farma Vida</x:v>
      </x:c>
      <x:c r="F13" s="28" t="str">
        <x:v>Sudeste</x:v>
      </x:c>
      <x:c r="G13" s="28" t="str">
        <x:v>RápidoSul</x:v>
      </x:c>
      <x:c r="H13" s="28" t="str">
        <x:v>SP-Centro-Oeste</x:v>
      </x:c>
      <x:c r="I13" s="34" t="n">
        <x:v>45312</x:v>
      </x:c>
      <x:c r="J13" s="34" t="n">
        <x:v>45314</x:v>
      </x:c>
      <x:c r="K13" s="32" t="n">
        <x:v>2196</x:v>
      </x:c>
      <x:c r="L13" s="32" t="n">
        <x:v>2196</x:v>
      </x:c>
      <x:c r="M13" s="30" t="n">
        <x:v>171288</x:v>
      </x:c>
      <x:c r="N13" s="28" t="str">
        <x:v>Em atraso</x:v>
      </x:c>
      <x:c r="O13" s="28" t="str">
        <x:v>Atraso transportadora</x:v>
      </x:c>
      <x:c r="P13" s="30" t="n">
        <x:v>171288</x:v>
      </x:c>
    </x:row>
    <x:row r="14">
      <x:c r="A14" s="28" t="str">
        <x:v>PED-48013</x:v>
      </x:c>
      <x:c r="B14" s="34" t="n">
        <x:v>45292</x:v>
      </x:c>
      <x:c r="C14" s="28" t="str">
        <x:v>Grupo Industrial S.A.</x:v>
      </x:c>
      <x:c r="D14" s="28" t="str">
        <x:v>Planta São Paulo</x:v>
      </x:c>
      <x:c r="E14" s="28" t="str">
        <x:v>Construbem</x:v>
      </x:c>
      <x:c r="F14" s="28" t="str">
        <x:v>Sudeste</x:v>
      </x:c>
      <x:c r="G14" s="28" t="str">
        <x:v>NovaLog</x:v>
      </x:c>
      <x:c r="H14" s="28" t="str">
        <x:v>SP-Nordeste</x:v>
      </x:c>
      <x:c r="I14" s="34" t="n">
        <x:v>45297</x:v>
      </x:c>
      <x:c r="J14" s="34" t="n">
        <x:v>45297</x:v>
      </x:c>
      <x:c r="K14" s="32" t="n">
        <x:v>1244</x:v>
      </x:c>
      <x:c r="L14" s="32" t="n">
        <x:v>1056</x:v>
      </x:c>
      <x:c r="M14" s="30" t="n">
        <x:v>104496</x:v>
      </x:c>
      <x:c r="N14" s="28" t="str">
        <x:v>Incompleto</x:v>
      </x:c>
      <x:c r="O14" s="28" t="str">
        <x:v>Falta de produto</x:v>
      </x:c>
      <x:c r="P14" s="30" t="n">
        <x:v>104496</x:v>
      </x:c>
    </x:row>
    <x:row r="15">
      <x:c r="A15" s="28" t="str">
        <x:v>PED-48014</x:v>
      </x:c>
      <x:c r="B15" s="34" t="n">
        <x:v>45292</x:v>
      </x:c>
      <x:c r="C15" s="28" t="str">
        <x:v>Grupo Industrial S.A.</x:v>
      </x:c>
      <x:c r="D15" s="28" t="str">
        <x:v>Planta São Paulo</x:v>
      </x:c>
      <x:c r="E15" s="28" t="str">
        <x:v>Alimentos SA</x:v>
      </x:c>
      <x:c r="F15" s="28" t="str">
        <x:v>Sudeste</x:v>
      </x:c>
      <x:c r="G15" s="28" t="str">
        <x:v>NovaLog</x:v>
      </x:c>
      <x:c r="H15" s="28" t="str">
        <x:v>SP-Nordeste</x:v>
      </x:c>
      <x:c r="I15" s="34" t="n">
        <x:v>45300</x:v>
      </x:c>
      <x:c r="J15" s="34" t="n">
        <x:v>45302</x:v>
      </x:c>
      <x:c r="K15" s="32" t="n">
        <x:v>2178</x:v>
      </x:c>
      <x:c r="L15" s="32" t="n">
        <x:v>2178</x:v>
      </x:c>
      <x:c r="M15" s="30" t="n">
        <x:v>156816</x:v>
      </x:c>
      <x:c r="N15" s="28" t="str">
        <x:v>Em atraso</x:v>
      </x:c>
      <x:c r="O15" s="28" t="str">
        <x:v>Atraso transportadora</x:v>
      </x:c>
      <x:c r="P15" s="30" t="n">
        <x:v>156816</x:v>
      </x:c>
    </x:row>
    <x:row r="16">
      <x:c r="A16" s="28" t="str">
        <x:v>PED-48015</x:v>
      </x:c>
      <x:c r="B16" s="34" t="n">
        <x:v>45292</x:v>
      </x:c>
      <x:c r="C16" s="28" t="str">
        <x:v>Grupo Industrial S.A.</x:v>
      </x:c>
      <x:c r="D16" s="28" t="str">
        <x:v>Planta São Paulo</x:v>
      </x:c>
      <x:c r="E16" s="28" t="str">
        <x:v>Farma Vida</x:v>
      </x:c>
      <x:c r="F16" s="28" t="str">
        <x:v>Sudeste</x:v>
      </x:c>
      <x:c r="G16" s="28" t="str">
        <x:v>NovaLog</x:v>
      </x:c>
      <x:c r="H16" s="28" t="str">
        <x:v>SP-Nordeste</x:v>
      </x:c>
      <x:c r="I16" s="34" t="n">
        <x:v>45303</x:v>
      </x:c>
      <x:c r="J16" s="34" t="n">
        <x:v>45305</x:v>
      </x:c>
      <x:c r="K16" s="32" t="n">
        <x:v>1389</x:v>
      </x:c>
      <x:c r="L16" s="32" t="n">
        <x:v>1389</x:v>
      </x:c>
      <x:c r="M16" s="30" t="n">
        <x:v>100008</x:v>
      </x:c>
      <x:c r="N16" s="28" t="str">
        <x:v>Em atraso</x:v>
      </x:c>
      <x:c r="O16" s="28" t="str">
        <x:v>Atraso transportadora</x:v>
      </x:c>
      <x:c r="P16" s="30" t="n">
        <x:v>100008</x:v>
      </x:c>
    </x:row>
    <x:row r="17">
      <x:c r="A17" s="28" t="str">
        <x:v>PED-48016</x:v>
      </x:c>
      <x:c r="B17" s="34" t="n">
        <x:v>45292</x:v>
      </x:c>
      <x:c r="C17" s="28" t="str">
        <x:v>Grupo Industrial S.A.</x:v>
      </x:c>
      <x:c r="D17" s="28" t="str">
        <x:v>Planta São Paulo</x:v>
      </x:c>
      <x:c r="E17" s="28" t="str">
        <x:v>AutoPeças BR</x:v>
      </x:c>
      <x:c r="F17" s="28" t="str">
        <x:v>Sudeste</x:v>
      </x:c>
      <x:c r="G17" s="28" t="str">
        <x:v>NovaLog</x:v>
      </x:c>
      <x:c r="H17" s="28" t="str">
        <x:v>SP-Nordeste</x:v>
      </x:c>
      <x:c r="I17" s="34" t="n">
        <x:v>45306</x:v>
      </x:c>
      <x:c r="J17" s="34" t="n">
        <x:v>45310</x:v>
      </x:c>
      <x:c r="K17" s="32" t="n">
        <x:v>1221</x:v>
      </x:c>
      <x:c r="L17" s="32" t="n">
        <x:v>1221</x:v>
      </x:c>
      <x:c r="M17" s="30" t="n">
        <x:v>102564</x:v>
      </x:c>
      <x:c r="N17" s="28" t="str">
        <x:v>Em atraso</x:v>
      </x:c>
      <x:c r="O17" s="28" t="str">
        <x:v>Atraso transportadora</x:v>
      </x:c>
      <x:c r="P17" s="30" t="n">
        <x:v>102564</x:v>
      </x:c>
    </x:row>
    <x:row r="18">
      <x:c r="A18" s="28" t="str">
        <x:v>PED-48017</x:v>
      </x:c>
      <x:c r="B18" s="34" t="n">
        <x:v>45292</x:v>
      </x:c>
      <x:c r="C18" s="28" t="str">
        <x:v>Grupo Industrial S.A.</x:v>
      </x:c>
      <x:c r="D18" s="28" t="str">
        <x:v>Planta São Paulo</x:v>
      </x:c>
      <x:c r="E18" s="28" t="str">
        <x:v>Construbem</x:v>
      </x:c>
      <x:c r="F18" s="28" t="str">
        <x:v>Sudeste</x:v>
      </x:c>
      <x:c r="G18" s="28" t="str">
        <x:v>NovaLog</x:v>
      </x:c>
      <x:c r="H18" s="28" t="str">
        <x:v>SP-Nordeste</x:v>
      </x:c>
      <x:c r="I18" s="34" t="n">
        <x:v>45309</x:v>
      </x:c>
      <x:c r="J18" s="34" t="n">
        <x:v>45310</x:v>
      </x:c>
      <x:c r="K18" s="32" t="n">
        <x:v>1439</x:v>
      </x:c>
      <x:c r="L18" s="32" t="n">
        <x:v>1439</x:v>
      </x:c>
      <x:c r="M18" s="30" t="n">
        <x:v>132388</x:v>
      </x:c>
      <x:c r="N18" s="28" t="str">
        <x:v>Em atraso</x:v>
      </x:c>
      <x:c r="O18" s="28" t="str">
        <x:v>Atraso transportadora</x:v>
      </x:c>
      <x:c r="P18" s="30" t="n">
        <x:v>132388</x:v>
      </x:c>
    </x:row>
    <x:row r="19">
      <x:c r="A19" s="28" t="str">
        <x:v>PED-48018</x:v>
      </x:c>
      <x:c r="B19" s="34" t="n">
        <x:v>45292</x:v>
      </x:c>
      <x:c r="C19" s="28" t="str">
        <x:v>Grupo Industrial S.A.</x:v>
      </x:c>
      <x:c r="D19" s="28" t="str">
        <x:v>Planta São Paulo</x:v>
      </x:c>
      <x:c r="E19" s="28" t="str">
        <x:v>Alimentos SA</x:v>
      </x:c>
      <x:c r="F19" s="28" t="str">
        <x:v>Sudeste</x:v>
      </x:c>
      <x:c r="G19" s="28" t="str">
        <x:v>NovaLog</x:v>
      </x:c>
      <x:c r="H19" s="28" t="str">
        <x:v>SP-Nordeste</x:v>
      </x:c>
      <x:c r="I19" s="34" t="n">
        <x:v>45312</x:v>
      </x:c>
      <x:c r="J19" s="34" t="n">
        <x:v>45316</x:v>
      </x:c>
      <x:c r="K19" s="32" t="n">
        <x:v>1386</x:v>
      </x:c>
      <x:c r="L19" s="32" t="n">
        <x:v>1386</x:v>
      </x:c>
      <x:c r="M19" s="30" t="n">
        <x:v>108108</x:v>
      </x:c>
      <x:c r="N19" s="28" t="str">
        <x:v>Em atraso</x:v>
      </x:c>
      <x:c r="O19" s="28" t="str">
        <x:v>Atraso transportadora</x:v>
      </x:c>
      <x:c r="P19" s="30" t="n">
        <x:v>108108</x:v>
      </x:c>
    </x:row>
    <x:row r="20">
      <x:c r="A20" s="28" t="str">
        <x:v>PED-48019</x:v>
      </x:c>
      <x:c r="B20" s="34" t="n">
        <x:v>45292</x:v>
      </x:c>
      <x:c r="C20" s="28" t="str">
        <x:v>Grupo Industrial S.A.</x:v>
      </x:c>
      <x:c r="D20" s="28" t="str">
        <x:v>Planta Campinas</x:v>
      </x:c>
      <x:c r="E20" s="28" t="str">
        <x:v>AutoPeças BR</x:v>
      </x:c>
      <x:c r="F20" s="28" t="str">
        <x:v>Sudeste</x:v>
      </x:c>
      <x:c r="G20" s="28" t="str">
        <x:v>TransDados</x:v>
      </x:c>
      <x:c r="H20" s="28" t="str">
        <x:v>Campinas-Sudeste</x:v>
      </x:c>
      <x:c r="I20" s="34" t="n">
        <x:v>45297</x:v>
      </x:c>
      <x:c r="J20" s="34" t="n">
        <x:v>45300</x:v>
      </x:c>
      <x:c r="K20" s="32" t="n">
        <x:v>1161</x:v>
      </x:c>
      <x:c r="L20" s="32" t="n">
        <x:v>1161</x:v>
      </x:c>
      <x:c r="M20" s="30" t="n">
        <x:v>90558</x:v>
      </x:c>
      <x:c r="N20" s="28" t="str">
        <x:v>Em atraso</x:v>
      </x:c>
      <x:c r="O20" s="28" t="str">
        <x:v>Janela perdida no cliente</x:v>
      </x:c>
      <x:c r="P20" s="30" t="n">
        <x:v>90558</x:v>
      </x:c>
    </x:row>
    <x:row r="21">
      <x:c r="A21" s="28" t="str">
        <x:v>PED-48020</x:v>
      </x:c>
      <x:c r="B21" s="34" t="n">
        <x:v>45292</x:v>
      </x:c>
      <x:c r="C21" s="28" t="str">
        <x:v>Grupo Industrial S.A.</x:v>
      </x:c>
      <x:c r="D21" s="28" t="str">
        <x:v>Planta Campinas</x:v>
      </x:c>
      <x:c r="E21" s="28" t="str">
        <x:v>Construbem</x:v>
      </x:c>
      <x:c r="F21" s="28" t="str">
        <x:v>Sudeste</x:v>
      </x:c>
      <x:c r="G21" s="28" t="str">
        <x:v>TransDados</x:v>
      </x:c>
      <x:c r="H21" s="28" t="str">
        <x:v>Campinas-Sudeste</x:v>
      </x:c>
      <x:c r="I21" s="34" t="n">
        <x:v>45300</x:v>
      </x:c>
      <x:c r="J21" s="34" t="n">
        <x:v>45300</x:v>
      </x:c>
      <x:c r="K21" s="32" t="n">
        <x:v>792</x:v>
      </x:c>
      <x:c r="L21" s="32" t="n">
        <x:v>792</x:v>
      </x:c>
      <x:c r="M21" s="30" t="n">
        <x:v>61776</x:v>
      </x:c>
      <x:c r="N21" s="28" t="str">
        <x:v>OTIF</x:v>
      </x:c>
      <x:c r="O21" s="28" t="str">
        <x:v>Janela perdida no cliente</x:v>
      </x:c>
      <x:c r="P21" s="30" t="n">
        <x:v>0</x:v>
      </x:c>
    </x:row>
    <x:row r="22">
      <x:c r="A22" s="28" t="str">
        <x:v>PED-48021</x:v>
      </x:c>
      <x:c r="B22" s="34" t="n">
        <x:v>45292</x:v>
      </x:c>
      <x:c r="C22" s="28" t="str">
        <x:v>Grupo Industrial S.A.</x:v>
      </x:c>
      <x:c r="D22" s="28" t="str">
        <x:v>Planta Campinas</x:v>
      </x:c>
      <x:c r="E22" s="28" t="str">
        <x:v>Alimentos SA</x:v>
      </x:c>
      <x:c r="F22" s="28" t="str">
        <x:v>Sudeste</x:v>
      </x:c>
      <x:c r="G22" s="28" t="str">
        <x:v>TransDados</x:v>
      </x:c>
      <x:c r="H22" s="28" t="str">
        <x:v>Campinas-Sudeste</x:v>
      </x:c>
      <x:c r="I22" s="34" t="n">
        <x:v>45303</x:v>
      </x:c>
      <x:c r="J22" s="34" t="n">
        <x:v>45307</x:v>
      </x:c>
      <x:c r="K22" s="32" t="n">
        <x:v>2133</x:v>
      </x:c>
      <x:c r="L22" s="32" t="n">
        <x:v>2133</x:v>
      </x:c>
      <x:c r="M22" s="30" t="n">
        <x:v>153576</x:v>
      </x:c>
      <x:c r="N22" s="28" t="str">
        <x:v>Em atraso</x:v>
      </x:c>
      <x:c r="O22" s="28" t="str">
        <x:v>Atraso transportadora</x:v>
      </x:c>
      <x:c r="P22" s="30" t="n">
        <x:v>153576</x:v>
      </x:c>
    </x:row>
    <x:row r="23">
      <x:c r="A23" s="28" t="str">
        <x:v>PED-48022</x:v>
      </x:c>
      <x:c r="B23" s="34" t="n">
        <x:v>45292</x:v>
      </x:c>
      <x:c r="C23" s="28" t="str">
        <x:v>Grupo Industrial S.A.</x:v>
      </x:c>
      <x:c r="D23" s="28" t="str">
        <x:v>Planta Campinas</x:v>
      </x:c>
      <x:c r="E23" s="28" t="str">
        <x:v>Farma Vida</x:v>
      </x:c>
      <x:c r="F23" s="28" t="str">
        <x:v>Sudeste</x:v>
      </x:c>
      <x:c r="G23" s="28" t="str">
        <x:v>TransDados</x:v>
      </x:c>
      <x:c r="H23" s="28" t="str">
        <x:v>Campinas-Sudeste</x:v>
      </x:c>
      <x:c r="I23" s="34" t="n">
        <x:v>45306</x:v>
      </x:c>
      <x:c r="J23" s="34" t="n">
        <x:v>45309</x:v>
      </x:c>
      <x:c r="K23" s="32" t="n">
        <x:v>1438</x:v>
      </x:c>
      <x:c r="L23" s="32" t="n">
        <x:v>1438</x:v>
      </x:c>
      <x:c r="M23" s="30" t="n">
        <x:v>103536</x:v>
      </x:c>
      <x:c r="N23" s="28" t="str">
        <x:v>Em atraso</x:v>
      </x:c>
      <x:c r="O23" s="28" t="str">
        <x:v>Janela perdida no cliente</x:v>
      </x:c>
      <x:c r="P23" s="30" t="n">
        <x:v>103536</x:v>
      </x:c>
    </x:row>
    <x:row r="24">
      <x:c r="A24" s="28" t="str">
        <x:v>PED-48023</x:v>
      </x:c>
      <x:c r="B24" s="34" t="n">
        <x:v>45292</x:v>
      </x:c>
      <x:c r="C24" s="28" t="str">
        <x:v>Grupo Industrial S.A.</x:v>
      </x:c>
      <x:c r="D24" s="28" t="str">
        <x:v>Planta Campinas</x:v>
      </x:c>
      <x:c r="E24" s="28" t="str">
        <x:v>AutoPeças BR</x:v>
      </x:c>
      <x:c r="F24" s="28" t="str">
        <x:v>Sudeste</x:v>
      </x:c>
      <x:c r="G24" s="28" t="str">
        <x:v>TransDados</x:v>
      </x:c>
      <x:c r="H24" s="28" t="str">
        <x:v>Campinas-Sudeste</x:v>
      </x:c>
      <x:c r="I24" s="34" t="n">
        <x:v>45309</x:v>
      </x:c>
      <x:c r="J24" s="34" t="n">
        <x:v>45309</x:v>
      </x:c>
      <x:c r="K24" s="32" t="n">
        <x:v>1917</x:v>
      </x:c>
      <x:c r="L24" s="32" t="n">
        <x:v>1917</x:v>
      </x:c>
      <x:c r="M24" s="30" t="n">
        <x:v>161028</x:v>
      </x:c>
      <x:c r="N24" s="28" t="str">
        <x:v>OTIF</x:v>
      </x:c>
      <x:c r="O24" s="28" t="str">
        <x:v>Janela perdida no cliente</x:v>
      </x:c>
      <x:c r="P24" s="30" t="n">
        <x:v>0</x:v>
      </x:c>
    </x:row>
    <x:row r="25">
      <x:c r="A25" s="28" t="str">
        <x:v>PED-48024</x:v>
      </x:c>
      <x:c r="B25" s="34" t="n">
        <x:v>45292</x:v>
      </x:c>
      <x:c r="C25" s="28" t="str">
        <x:v>Grupo Industrial S.A.</x:v>
      </x:c>
      <x:c r="D25" s="28" t="str">
        <x:v>Planta Campinas</x:v>
      </x:c>
      <x:c r="E25" s="28" t="str">
        <x:v>Construbem</x:v>
      </x:c>
      <x:c r="F25" s="28" t="str">
        <x:v>Sudeste</x:v>
      </x:c>
      <x:c r="G25" s="28" t="str">
        <x:v>TransDados</x:v>
      </x:c>
      <x:c r="H25" s="28" t="str">
        <x:v>Campinas-Sudeste</x:v>
      </x:c>
      <x:c r="I25" s="34" t="n">
        <x:v>45312</x:v>
      </x:c>
      <x:c r="J25" s="34" t="n">
        <x:v>45313</x:v>
      </x:c>
      <x:c r="K25" s="32" t="n">
        <x:v>1538</x:v>
      </x:c>
      <x:c r="L25" s="32" t="n">
        <x:v>1538</x:v>
      </x:c>
      <x:c r="M25" s="30" t="n">
        <x:v>129192</x:v>
      </x:c>
      <x:c r="N25" s="28" t="str">
        <x:v>Em atraso</x:v>
      </x:c>
      <x:c r="O25" s="28" t="str">
        <x:v>Atraso transportadora</x:v>
      </x:c>
      <x:c r="P25" s="30" t="n">
        <x:v>129192</x:v>
      </x:c>
    </x:row>
    <x:row r="26">
      <x:c r="A26" s="28" t="str">
        <x:v>PED-48025</x:v>
      </x:c>
      <x:c r="B26" s="34" t="n">
        <x:v>45292</x:v>
      </x:c>
      <x:c r="C26" s="28" t="str">
        <x:v>Grupo Industrial S.A.</x:v>
      </x:c>
      <x:c r="D26" s="28" t="str">
        <x:v>Planta Campinas</x:v>
      </x:c>
      <x:c r="E26" s="28" t="str">
        <x:v>Farma Vida</x:v>
      </x:c>
      <x:c r="F26" s="28" t="str">
        <x:v>Sudeste</x:v>
      </x:c>
      <x:c r="G26" s="28" t="str">
        <x:v>RápidoSul</x:v>
      </x:c>
      <x:c r="H26" s="28" t="str">
        <x:v>Campinas-Norte</x:v>
      </x:c>
      <x:c r="I26" s="34" t="n">
        <x:v>45297</x:v>
      </x:c>
      <x:c r="J26" s="34" t="n">
        <x:v>45298</x:v>
      </x:c>
      <x:c r="K26" s="32" t="n">
        <x:v>1894</x:v>
      </x:c>
      <x:c r="L26" s="32" t="n">
        <x:v>1894</x:v>
      </x:c>
      <x:c r="M26" s="30" t="n">
        <x:v>136368</x:v>
      </x:c>
      <x:c r="N26" s="28" t="str">
        <x:v>Em atraso</x:v>
      </x:c>
      <x:c r="O26" s="28" t="str">
        <x:v>Atraso transportadora</x:v>
      </x:c>
      <x:c r="P26" s="30" t="n">
        <x:v>136368</x:v>
      </x:c>
    </x:row>
    <x:row r="27">
      <x:c r="A27" s="28" t="str">
        <x:v>PED-48026</x:v>
      </x:c>
      <x:c r="B27" s="34" t="n">
        <x:v>45292</x:v>
      </x:c>
      <x:c r="C27" s="28" t="str">
        <x:v>Grupo Industrial S.A.</x:v>
      </x:c>
      <x:c r="D27" s="28" t="str">
        <x:v>Planta Campinas</x:v>
      </x:c>
      <x:c r="E27" s="28" t="str">
        <x:v>AutoPeças BR</x:v>
      </x:c>
      <x:c r="F27" s="28" t="str">
        <x:v>Sudeste</x:v>
      </x:c>
      <x:c r="G27" s="28" t="str">
        <x:v>RápidoSul</x:v>
      </x:c>
      <x:c r="H27" s="28" t="str">
        <x:v>Campinas-Norte</x:v>
      </x:c>
      <x:c r="I27" s="34" t="n">
        <x:v>45300</x:v>
      </x:c>
      <x:c r="J27" s="34" t="n">
        <x:v>45300</x:v>
      </x:c>
      <x:c r="K27" s="32" t="n">
        <x:v>931</x:v>
      </x:c>
      <x:c r="L27" s="32" t="n">
        <x:v>931</x:v>
      </x:c>
      <x:c r="M27" s="30" t="n">
        <x:v>85652</x:v>
      </x:c>
      <x:c r="N27" s="28" t="str">
        <x:v>OTIF</x:v>
      </x:c>
      <x:c r="O27" s="28" t="str">
        <x:v>Janela perdida no cliente</x:v>
      </x:c>
      <x:c r="P27" s="30" t="n">
        <x:v>0</x:v>
      </x:c>
    </x:row>
    <x:row r="28">
      <x:c r="A28" s="28" t="str">
        <x:v>PED-48027</x:v>
      </x:c>
      <x:c r="B28" s="34" t="n">
        <x:v>45292</x:v>
      </x:c>
      <x:c r="C28" s="28" t="str">
        <x:v>Grupo Industrial S.A.</x:v>
      </x:c>
      <x:c r="D28" s="28" t="str">
        <x:v>Planta Campinas</x:v>
      </x:c>
      <x:c r="E28" s="28" t="str">
        <x:v>Construbem</x:v>
      </x:c>
      <x:c r="F28" s="28" t="str">
        <x:v>Sudeste</x:v>
      </x:c>
      <x:c r="G28" s="28" t="str">
        <x:v>RápidoSul</x:v>
      </x:c>
      <x:c r="H28" s="28" t="str">
        <x:v>Campinas-Norte</x:v>
      </x:c>
      <x:c r="I28" s="34" t="n">
        <x:v>45303</x:v>
      </x:c>
      <x:c r="J28" s="34" t="n">
        <x:v>45303</x:v>
      </x:c>
      <x:c r="K28" s="32" t="n">
        <x:v>1917</x:v>
      </x:c>
      <x:c r="L28" s="32" t="n">
        <x:v>1601</x:v>
      </x:c>
      <x:c r="M28" s="30" t="n">
        <x:v>138024</x:v>
      </x:c>
      <x:c r="N28" s="28" t="str">
        <x:v>Incompleto</x:v>
      </x:c>
      <x:c r="O28" s="28" t="str">
        <x:v>Falta de produto</x:v>
      </x:c>
      <x:c r="P28" s="30" t="n">
        <x:v>138024</x:v>
      </x:c>
    </x:row>
    <x:row r="29">
      <x:c r="A29" s="28" t="str">
        <x:v>PED-48028</x:v>
      </x:c>
      <x:c r="B29" s="34" t="n">
        <x:v>45292</x:v>
      </x:c>
      <x:c r="C29" s="28" t="str">
        <x:v>Grupo Industrial S.A.</x:v>
      </x:c>
      <x:c r="D29" s="28" t="str">
        <x:v>Planta Campinas</x:v>
      </x:c>
      <x:c r="E29" s="28" t="str">
        <x:v>Alimentos SA</x:v>
      </x:c>
      <x:c r="F29" s="28" t="str">
        <x:v>Sudeste</x:v>
      </x:c>
      <x:c r="G29" s="28" t="str">
        <x:v>RápidoSul</x:v>
      </x:c>
      <x:c r="H29" s="28" t="str">
        <x:v>Campinas-Norte</x:v>
      </x:c>
      <x:c r="I29" s="34" t="n">
        <x:v>45306</x:v>
      </x:c>
      <x:c r="J29" s="34" t="n">
        <x:v>45308</x:v>
      </x:c>
      <x:c r="K29" s="32" t="n">
        <x:v>1709</x:v>
      </x:c>
      <x:c r="L29" s="32" t="n">
        <x:v>1709</x:v>
      </x:c>
      <x:c r="M29" s="30" t="n">
        <x:v>133302</x:v>
      </x:c>
      <x:c r="N29" s="28" t="str">
        <x:v>Em atraso</x:v>
      </x:c>
      <x:c r="O29" s="28" t="str">
        <x:v>Janela perdida no cliente</x:v>
      </x:c>
      <x:c r="P29" s="30" t="n">
        <x:v>133302</x:v>
      </x:c>
    </x:row>
    <x:row r="30">
      <x:c r="A30" s="28" t="str">
        <x:v>PED-48029</x:v>
      </x:c>
      <x:c r="B30" s="34" t="n">
        <x:v>45292</x:v>
      </x:c>
      <x:c r="C30" s="28" t="str">
        <x:v>Grupo Industrial S.A.</x:v>
      </x:c>
      <x:c r="D30" s="28" t="str">
        <x:v>Planta Campinas</x:v>
      </x:c>
      <x:c r="E30" s="28" t="str">
        <x:v>Farma Vida</x:v>
      </x:c>
      <x:c r="F30" s="28" t="str">
        <x:v>Sudeste</x:v>
      </x:c>
      <x:c r="G30" s="28" t="str">
        <x:v>RápidoSul</x:v>
      </x:c>
      <x:c r="H30" s="28" t="str">
        <x:v>Campinas-Norte</x:v>
      </x:c>
      <x:c r="I30" s="34" t="n">
        <x:v>45309</x:v>
      </x:c>
      <x:c r="J30" s="34" t="n">
        <x:v>45309</x:v>
      </x:c>
      <x:c r="K30" s="32" t="n">
        <x:v>2151</x:v>
      </x:c>
      <x:c r="L30" s="32" t="n">
        <x:v>2151</x:v>
      </x:c>
      <x:c r="M30" s="30" t="n">
        <x:v>167778</x:v>
      </x:c>
      <x:c r="N30" s="28" t="str">
        <x:v>OTIF</x:v>
      </x:c>
      <x:c r="O30" s="28" t="str">
        <x:v>Janela perdida no cliente</x:v>
      </x:c>
      <x:c r="P30" s="30" t="n">
        <x:v>0</x:v>
      </x:c>
    </x:row>
    <x:row r="31">
      <x:c r="A31" s="28" t="str">
        <x:v>PED-48030</x:v>
      </x:c>
      <x:c r="B31" s="34" t="n">
        <x:v>45292</x:v>
      </x:c>
      <x:c r="C31" s="28" t="str">
        <x:v>Grupo Industrial S.A.</x:v>
      </x:c>
      <x:c r="D31" s="28" t="str">
        <x:v>Planta Campinas</x:v>
      </x:c>
      <x:c r="E31" s="28" t="str">
        <x:v>AutoPeças BR</x:v>
      </x:c>
      <x:c r="F31" s="28" t="str">
        <x:v>Sudeste</x:v>
      </x:c>
      <x:c r="G31" s="28" t="str">
        <x:v>RápidoSul</x:v>
      </x:c>
      <x:c r="H31" s="28" t="str">
        <x:v>Campinas-Norte</x:v>
      </x:c>
      <x:c r="I31" s="34" t="n">
        <x:v>45312</x:v>
      </x:c>
      <x:c r="J31" s="34" t="n">
        <x:v>45313</x:v>
      </x:c>
      <x:c r="K31" s="32" t="n">
        <x:v>1336</x:v>
      </x:c>
      <x:c r="L31" s="32" t="n">
        <x:v>1336</x:v>
      </x:c>
      <x:c r="M31" s="30" t="n">
        <x:v>96192</x:v>
      </x:c>
      <x:c r="N31" s="28" t="str">
        <x:v>Em atraso</x:v>
      </x:c>
      <x:c r="O31" s="28" t="str">
        <x:v>Janela perdida no cliente</x:v>
      </x:c>
      <x:c r="P31" s="30" t="n">
        <x:v>96192</x:v>
      </x:c>
    </x:row>
    <x:row r="32">
      <x:c r="A32" s="28" t="str">
        <x:v>PED-48031</x:v>
      </x:c>
      <x:c r="B32" s="34" t="n">
        <x:v>45292</x:v>
      </x:c>
      <x:c r="C32" s="28" t="str">
        <x:v>Grupo Industrial S.A.</x:v>
      </x:c>
      <x:c r="D32" s="28" t="str">
        <x:v>Planta Campinas</x:v>
      </x:c>
      <x:c r="E32" s="28" t="str">
        <x:v>Alimentos SA</x:v>
      </x:c>
      <x:c r="F32" s="28" t="str">
        <x:v>Sudeste</x:v>
      </x:c>
      <x:c r="G32" s="28" t="str">
        <x:v>NovaLog</x:v>
      </x:c>
      <x:c r="H32" s="28" t="str">
        <x:v>Campinas-Nordeste</x:v>
      </x:c>
      <x:c r="I32" s="34" t="n">
        <x:v>45297</x:v>
      </x:c>
      <x:c r="J32" s="34" t="n">
        <x:v>45298</x:v>
      </x:c>
      <x:c r="K32" s="32" t="n">
        <x:v>896</x:v>
      </x:c>
      <x:c r="L32" s="32" t="n">
        <x:v>896</x:v>
      </x:c>
      <x:c r="M32" s="30" t="n">
        <x:v>64512</x:v>
      </x:c>
      <x:c r="N32" s="28" t="str">
        <x:v>Em atraso</x:v>
      </x:c>
      <x:c r="O32" s="28" t="str">
        <x:v>Atraso transportadora</x:v>
      </x:c>
      <x:c r="P32" s="30" t="n">
        <x:v>64512</x:v>
      </x:c>
    </x:row>
    <x:row r="33">
      <x:c r="A33" s="28" t="str">
        <x:v>PED-48032</x:v>
      </x:c>
      <x:c r="B33" s="34" t="n">
        <x:v>45292</x:v>
      </x:c>
      <x:c r="C33" s="28" t="str">
        <x:v>Grupo Industrial S.A.</x:v>
      </x:c>
      <x:c r="D33" s="28" t="str">
        <x:v>Planta Campinas</x:v>
      </x:c>
      <x:c r="E33" s="28" t="str">
        <x:v>Farma Vida</x:v>
      </x:c>
      <x:c r="F33" s="28" t="str">
        <x:v>Sudeste</x:v>
      </x:c>
      <x:c r="G33" s="28" t="str">
        <x:v>NovaLog</x:v>
      </x:c>
      <x:c r="H33" s="28" t="str">
        <x:v>Campinas-Nordeste</x:v>
      </x:c>
      <x:c r="I33" s="34" t="n">
        <x:v>45300</x:v>
      </x:c>
      <x:c r="J33" s="34" t="n">
        <x:v>45300</x:v>
      </x:c>
      <x:c r="K33" s="32" t="n">
        <x:v>2186</x:v>
      </x:c>
      <x:c r="L33" s="32" t="n">
        <x:v>2186</x:v>
      </x:c>
      <x:c r="M33" s="30" t="n">
        <x:v>201112</x:v>
      </x:c>
      <x:c r="N33" s="28" t="str">
        <x:v>OTIF</x:v>
      </x:c>
      <x:c r="O33" s="28" t="str">
        <x:v>Janela perdida no cliente</x:v>
      </x:c>
      <x:c r="P33" s="30" t="n">
        <x:v>0</x:v>
      </x:c>
    </x:row>
    <x:row r="34">
      <x:c r="A34" s="28" t="str">
        <x:v>PED-48033</x:v>
      </x:c>
      <x:c r="B34" s="34" t="n">
        <x:v>45292</x:v>
      </x:c>
      <x:c r="C34" s="28" t="str">
        <x:v>Grupo Industrial S.A.</x:v>
      </x:c>
      <x:c r="D34" s="28" t="str">
        <x:v>Planta Campinas</x:v>
      </x:c>
      <x:c r="E34" s="28" t="str">
        <x:v>AutoPeças BR</x:v>
      </x:c>
      <x:c r="F34" s="28" t="str">
        <x:v>Sudeste</x:v>
      </x:c>
      <x:c r="G34" s="28" t="str">
        <x:v>NovaLog</x:v>
      </x:c>
      <x:c r="H34" s="28" t="str">
        <x:v>Campinas-Nordeste</x:v>
      </x:c>
      <x:c r="I34" s="34" t="n">
        <x:v>45303</x:v>
      </x:c>
      <x:c r="J34" s="34" t="n">
        <x:v>45303</x:v>
      </x:c>
      <x:c r="K34" s="32" t="n">
        <x:v>1552</x:v>
      </x:c>
      <x:c r="L34" s="32" t="n">
        <x:v>1552</x:v>
      </x:c>
      <x:c r="M34" s="30" t="n">
        <x:v>121056</x:v>
      </x:c>
      <x:c r="N34" s="28" t="str">
        <x:v>OTIF</x:v>
      </x:c>
      <x:c r="O34" s="28" t="str">
        <x:v>Janela perdida no cliente</x:v>
      </x:c>
      <x:c r="P34" s="30" t="n">
        <x:v>0</x:v>
      </x:c>
    </x:row>
    <x:row r="35">
      <x:c r="A35" s="28" t="str">
        <x:v>PED-48034</x:v>
      </x:c>
      <x:c r="B35" s="34" t="n">
        <x:v>45292</x:v>
      </x:c>
      <x:c r="C35" s="28" t="str">
        <x:v>Grupo Industrial S.A.</x:v>
      </x:c>
      <x:c r="D35" s="28" t="str">
        <x:v>Planta Campinas</x:v>
      </x:c>
      <x:c r="E35" s="28" t="str">
        <x:v>Construbem</x:v>
      </x:c>
      <x:c r="F35" s="28" t="str">
        <x:v>Sudeste</x:v>
      </x:c>
      <x:c r="G35" s="28" t="str">
        <x:v>NovaLog</x:v>
      </x:c>
      <x:c r="H35" s="28" t="str">
        <x:v>Campinas-Nordeste</x:v>
      </x:c>
      <x:c r="I35" s="34" t="n">
        <x:v>45306</x:v>
      </x:c>
      <x:c r="J35" s="34" t="n">
        <x:v>45308</x:v>
      </x:c>
      <x:c r="K35" s="32" t="n">
        <x:v>1924</x:v>
      </x:c>
      <x:c r="L35" s="32" t="n">
        <x:v>1924</x:v>
      </x:c>
      <x:c r="M35" s="30" t="n">
        <x:v>177008</x:v>
      </x:c>
      <x:c r="N35" s="28" t="str">
        <x:v>Em atraso</x:v>
      </x:c>
      <x:c r="O35" s="28" t="str">
        <x:v>Atraso transportadora</x:v>
      </x:c>
      <x:c r="P35" s="30" t="n">
        <x:v>177008</x:v>
      </x:c>
    </x:row>
    <x:row r="36">
      <x:c r="A36" s="28" t="str">
        <x:v>PED-48035</x:v>
      </x:c>
      <x:c r="B36" s="34" t="n">
        <x:v>45292</x:v>
      </x:c>
      <x:c r="C36" s="28" t="str">
        <x:v>Grupo Industrial S.A.</x:v>
      </x:c>
      <x:c r="D36" s="28" t="str">
        <x:v>Planta Campinas</x:v>
      </x:c>
      <x:c r="E36" s="28" t="str">
        <x:v>Alimentos SA</x:v>
      </x:c>
      <x:c r="F36" s="28" t="str">
        <x:v>Sudeste</x:v>
      </x:c>
      <x:c r="G36" s="28" t="str">
        <x:v>NovaLog</x:v>
      </x:c>
      <x:c r="H36" s="28" t="str">
        <x:v>Campinas-Nordeste</x:v>
      </x:c>
      <x:c r="I36" s="34" t="n">
        <x:v>45309</x:v>
      </x:c>
      <x:c r="J36" s="34" t="n">
        <x:v>45310</x:v>
      </x:c>
      <x:c r="K36" s="32" t="n">
        <x:v>1661</x:v>
      </x:c>
      <x:c r="L36" s="32" t="n">
        <x:v>1661</x:v>
      </x:c>
      <x:c r="M36" s="30" t="n">
        <x:v>152812</x:v>
      </x:c>
      <x:c r="N36" s="28" t="str">
        <x:v>Em atraso</x:v>
      </x:c>
      <x:c r="O36" s="28" t="str">
        <x:v>Janela perdida no cliente</x:v>
      </x:c>
      <x:c r="P36" s="30" t="n">
        <x:v>152812</x:v>
      </x:c>
    </x:row>
    <x:row r="37">
      <x:c r="A37" s="28" t="str">
        <x:v>PED-48036</x:v>
      </x:c>
      <x:c r="B37" s="34" t="n">
        <x:v>45292</x:v>
      </x:c>
      <x:c r="C37" s="28" t="str">
        <x:v>Grupo Industrial S.A.</x:v>
      </x:c>
      <x:c r="D37" s="28" t="str">
        <x:v>Planta Campinas</x:v>
      </x:c>
      <x:c r="E37" s="28" t="str">
        <x:v>Farma Vida</x:v>
      </x:c>
      <x:c r="F37" s="28" t="str">
        <x:v>Sudeste</x:v>
      </x:c>
      <x:c r="G37" s="28" t="str">
        <x:v>NovaLog</x:v>
      </x:c>
      <x:c r="H37" s="28" t="str">
        <x:v>Campinas-Nordeste</x:v>
      </x:c>
      <x:c r="I37" s="34" t="n">
        <x:v>45312</x:v>
      </x:c>
      <x:c r="J37" s="34" t="n">
        <x:v>45312</x:v>
      </x:c>
      <x:c r="K37" s="32" t="n">
        <x:v>2130</x:v>
      </x:c>
      <x:c r="L37" s="32" t="n">
        <x:v>1772</x:v>
      </x:c>
      <x:c r="M37" s="30" t="n">
        <x:v>195960</x:v>
      </x:c>
      <x:c r="N37" s="28" t="str">
        <x:v>Incompleto</x:v>
      </x:c>
      <x:c r="O37" s="28" t="str">
        <x:v>Falta de produto</x:v>
      </x:c>
      <x:c r="P37" s="30" t="n">
        <x:v>195960</x:v>
      </x:c>
    </x:row>
    <x:row r="38">
      <x:c r="A38" s="28" t="str">
        <x:v>PED-48037</x:v>
      </x:c>
      <x:c r="B38" s="34" t="n">
        <x:v>45292</x:v>
      </x:c>
      <x:c r="C38" s="28" t="str">
        <x:v>Grupo Industrial S.A.</x:v>
      </x:c>
      <x:c r="D38" s="28" t="str">
        <x:v>Planta Curitiba</x:v>
      </x:c>
      <x:c r="E38" s="28" t="str">
        <x:v>Construbem</x:v>
      </x:c>
      <x:c r="F38" s="28" t="str">
        <x:v>Sul</x:v>
      </x:c>
      <x:c r="G38" s="28" t="str">
        <x:v>TransDados</x:v>
      </x:c>
      <x:c r="H38" s="28" t="str">
        <x:v>Curitiba-Sul</x:v>
      </x:c>
      <x:c r="I38" s="34" t="n">
        <x:v>45297</x:v>
      </x:c>
      <x:c r="J38" s="34" t="n">
        <x:v>45297</x:v>
      </x:c>
      <x:c r="K38" s="32" t="n">
        <x:v>1995</x:v>
      </x:c>
      <x:c r="L38" s="32" t="n">
        <x:v>1776</x:v>
      </x:c>
      <x:c r="M38" s="30" t="n">
        <x:v>143640</x:v>
      </x:c>
      <x:c r="N38" s="28" t="str">
        <x:v>Incompleto</x:v>
      </x:c>
      <x:c r="O38" s="28" t="str">
        <x:v>Falta de produto</x:v>
      </x:c>
      <x:c r="P38" s="30" t="n">
        <x:v>143640</x:v>
      </x:c>
    </x:row>
    <x:row r="39">
      <x:c r="A39" s="28" t="str">
        <x:v>PED-48038</x:v>
      </x:c>
      <x:c r="B39" s="34" t="n">
        <x:v>45292</x:v>
      </x:c>
      <x:c r="C39" s="28" t="str">
        <x:v>Grupo Industrial S.A.</x:v>
      </x:c>
      <x:c r="D39" s="28" t="str">
        <x:v>Planta Curitiba</x:v>
      </x:c>
      <x:c r="E39" s="28" t="str">
        <x:v>Alimentos SA</x:v>
      </x:c>
      <x:c r="F39" s="28" t="str">
        <x:v>Sul</x:v>
      </x:c>
      <x:c r="G39" s="28" t="str">
        <x:v>TransDados</x:v>
      </x:c>
      <x:c r="H39" s="28" t="str">
        <x:v>Curitiba-Sul</x:v>
      </x:c>
      <x:c r="I39" s="34" t="n">
        <x:v>45300</x:v>
      </x:c>
      <x:c r="J39" s="34" t="n">
        <x:v>45304</x:v>
      </x:c>
      <x:c r="K39" s="32" t="n">
        <x:v>1366</x:v>
      </x:c>
      <x:c r="L39" s="32" t="n">
        <x:v>1366</x:v>
      </x:c>
      <x:c r="M39" s="30" t="n">
        <x:v>98352</x:v>
      </x:c>
      <x:c r="N39" s="28" t="str">
        <x:v>Em atraso</x:v>
      </x:c>
      <x:c r="O39" s="28" t="str">
        <x:v>Atraso transportadora</x:v>
      </x:c>
      <x:c r="P39" s="30" t="n">
        <x:v>98352</x:v>
      </x:c>
    </x:row>
    <x:row r="40">
      <x:c r="A40" s="28" t="str">
        <x:v>PED-48039</x:v>
      </x:c>
      <x:c r="B40" s="34" t="n">
        <x:v>45292</x:v>
      </x:c>
      <x:c r="C40" s="28" t="str">
        <x:v>Grupo Industrial S.A.</x:v>
      </x:c>
      <x:c r="D40" s="28" t="str">
        <x:v>Planta Curitiba</x:v>
      </x:c>
      <x:c r="E40" s="28" t="str">
        <x:v>Farma Vida</x:v>
      </x:c>
      <x:c r="F40" s="28" t="str">
        <x:v>Sul</x:v>
      </x:c>
      <x:c r="G40" s="28" t="str">
        <x:v>TransDados</x:v>
      </x:c>
      <x:c r="H40" s="28" t="str">
        <x:v>Curitiba-Sul</x:v>
      </x:c>
      <x:c r="I40" s="34" t="n">
        <x:v>45303</x:v>
      </x:c>
      <x:c r="J40" s="34" t="n">
        <x:v>45303</x:v>
      </x:c>
      <x:c r="K40" s="32" t="n">
        <x:v>1609</x:v>
      </x:c>
      <x:c r="L40" s="32" t="n">
        <x:v>1609</x:v>
      </x:c>
      <x:c r="M40" s="30" t="n">
        <x:v>135156</x:v>
      </x:c>
      <x:c r="N40" s="28" t="str">
        <x:v>OTIF</x:v>
      </x:c>
      <x:c r="O40" s="28" t="str">
        <x:v>Janela perdida no cliente</x:v>
      </x:c>
      <x:c r="P40" s="30" t="n">
        <x:v>0</x:v>
      </x:c>
    </x:row>
    <x:row r="41">
      <x:c r="A41" s="28" t="str">
        <x:v>PED-48040</x:v>
      </x:c>
      <x:c r="B41" s="34" t="n">
        <x:v>45292</x:v>
      </x:c>
      <x:c r="C41" s="28" t="str">
        <x:v>Grupo Industrial S.A.</x:v>
      </x:c>
      <x:c r="D41" s="28" t="str">
        <x:v>Planta Curitiba</x:v>
      </x:c>
      <x:c r="E41" s="28" t="str">
        <x:v>AutoPeças BR</x:v>
      </x:c>
      <x:c r="F41" s="28" t="str">
        <x:v>Sul</x:v>
      </x:c>
      <x:c r="G41" s="28" t="str">
        <x:v>TransDados</x:v>
      </x:c>
      <x:c r="H41" s="28" t="str">
        <x:v>Curitiba-Sul</x:v>
      </x:c>
      <x:c r="I41" s="34" t="n">
        <x:v>45306</x:v>
      </x:c>
      <x:c r="J41" s="34" t="n">
        <x:v>45306</x:v>
      </x:c>
      <x:c r="K41" s="32" t="n">
        <x:v>1383</x:v>
      </x:c>
      <x:c r="L41" s="32" t="n">
        <x:v>1339</x:v>
      </x:c>
      <x:c r="M41" s="30" t="n">
        <x:v>127236</x:v>
      </x:c>
      <x:c r="N41" s="28" t="str">
        <x:v>Incompleto</x:v>
      </x:c>
      <x:c r="O41" s="28" t="str">
        <x:v>Falta de produto</x:v>
      </x:c>
      <x:c r="P41" s="30" t="n">
        <x:v>127236</x:v>
      </x:c>
    </x:row>
    <x:row r="42">
      <x:c r="A42" s="28" t="str">
        <x:v>PED-48041</x:v>
      </x:c>
      <x:c r="B42" s="34" t="n">
        <x:v>45292</x:v>
      </x:c>
      <x:c r="C42" s="28" t="str">
        <x:v>Grupo Industrial S.A.</x:v>
      </x:c>
      <x:c r="D42" s="28" t="str">
        <x:v>Planta Curitiba</x:v>
      </x:c>
      <x:c r="E42" s="28" t="str">
        <x:v>Construbem</x:v>
      </x:c>
      <x:c r="F42" s="28" t="str">
        <x:v>Sul</x:v>
      </x:c>
      <x:c r="G42" s="28" t="str">
        <x:v>TransDados</x:v>
      </x:c>
      <x:c r="H42" s="28" t="str">
        <x:v>Curitiba-Sul</x:v>
      </x:c>
      <x:c r="I42" s="34" t="n">
        <x:v>45309</x:v>
      </x:c>
      <x:c r="J42" s="34" t="n">
        <x:v>45310</x:v>
      </x:c>
      <x:c r="K42" s="32" t="n">
        <x:v>1235</x:v>
      </x:c>
      <x:c r="L42" s="32" t="n">
        <x:v>1235</x:v>
      </x:c>
      <x:c r="M42" s="30" t="n">
        <x:v>113620</x:v>
      </x:c>
      <x:c r="N42" s="28" t="str">
        <x:v>Em atraso</x:v>
      </x:c>
      <x:c r="O42" s="28" t="str">
        <x:v>Atraso transportadora</x:v>
      </x:c>
      <x:c r="P42" s="30" t="n">
        <x:v>113620</x:v>
      </x:c>
    </x:row>
    <x:row r="43">
      <x:c r="A43" s="28" t="str">
        <x:v>PED-48042</x:v>
      </x:c>
      <x:c r="B43" s="34" t="n">
        <x:v>45292</x:v>
      </x:c>
      <x:c r="C43" s="28" t="str">
        <x:v>Grupo Industrial S.A.</x:v>
      </x:c>
      <x:c r="D43" s="28" t="str">
        <x:v>Planta Curitiba</x:v>
      </x:c>
      <x:c r="E43" s="28" t="str">
        <x:v>Alimentos SA</x:v>
      </x:c>
      <x:c r="F43" s="28" t="str">
        <x:v>Sul</x:v>
      </x:c>
      <x:c r="G43" s="28" t="str">
        <x:v>TransDados</x:v>
      </x:c>
      <x:c r="H43" s="28" t="str">
        <x:v>Curitiba-Sul</x:v>
      </x:c>
      <x:c r="I43" s="34" t="n">
        <x:v>45312</x:v>
      </x:c>
      <x:c r="J43" s="34" t="n">
        <x:v>45313</x:v>
      </x:c>
      <x:c r="K43" s="32" t="n">
        <x:v>1653</x:v>
      </x:c>
      <x:c r="L43" s="32" t="n">
        <x:v>1479</x:v>
      </x:c>
      <x:c r="M43" s="30" t="n">
        <x:v>152076</x:v>
      </x:c>
      <x:c r="N43" s="28" t="str">
        <x:v>Em atraso</x:v>
      </x:c>
      <x:c r="O43" s="28" t="str">
        <x:v>Falta de produto</x:v>
      </x:c>
      <x:c r="P43" s="30" t="n">
        <x:v>152076</x:v>
      </x:c>
    </x:row>
    <x:row r="44">
      <x:c r="A44" s="28" t="str">
        <x:v>PED-48043</x:v>
      </x:c>
      <x:c r="B44" s="34" t="n">
        <x:v>45292</x:v>
      </x:c>
      <x:c r="C44" s="28" t="str">
        <x:v>Grupo Industrial S.A.</x:v>
      </x:c>
      <x:c r="D44" s="28" t="str">
        <x:v>Planta Curitiba</x:v>
      </x:c>
      <x:c r="E44" s="28" t="str">
        <x:v>AutoPeças BR</x:v>
      </x:c>
      <x:c r="F44" s="28" t="str">
        <x:v>Sul</x:v>
      </x:c>
      <x:c r="G44" s="28" t="str">
        <x:v>RápidoSul</x:v>
      </x:c>
      <x:c r="H44" s="28" t="str">
        <x:v>Curitiba-Sudeste</x:v>
      </x:c>
      <x:c r="I44" s="34" t="n">
        <x:v>45297</x:v>
      </x:c>
      <x:c r="J44" s="34" t="n">
        <x:v>45297</x:v>
      </x:c>
      <x:c r="K44" s="32" t="n">
        <x:v>1099</x:v>
      </x:c>
      <x:c r="L44" s="32" t="n">
        <x:v>1099</x:v>
      </x:c>
      <x:c r="M44" s="30" t="n">
        <x:v>92316</x:v>
      </x:c>
      <x:c r="N44" s="28" t="str">
        <x:v>OTIF</x:v>
      </x:c>
      <x:c r="O44" s="28" t="str">
        <x:v>Janela perdida no cliente</x:v>
      </x:c>
      <x:c r="P44" s="30" t="n">
        <x:v>0</x:v>
      </x:c>
    </x:row>
    <x:row r="45">
      <x:c r="A45" s="28" t="str">
        <x:v>PED-48044</x:v>
      </x:c>
      <x:c r="B45" s="34" t="n">
        <x:v>45292</x:v>
      </x:c>
      <x:c r="C45" s="28" t="str">
        <x:v>Grupo Industrial S.A.</x:v>
      </x:c>
      <x:c r="D45" s="28" t="str">
        <x:v>Planta Curitiba</x:v>
      </x:c>
      <x:c r="E45" s="28" t="str">
        <x:v>Construbem</x:v>
      </x:c>
      <x:c r="F45" s="28" t="str">
        <x:v>Sul</x:v>
      </x:c>
      <x:c r="G45" s="28" t="str">
        <x:v>RápidoSul</x:v>
      </x:c>
      <x:c r="H45" s="28" t="str">
        <x:v>Curitiba-Sudeste</x:v>
      </x:c>
      <x:c r="I45" s="34" t="n">
        <x:v>45300</x:v>
      </x:c>
      <x:c r="J45" s="34" t="n">
        <x:v>45302</x:v>
      </x:c>
      <x:c r="K45" s="32" t="n">
        <x:v>1172</x:v>
      </x:c>
      <x:c r="L45" s="32" t="n">
        <x:v>1172</x:v>
      </x:c>
      <x:c r="M45" s="30" t="n">
        <x:v>107824</x:v>
      </x:c>
      <x:c r="N45" s="28" t="str">
        <x:v>Em atraso</x:v>
      </x:c>
      <x:c r="O45" s="28" t="str">
        <x:v>Atraso transportadora</x:v>
      </x:c>
      <x:c r="P45" s="30" t="n">
        <x:v>107824</x:v>
      </x:c>
    </x:row>
    <x:row r="46">
      <x:c r="A46" s="28" t="str">
        <x:v>PED-48045</x:v>
      </x:c>
      <x:c r="B46" s="34" t="n">
        <x:v>45292</x:v>
      </x:c>
      <x:c r="C46" s="28" t="str">
        <x:v>Grupo Industrial S.A.</x:v>
      </x:c>
      <x:c r="D46" s="28" t="str">
        <x:v>Planta Curitiba</x:v>
      </x:c>
      <x:c r="E46" s="28" t="str">
        <x:v>Alimentos SA</x:v>
      </x:c>
      <x:c r="F46" s="28" t="str">
        <x:v>Sul</x:v>
      </x:c>
      <x:c r="G46" s="28" t="str">
        <x:v>RápidoSul</x:v>
      </x:c>
      <x:c r="H46" s="28" t="str">
        <x:v>Curitiba-Sudeste</x:v>
      </x:c>
      <x:c r="I46" s="34" t="n">
        <x:v>45303</x:v>
      </x:c>
      <x:c r="J46" s="34" t="n">
        <x:v>45303</x:v>
      </x:c>
      <x:c r="K46" s="32" t="n">
        <x:v>1614</x:v>
      </x:c>
      <x:c r="L46" s="32" t="n">
        <x:v>1614</x:v>
      </x:c>
      <x:c r="M46" s="30" t="n">
        <x:v>148488</x:v>
      </x:c>
      <x:c r="N46" s="28" t="str">
        <x:v>OTIF</x:v>
      </x:c>
      <x:c r="O46" s="28" t="str">
        <x:v>Janela perdida no cliente</x:v>
      </x:c>
      <x:c r="P46" s="30" t="n">
        <x:v>0</x:v>
      </x:c>
    </x:row>
    <x:row r="47">
      <x:c r="A47" s="28" t="str">
        <x:v>PED-48046</x:v>
      </x:c>
      <x:c r="B47" s="34" t="n">
        <x:v>45292</x:v>
      </x:c>
      <x:c r="C47" s="28" t="str">
        <x:v>Grupo Industrial S.A.</x:v>
      </x:c>
      <x:c r="D47" s="28" t="str">
        <x:v>Planta Curitiba</x:v>
      </x:c>
      <x:c r="E47" s="28" t="str">
        <x:v>Farma Vida</x:v>
      </x:c>
      <x:c r="F47" s="28" t="str">
        <x:v>Sul</x:v>
      </x:c>
      <x:c r="G47" s="28" t="str">
        <x:v>RápidoSul</x:v>
      </x:c>
      <x:c r="H47" s="28" t="str">
        <x:v>Curitiba-Sudeste</x:v>
      </x:c>
      <x:c r="I47" s="34" t="n">
        <x:v>45306</x:v>
      </x:c>
      <x:c r="J47" s="34" t="n">
        <x:v>45308</x:v>
      </x:c>
      <x:c r="K47" s="32" t="n">
        <x:v>1074</x:v>
      </x:c>
      <x:c r="L47" s="32" t="n">
        <x:v>1009</x:v>
      </x:c>
      <x:c r="M47" s="30" t="n">
        <x:v>83772</x:v>
      </x:c>
      <x:c r="N47" s="28" t="str">
        <x:v>Em atraso</x:v>
      </x:c>
      <x:c r="O47" s="28" t="str">
        <x:v>Falta de produto</x:v>
      </x:c>
      <x:c r="P47" s="30" t="n">
        <x:v>83772</x:v>
      </x:c>
    </x:row>
    <x:row r="48">
      <x:c r="A48" s="28" t="str">
        <x:v>PED-48047</x:v>
      </x:c>
      <x:c r="B48" s="34" t="n">
        <x:v>45292</x:v>
      </x:c>
      <x:c r="C48" s="28" t="str">
        <x:v>Grupo Industrial S.A.</x:v>
      </x:c>
      <x:c r="D48" s="28" t="str">
        <x:v>Planta Curitiba</x:v>
      </x:c>
      <x:c r="E48" s="28" t="str">
        <x:v>AutoPeças BR</x:v>
      </x:c>
      <x:c r="F48" s="28" t="str">
        <x:v>Sul</x:v>
      </x:c>
      <x:c r="G48" s="28" t="str">
        <x:v>RápidoSul</x:v>
      </x:c>
      <x:c r="H48" s="28" t="str">
        <x:v>Curitiba-Sudeste</x:v>
      </x:c>
      <x:c r="I48" s="34" t="n">
        <x:v>45309</x:v>
      </x:c>
      <x:c r="J48" s="34" t="n">
        <x:v>45311</x:v>
      </x:c>
      <x:c r="K48" s="32" t="n">
        <x:v>1333</x:v>
      </x:c>
      <x:c r="L48" s="32" t="n">
        <x:v>1333</x:v>
      </x:c>
      <x:c r="M48" s="30" t="n">
        <x:v>95976</x:v>
      </x:c>
      <x:c r="N48" s="28" t="str">
        <x:v>Em atraso</x:v>
      </x:c>
      <x:c r="O48" s="28" t="str">
        <x:v>Janela perdida no cliente</x:v>
      </x:c>
      <x:c r="P48" s="30" t="n">
        <x:v>95976</x:v>
      </x:c>
    </x:row>
    <x:row r="49">
      <x:c r="A49" s="28" t="str">
        <x:v>PED-48048</x:v>
      </x:c>
      <x:c r="B49" s="34" t="n">
        <x:v>45292</x:v>
      </x:c>
      <x:c r="C49" s="28" t="str">
        <x:v>Grupo Industrial S.A.</x:v>
      </x:c>
      <x:c r="D49" s="28" t="str">
        <x:v>Planta Curitiba</x:v>
      </x:c>
      <x:c r="E49" s="28" t="str">
        <x:v>Construbem</x:v>
      </x:c>
      <x:c r="F49" s="28" t="str">
        <x:v>Sul</x:v>
      </x:c>
      <x:c r="G49" s="28" t="str">
        <x:v>RápidoSul</x:v>
      </x:c>
      <x:c r="H49" s="28" t="str">
        <x:v>Curitiba-Sudeste</x:v>
      </x:c>
      <x:c r="I49" s="34" t="n">
        <x:v>45312</x:v>
      </x:c>
      <x:c r="J49" s="34" t="n">
        <x:v>45312</x:v>
      </x:c>
      <x:c r="K49" s="32" t="n">
        <x:v>1133</x:v>
      </x:c>
      <x:c r="L49" s="32" t="n">
        <x:v>1133</x:v>
      </x:c>
      <x:c r="M49" s="30" t="n">
        <x:v>81576</x:v>
      </x:c>
      <x:c r="N49" s="28" t="str">
        <x:v>OTIF</x:v>
      </x:c>
      <x:c r="O49" s="28" t="str">
        <x:v>Janela perdida no cliente</x:v>
      </x:c>
      <x:c r="P49" s="30" t="n">
        <x:v>0</x:v>
      </x:c>
    </x:row>
    <x:row r="50">
      <x:c r="A50" s="28" t="str">
        <x:v>PED-48049</x:v>
      </x:c>
      <x:c r="B50" s="34" t="n">
        <x:v>45292</x:v>
      </x:c>
      <x:c r="C50" s="28" t="str">
        <x:v>Grupo Industrial S.A.</x:v>
      </x:c>
      <x:c r="D50" s="28" t="str">
        <x:v>Planta Curitiba</x:v>
      </x:c>
      <x:c r="E50" s="28" t="str">
        <x:v>Farma Vida</x:v>
      </x:c>
      <x:c r="F50" s="28" t="str">
        <x:v>Sul</x:v>
      </x:c>
      <x:c r="G50" s="28" t="str">
        <x:v>NovaLog</x:v>
      </x:c>
      <x:c r="H50" s="28" t="str">
        <x:v>Curitiba-Centro-Oeste</x:v>
      </x:c>
      <x:c r="I50" s="34" t="n">
        <x:v>45297</x:v>
      </x:c>
      <x:c r="J50" s="34" t="n">
        <x:v>45301</x:v>
      </x:c>
      <x:c r="K50" s="32" t="n">
        <x:v>818</x:v>
      </x:c>
      <x:c r="L50" s="32" t="n">
        <x:v>818</x:v>
      </x:c>
      <x:c r="M50" s="30" t="n">
        <x:v>63804</x:v>
      </x:c>
      <x:c r="N50" s="28" t="str">
        <x:v>Em atraso</x:v>
      </x:c>
      <x:c r="O50" s="28" t="str">
        <x:v>Janela perdida no cliente</x:v>
      </x:c>
      <x:c r="P50" s="30" t="n">
        <x:v>63804</x:v>
      </x:c>
    </x:row>
    <x:row r="51">
      <x:c r="A51" s="28" t="str">
        <x:v>PED-48050</x:v>
      </x:c>
      <x:c r="B51" s="34" t="n">
        <x:v>45292</x:v>
      </x:c>
      <x:c r="C51" s="28" t="str">
        <x:v>Grupo Industrial S.A.</x:v>
      </x:c>
      <x:c r="D51" s="28" t="str">
        <x:v>Planta Curitiba</x:v>
      </x:c>
      <x:c r="E51" s="28" t="str">
        <x:v>AutoPeças BR</x:v>
      </x:c>
      <x:c r="F51" s="28" t="str">
        <x:v>Sul</x:v>
      </x:c>
      <x:c r="G51" s="28" t="str">
        <x:v>NovaLog</x:v>
      </x:c>
      <x:c r="H51" s="28" t="str">
        <x:v>Curitiba-Centro-Oeste</x:v>
      </x:c>
      <x:c r="I51" s="34" t="n">
        <x:v>45300</x:v>
      </x:c>
      <x:c r="J51" s="34" t="n">
        <x:v>45301</x:v>
      </x:c>
      <x:c r="K51" s="32" t="n">
        <x:v>753</x:v>
      </x:c>
      <x:c r="L51" s="32" t="n">
        <x:v>753</x:v>
      </x:c>
      <x:c r="M51" s="30" t="n">
        <x:v>63252</x:v>
      </x:c>
      <x:c r="N51" s="28" t="str">
        <x:v>Em atraso</x:v>
      </x:c>
      <x:c r="O51" s="28" t="str">
        <x:v>Atraso transportadora</x:v>
      </x:c>
      <x:c r="P51" s="30" t="n">
        <x:v>63252</x:v>
      </x:c>
    </x:row>
    <x:row r="52">
      <x:c r="A52" s="28" t="str">
        <x:v>PED-48051</x:v>
      </x:c>
      <x:c r="B52" s="34" t="n">
        <x:v>45292</x:v>
      </x:c>
      <x:c r="C52" s="28" t="str">
        <x:v>Grupo Industrial S.A.</x:v>
      </x:c>
      <x:c r="D52" s="28" t="str">
        <x:v>Planta Curitiba</x:v>
      </x:c>
      <x:c r="E52" s="28" t="str">
        <x:v>Construbem</x:v>
      </x:c>
      <x:c r="F52" s="28" t="str">
        <x:v>Sul</x:v>
      </x:c>
      <x:c r="G52" s="28" t="str">
        <x:v>NovaLog</x:v>
      </x:c>
      <x:c r="H52" s="28" t="str">
        <x:v>Curitiba-Centro-Oeste</x:v>
      </x:c>
      <x:c r="I52" s="34" t="n">
        <x:v>45303</x:v>
      </x:c>
      <x:c r="J52" s="34" t="n">
        <x:v>45303</x:v>
      </x:c>
      <x:c r="K52" s="32" t="n">
        <x:v>1480</x:v>
      </x:c>
      <x:c r="L52" s="32" t="n">
        <x:v>1480</x:v>
      </x:c>
      <x:c r="M52" s="30" t="n">
        <x:v>136160</x:v>
      </x:c>
      <x:c r="N52" s="28" t="str">
        <x:v>OTIF</x:v>
      </x:c>
      <x:c r="O52" s="28" t="str">
        <x:v>Janela perdida no cliente</x:v>
      </x:c>
      <x:c r="P52" s="30" t="n">
        <x:v>0</x:v>
      </x:c>
    </x:row>
    <x:row r="53">
      <x:c r="A53" s="28" t="str">
        <x:v>PED-48052</x:v>
      </x:c>
      <x:c r="B53" s="34" t="n">
        <x:v>45292</x:v>
      </x:c>
      <x:c r="C53" s="28" t="str">
        <x:v>Grupo Industrial S.A.</x:v>
      </x:c>
      <x:c r="D53" s="28" t="str">
        <x:v>Planta Curitiba</x:v>
      </x:c>
      <x:c r="E53" s="28" t="str">
        <x:v>Alimentos SA</x:v>
      </x:c>
      <x:c r="F53" s="28" t="str">
        <x:v>Sul</x:v>
      </x:c>
      <x:c r="G53" s="28" t="str">
        <x:v>NovaLog</x:v>
      </x:c>
      <x:c r="H53" s="28" t="str">
        <x:v>Curitiba-Centro-Oeste</x:v>
      </x:c>
      <x:c r="I53" s="34" t="n">
        <x:v>45306</x:v>
      </x:c>
      <x:c r="J53" s="34" t="n">
        <x:v>45306</x:v>
      </x:c>
      <x:c r="K53" s="32" t="n">
        <x:v>2192</x:v>
      </x:c>
      <x:c r="L53" s="32" t="n">
        <x:v>2192</x:v>
      </x:c>
      <x:c r="M53" s="30" t="n">
        <x:v>201664</x:v>
      </x:c>
      <x:c r="N53" s="28" t="str">
        <x:v>OTIF</x:v>
      </x:c>
      <x:c r="O53" s="28" t="str">
        <x:v>Janela perdida no cliente</x:v>
      </x:c>
      <x:c r="P53" s="30" t="n">
        <x:v>0</x:v>
      </x:c>
    </x:row>
    <x:row r="54">
      <x:c r="A54" s="28" t="str">
        <x:v>PED-48053</x:v>
      </x:c>
      <x:c r="B54" s="34" t="n">
        <x:v>45292</x:v>
      </x:c>
      <x:c r="C54" s="28" t="str">
        <x:v>Grupo Industrial S.A.</x:v>
      </x:c>
      <x:c r="D54" s="28" t="str">
        <x:v>Planta Curitiba</x:v>
      </x:c>
      <x:c r="E54" s="28" t="str">
        <x:v>Farma Vida</x:v>
      </x:c>
      <x:c r="F54" s="28" t="str">
        <x:v>Sul</x:v>
      </x:c>
      <x:c r="G54" s="28" t="str">
        <x:v>NovaLog</x:v>
      </x:c>
      <x:c r="H54" s="28" t="str">
        <x:v>Curitiba-Centro-Oeste</x:v>
      </x:c>
      <x:c r="I54" s="34" t="n">
        <x:v>45309</x:v>
      </x:c>
      <x:c r="J54" s="34" t="n">
        <x:v>45309</x:v>
      </x:c>
      <x:c r="K54" s="32" t="n">
        <x:v>1915</x:v>
      </x:c>
      <x:c r="L54" s="32" t="n">
        <x:v>1915</x:v>
      </x:c>
      <x:c r="M54" s="30" t="n">
        <x:v>149370</x:v>
      </x:c>
      <x:c r="N54" s="28" t="str">
        <x:v>OTIF</x:v>
      </x:c>
      <x:c r="O54" s="28" t="str">
        <x:v>Janela perdida no cliente</x:v>
      </x:c>
      <x:c r="P54" s="30" t="n">
        <x:v>0</x:v>
      </x:c>
    </x:row>
    <x:row r="55">
      <x:c r="A55" s="28" t="str">
        <x:v>PED-48054</x:v>
      </x:c>
      <x:c r="B55" s="34" t="n">
        <x:v>45292</x:v>
      </x:c>
      <x:c r="C55" s="28" t="str">
        <x:v>Grupo Industrial S.A.</x:v>
      </x:c>
      <x:c r="D55" s="28" t="str">
        <x:v>Planta Curitiba</x:v>
      </x:c>
      <x:c r="E55" s="28" t="str">
        <x:v>AutoPeças BR</x:v>
      </x:c>
      <x:c r="F55" s="28" t="str">
        <x:v>Sul</x:v>
      </x:c>
      <x:c r="G55" s="28" t="str">
        <x:v>NovaLog</x:v>
      </x:c>
      <x:c r="H55" s="28" t="str">
        <x:v>Curitiba-Centro-Oeste</x:v>
      </x:c>
      <x:c r="I55" s="34" t="n">
        <x:v>45312</x:v>
      </x:c>
      <x:c r="J55" s="34" t="n">
        <x:v>45316</x:v>
      </x:c>
      <x:c r="K55" s="32" t="n">
        <x:v>1544</x:v>
      </x:c>
      <x:c r="L55" s="32" t="n">
        <x:v>1544</x:v>
      </x:c>
      <x:c r="M55" s="30" t="n">
        <x:v>111168</x:v>
      </x:c>
      <x:c r="N55" s="28" t="str">
        <x:v>Em atraso</x:v>
      </x:c>
      <x:c r="O55" s="28" t="str">
        <x:v>Atraso transportadora</x:v>
      </x:c>
      <x:c r="P55" s="30" t="n">
        <x:v>111168</x:v>
      </x:c>
    </x:row>
    <x:row r="56">
      <x:c r="A56" s="28" t="str">
        <x:v>PED-48055</x:v>
      </x:c>
      <x:c r="B56" s="34" t="n">
        <x:v>45323</x:v>
      </x:c>
      <x:c r="C56" s="28" t="str">
        <x:v>Grupo Industrial S.A.</x:v>
      </x:c>
      <x:c r="D56" s="28" t="str">
        <x:v>Planta São Paulo</x:v>
      </x:c>
      <x:c r="E56" s="28" t="str">
        <x:v>Alimentos SA</x:v>
      </x:c>
      <x:c r="F56" s="28" t="str">
        <x:v>Sudeste</x:v>
      </x:c>
      <x:c r="G56" s="28" t="str">
        <x:v>TransDados</x:v>
      </x:c>
      <x:c r="H56" s="28" t="str">
        <x:v>SP-Sudeste</x:v>
      </x:c>
      <x:c r="I56" s="34" t="n">
        <x:v>45328</x:v>
      </x:c>
      <x:c r="J56" s="34" t="n">
        <x:v>45330</x:v>
      </x:c>
      <x:c r="K56" s="32" t="n">
        <x:v>986</x:v>
      </x:c>
      <x:c r="L56" s="32" t="n">
        <x:v>986</x:v>
      </x:c>
      <x:c r="M56" s="30" t="n">
        <x:v>76908</x:v>
      </x:c>
      <x:c r="N56" s="28" t="str">
        <x:v>Em atraso</x:v>
      </x:c>
      <x:c r="O56" s="28" t="str">
        <x:v>Atraso transportadora</x:v>
      </x:c>
      <x:c r="P56" s="30" t="n">
        <x:v>76908</x:v>
      </x:c>
    </x:row>
    <x:row r="57">
      <x:c r="A57" s="28" t="str">
        <x:v>PED-48056</x:v>
      </x:c>
      <x:c r="B57" s="34" t="n">
        <x:v>45323</x:v>
      </x:c>
      <x:c r="C57" s="28" t="str">
        <x:v>Grupo Industrial S.A.</x:v>
      </x:c>
      <x:c r="D57" s="28" t="str">
        <x:v>Planta São Paulo</x:v>
      </x:c>
      <x:c r="E57" s="28" t="str">
        <x:v>Farma Vida</x:v>
      </x:c>
      <x:c r="F57" s="28" t="str">
        <x:v>Sudeste</x:v>
      </x:c>
      <x:c r="G57" s="28" t="str">
        <x:v>TransDados</x:v>
      </x:c>
      <x:c r="H57" s="28" t="str">
        <x:v>SP-Sudeste</x:v>
      </x:c>
      <x:c r="I57" s="34" t="n">
        <x:v>45331</x:v>
      </x:c>
      <x:c r="J57" s="34" t="n">
        <x:v>45332</x:v>
      </x:c>
      <x:c r="K57" s="32" t="n">
        <x:v>1356</x:v>
      </x:c>
      <x:c r="L57" s="32" t="n">
        <x:v>1356</x:v>
      </x:c>
      <x:c r="M57" s="30" t="n">
        <x:v>97632</x:v>
      </x:c>
      <x:c r="N57" s="28" t="str">
        <x:v>Em atraso</x:v>
      </x:c>
      <x:c r="O57" s="28" t="str">
        <x:v>Janela perdida no cliente</x:v>
      </x:c>
      <x:c r="P57" s="30" t="n">
        <x:v>97632</x:v>
      </x:c>
    </x:row>
    <x:row r="58">
      <x:c r="A58" s="28" t="str">
        <x:v>PED-48057</x:v>
      </x:c>
      <x:c r="B58" s="34" t="n">
        <x:v>45323</x:v>
      </x:c>
      <x:c r="C58" s="28" t="str">
        <x:v>Grupo Industrial S.A.</x:v>
      </x:c>
      <x:c r="D58" s="28" t="str">
        <x:v>Planta São Paulo</x:v>
      </x:c>
      <x:c r="E58" s="28" t="str">
        <x:v>AutoPeças BR</x:v>
      </x:c>
      <x:c r="F58" s="28" t="str">
        <x:v>Sudeste</x:v>
      </x:c>
      <x:c r="G58" s="28" t="str">
        <x:v>TransDados</x:v>
      </x:c>
      <x:c r="H58" s="28" t="str">
        <x:v>SP-Sudeste</x:v>
      </x:c>
      <x:c r="I58" s="34" t="n">
        <x:v>45334</x:v>
      </x:c>
      <x:c r="J58" s="34" t="n">
        <x:v>45335</x:v>
      </x:c>
      <x:c r="K58" s="32" t="n">
        <x:v>2162</x:v>
      </x:c>
      <x:c r="L58" s="32" t="n">
        <x:v>2162</x:v>
      </x:c>
      <x:c r="M58" s="30" t="n">
        <x:v>181608</x:v>
      </x:c>
      <x:c r="N58" s="28" t="str">
        <x:v>Em atraso</x:v>
      </x:c>
      <x:c r="O58" s="28" t="str">
        <x:v>Janela perdida no cliente</x:v>
      </x:c>
      <x:c r="P58" s="30" t="n">
        <x:v>181608</x:v>
      </x:c>
    </x:row>
    <x:row r="59">
      <x:c r="A59" s="28" t="str">
        <x:v>PED-48058</x:v>
      </x:c>
      <x:c r="B59" s="34" t="n">
        <x:v>45323</x:v>
      </x:c>
      <x:c r="C59" s="28" t="str">
        <x:v>Grupo Industrial S.A.</x:v>
      </x:c>
      <x:c r="D59" s="28" t="str">
        <x:v>Planta São Paulo</x:v>
      </x:c>
      <x:c r="E59" s="28" t="str">
        <x:v>Construbem</x:v>
      </x:c>
      <x:c r="F59" s="28" t="str">
        <x:v>Sudeste</x:v>
      </x:c>
      <x:c r="G59" s="28" t="str">
        <x:v>TransDados</x:v>
      </x:c>
      <x:c r="H59" s="28" t="str">
        <x:v>SP-Sudeste</x:v>
      </x:c>
      <x:c r="I59" s="34" t="n">
        <x:v>45337</x:v>
      </x:c>
      <x:c r="J59" s="34" t="n">
        <x:v>45338</x:v>
      </x:c>
      <x:c r="K59" s="32" t="n">
        <x:v>1203</x:v>
      </x:c>
      <x:c r="L59" s="32" t="n">
        <x:v>1203</x:v>
      </x:c>
      <x:c r="M59" s="30" t="n">
        <x:v>101052</x:v>
      </x:c>
      <x:c r="N59" s="28" t="str">
        <x:v>Em atraso</x:v>
      </x:c>
      <x:c r="O59" s="28" t="str">
        <x:v>Atraso transportadora</x:v>
      </x:c>
      <x:c r="P59" s="30" t="n">
        <x:v>101052</x:v>
      </x:c>
    </x:row>
    <x:row r="60">
      <x:c r="A60" s="28" t="str">
        <x:v>PED-48059</x:v>
      </x:c>
      <x:c r="B60" s="34" t="n">
        <x:v>45323</x:v>
      </x:c>
      <x:c r="C60" s="28" t="str">
        <x:v>Grupo Industrial S.A.</x:v>
      </x:c>
      <x:c r="D60" s="28" t="str">
        <x:v>Planta São Paulo</x:v>
      </x:c>
      <x:c r="E60" s="28" t="str">
        <x:v>Alimentos SA</x:v>
      </x:c>
      <x:c r="F60" s="28" t="str">
        <x:v>Sudeste</x:v>
      </x:c>
      <x:c r="G60" s="28" t="str">
        <x:v>TransDados</x:v>
      </x:c>
      <x:c r="H60" s="28" t="str">
        <x:v>SP-Sudeste</x:v>
      </x:c>
      <x:c r="I60" s="34" t="n">
        <x:v>45340</x:v>
      </x:c>
      <x:c r="J60" s="34" t="n">
        <x:v>45341</x:v>
      </x:c>
      <x:c r="K60" s="32" t="n">
        <x:v>1463</x:v>
      </x:c>
      <x:c r="L60" s="32" t="n">
        <x:v>1463</x:v>
      </x:c>
      <x:c r="M60" s="30" t="n">
        <x:v>122892</x:v>
      </x:c>
      <x:c r="N60" s="28" t="str">
        <x:v>Em atraso</x:v>
      </x:c>
      <x:c r="O60" s="28" t="str">
        <x:v>Janela perdida no cliente</x:v>
      </x:c>
      <x:c r="P60" s="30" t="n">
        <x:v>122892</x:v>
      </x:c>
    </x:row>
    <x:row r="61">
      <x:c r="A61" s="28" t="str">
        <x:v>PED-48060</x:v>
      </x:c>
      <x:c r="B61" s="34" t="n">
        <x:v>45323</x:v>
      </x:c>
      <x:c r="C61" s="28" t="str">
        <x:v>Grupo Industrial S.A.</x:v>
      </x:c>
      <x:c r="D61" s="28" t="str">
        <x:v>Planta São Paulo</x:v>
      </x:c>
      <x:c r="E61" s="28" t="str">
        <x:v>Farma Vida</x:v>
      </x:c>
      <x:c r="F61" s="28" t="str">
        <x:v>Sudeste</x:v>
      </x:c>
      <x:c r="G61" s="28" t="str">
        <x:v>TransDados</x:v>
      </x:c>
      <x:c r="H61" s="28" t="str">
        <x:v>SP-Sudeste</x:v>
      </x:c>
      <x:c r="I61" s="34" t="n">
        <x:v>45343</x:v>
      </x:c>
      <x:c r="J61" s="34" t="n">
        <x:v>45345</x:v>
      </x:c>
      <x:c r="K61" s="32" t="n">
        <x:v>2057</x:v>
      </x:c>
      <x:c r="L61" s="32" t="n">
        <x:v>2057</x:v>
      </x:c>
      <x:c r="M61" s="30" t="n">
        <x:v>148104</x:v>
      </x:c>
      <x:c r="N61" s="28" t="str">
        <x:v>Em atraso</x:v>
      </x:c>
      <x:c r="O61" s="28" t="str">
        <x:v>Atraso transportadora</x:v>
      </x:c>
      <x:c r="P61" s="30" t="n">
        <x:v>148104</x:v>
      </x:c>
    </x:row>
    <x:row r="62">
      <x:c r="A62" s="28" t="str">
        <x:v>PED-48061</x:v>
      </x:c>
      <x:c r="B62" s="34" t="n">
        <x:v>45323</x:v>
      </x:c>
      <x:c r="C62" s="28" t="str">
        <x:v>Grupo Industrial S.A.</x:v>
      </x:c>
      <x:c r="D62" s="28" t="str">
        <x:v>Planta São Paulo</x:v>
      </x:c>
      <x:c r="E62" s="28" t="str">
        <x:v>Construbem</x:v>
      </x:c>
      <x:c r="F62" s="28" t="str">
        <x:v>Sudeste</x:v>
      </x:c>
      <x:c r="G62" s="28" t="str">
        <x:v>RápidoSul</x:v>
      </x:c>
      <x:c r="H62" s="28" t="str">
        <x:v>SP-Centro-Oeste</x:v>
      </x:c>
      <x:c r="I62" s="34" t="n">
        <x:v>45328</x:v>
      </x:c>
      <x:c r="J62" s="34" t="n">
        <x:v>45329</x:v>
      </x:c>
      <x:c r="K62" s="32" t="n">
        <x:v>1131</x:v>
      </x:c>
      <x:c r="L62" s="32" t="n">
        <x:v>1131</x:v>
      </x:c>
      <x:c r="M62" s="30" t="n">
        <x:v>88218</x:v>
      </x:c>
      <x:c r="N62" s="28" t="str">
        <x:v>Em atraso</x:v>
      </x:c>
      <x:c r="O62" s="28" t="str">
        <x:v>Atraso transportadora</x:v>
      </x:c>
      <x:c r="P62" s="30" t="n">
        <x:v>88218</x:v>
      </x:c>
    </x:row>
    <x:row r="63">
      <x:c r="A63" s="28" t="str">
        <x:v>PED-48062</x:v>
      </x:c>
      <x:c r="B63" s="34" t="n">
        <x:v>45323</x:v>
      </x:c>
      <x:c r="C63" s="28" t="str">
        <x:v>Grupo Industrial S.A.</x:v>
      </x:c>
      <x:c r="D63" s="28" t="str">
        <x:v>Planta São Paulo</x:v>
      </x:c>
      <x:c r="E63" s="28" t="str">
        <x:v>Alimentos SA</x:v>
      </x:c>
      <x:c r="F63" s="28" t="str">
        <x:v>Sudeste</x:v>
      </x:c>
      <x:c r="G63" s="28" t="str">
        <x:v>RápidoSul</x:v>
      </x:c>
      <x:c r="H63" s="28" t="str">
        <x:v>SP-Centro-Oeste</x:v>
      </x:c>
      <x:c r="I63" s="34" t="n">
        <x:v>45331</x:v>
      </x:c>
      <x:c r="J63" s="34" t="n">
        <x:v>45331</x:v>
      </x:c>
      <x:c r="K63" s="32" t="n">
        <x:v>2124</x:v>
      </x:c>
      <x:c r="L63" s="32" t="n">
        <x:v>2124</x:v>
      </x:c>
      <x:c r="M63" s="30" t="n">
        <x:v>165672</x:v>
      </x:c>
      <x:c r="N63" s="28" t="str">
        <x:v>OTIF</x:v>
      </x:c>
      <x:c r="O63" s="28" t="str">
        <x:v>Janela perdida no cliente</x:v>
      </x:c>
      <x:c r="P63" s="30" t="n">
        <x:v>0</x:v>
      </x:c>
    </x:row>
    <x:row r="64">
      <x:c r="A64" s="28" t="str">
        <x:v>PED-48063</x:v>
      </x:c>
      <x:c r="B64" s="34" t="n">
        <x:v>45323</x:v>
      </x:c>
      <x:c r="C64" s="28" t="str">
        <x:v>Grupo Industrial S.A.</x:v>
      </x:c>
      <x:c r="D64" s="28" t="str">
        <x:v>Planta São Paulo</x:v>
      </x:c>
      <x:c r="E64" s="28" t="str">
        <x:v>Farma Vida</x:v>
      </x:c>
      <x:c r="F64" s="28" t="str">
        <x:v>Sudeste</x:v>
      </x:c>
      <x:c r="G64" s="28" t="str">
        <x:v>RápidoSul</x:v>
      </x:c>
      <x:c r="H64" s="28" t="str">
        <x:v>SP-Centro-Oeste</x:v>
      </x:c>
      <x:c r="I64" s="34" t="n">
        <x:v>45334</x:v>
      </x:c>
      <x:c r="J64" s="34" t="n">
        <x:v>45338</x:v>
      </x:c>
      <x:c r="K64" s="32" t="n">
        <x:v>2174</x:v>
      </x:c>
      <x:c r="L64" s="32" t="n">
        <x:v>2174</x:v>
      </x:c>
      <x:c r="M64" s="30" t="n">
        <x:v>169572</x:v>
      </x:c>
      <x:c r="N64" s="28" t="str">
        <x:v>Em atraso</x:v>
      </x:c>
      <x:c r="O64" s="28" t="str">
        <x:v>Janela perdida no cliente</x:v>
      </x:c>
      <x:c r="P64" s="30" t="n">
        <x:v>169572</x:v>
      </x:c>
    </x:row>
    <x:row r="65">
      <x:c r="A65" s="28" t="str">
        <x:v>PED-48064</x:v>
      </x:c>
      <x:c r="B65" s="34" t="n">
        <x:v>45323</x:v>
      </x:c>
      <x:c r="C65" s="28" t="str">
        <x:v>Grupo Industrial S.A.</x:v>
      </x:c>
      <x:c r="D65" s="28" t="str">
        <x:v>Planta São Paulo</x:v>
      </x:c>
      <x:c r="E65" s="28" t="str">
        <x:v>AutoPeças BR</x:v>
      </x:c>
      <x:c r="F65" s="28" t="str">
        <x:v>Sudeste</x:v>
      </x:c>
      <x:c r="G65" s="28" t="str">
        <x:v>RápidoSul</x:v>
      </x:c>
      <x:c r="H65" s="28" t="str">
        <x:v>SP-Centro-Oeste</x:v>
      </x:c>
      <x:c r="I65" s="34" t="n">
        <x:v>45337</x:v>
      </x:c>
      <x:c r="J65" s="34" t="n">
        <x:v>45337</x:v>
      </x:c>
      <x:c r="K65" s="32" t="n">
        <x:v>806</x:v>
      </x:c>
      <x:c r="L65" s="32" t="n">
        <x:v>806</x:v>
      </x:c>
      <x:c r="M65" s="30" t="n">
        <x:v>58032</x:v>
      </x:c>
      <x:c r="N65" s="28" t="str">
        <x:v>OTIF</x:v>
      </x:c>
      <x:c r="O65" s="28" t="str">
        <x:v>Janela perdida no cliente</x:v>
      </x:c>
      <x:c r="P65" s="30" t="n">
        <x:v>0</x:v>
      </x:c>
    </x:row>
    <x:row r="66">
      <x:c r="A66" s="28" t="str">
        <x:v>PED-48065</x:v>
      </x:c>
      <x:c r="B66" s="34" t="n">
        <x:v>45323</x:v>
      </x:c>
      <x:c r="C66" s="28" t="str">
        <x:v>Grupo Industrial S.A.</x:v>
      </x:c>
      <x:c r="D66" s="28" t="str">
        <x:v>Planta São Paulo</x:v>
      </x:c>
      <x:c r="E66" s="28" t="str">
        <x:v>Construbem</x:v>
      </x:c>
      <x:c r="F66" s="28" t="str">
        <x:v>Sudeste</x:v>
      </x:c>
      <x:c r="G66" s="28" t="str">
        <x:v>RápidoSul</x:v>
      </x:c>
      <x:c r="H66" s="28" t="str">
        <x:v>SP-Centro-Oeste</x:v>
      </x:c>
      <x:c r="I66" s="34" t="n">
        <x:v>45340</x:v>
      </x:c>
      <x:c r="J66" s="34" t="n">
        <x:v>45340</x:v>
      </x:c>
      <x:c r="K66" s="32" t="n">
        <x:v>1114</x:v>
      </x:c>
      <x:c r="L66" s="32" t="n">
        <x:v>1114</x:v>
      </x:c>
      <x:c r="M66" s="30" t="n">
        <x:v>86892</x:v>
      </x:c>
      <x:c r="N66" s="28" t="str">
        <x:v>OTIF</x:v>
      </x:c>
      <x:c r="O66" s="28" t="str">
        <x:v>Janela perdida no cliente</x:v>
      </x:c>
      <x:c r="P66" s="30" t="n">
        <x:v>0</x:v>
      </x:c>
    </x:row>
    <x:row r="67">
      <x:c r="A67" s="28" t="str">
        <x:v>PED-48066</x:v>
      </x:c>
      <x:c r="B67" s="34" t="n">
        <x:v>45323</x:v>
      </x:c>
      <x:c r="C67" s="28" t="str">
        <x:v>Grupo Industrial S.A.</x:v>
      </x:c>
      <x:c r="D67" s="28" t="str">
        <x:v>Planta São Paulo</x:v>
      </x:c>
      <x:c r="E67" s="28" t="str">
        <x:v>Alimentos SA</x:v>
      </x:c>
      <x:c r="F67" s="28" t="str">
        <x:v>Sudeste</x:v>
      </x:c>
      <x:c r="G67" s="28" t="str">
        <x:v>RápidoSul</x:v>
      </x:c>
      <x:c r="H67" s="28" t="str">
        <x:v>SP-Centro-Oeste</x:v>
      </x:c>
      <x:c r="I67" s="34" t="n">
        <x:v>45343</x:v>
      </x:c>
      <x:c r="J67" s="34" t="n">
        <x:v>45343</x:v>
      </x:c>
      <x:c r="K67" s="32" t="n">
        <x:v>1130</x:v>
      </x:c>
      <x:c r="L67" s="32" t="n">
        <x:v>1130</x:v>
      </x:c>
      <x:c r="M67" s="30" t="n">
        <x:v>103960</x:v>
      </x:c>
      <x:c r="N67" s="28" t="str">
        <x:v>OTIF</x:v>
      </x:c>
      <x:c r="O67" s="28" t="str">
        <x:v>Janela perdida no cliente</x:v>
      </x:c>
      <x:c r="P67" s="30" t="n">
        <x:v>0</x:v>
      </x:c>
    </x:row>
    <x:row r="68">
      <x:c r="A68" s="28" t="str">
        <x:v>PED-48067</x:v>
      </x:c>
      <x:c r="B68" s="34" t="n">
        <x:v>45323</x:v>
      </x:c>
      <x:c r="C68" s="28" t="str">
        <x:v>Grupo Industrial S.A.</x:v>
      </x:c>
      <x:c r="D68" s="28" t="str">
        <x:v>Planta São Paulo</x:v>
      </x:c>
      <x:c r="E68" s="28" t="str">
        <x:v>AutoPeças BR</x:v>
      </x:c>
      <x:c r="F68" s="28" t="str">
        <x:v>Sudeste</x:v>
      </x:c>
      <x:c r="G68" s="28" t="str">
        <x:v>NovaLog</x:v>
      </x:c>
      <x:c r="H68" s="28" t="str">
        <x:v>SP-Nordeste</x:v>
      </x:c>
      <x:c r="I68" s="34" t="n">
        <x:v>45328</x:v>
      </x:c>
      <x:c r="J68" s="34" t="n">
        <x:v>45328</x:v>
      </x:c>
      <x:c r="K68" s="32" t="n">
        <x:v>1079</x:v>
      </x:c>
      <x:c r="L68" s="32" t="n">
        <x:v>1079</x:v>
      </x:c>
      <x:c r="M68" s="30" t="n">
        <x:v>90636</x:v>
      </x:c>
      <x:c r="N68" s="28" t="str">
        <x:v>OTIF</x:v>
      </x:c>
      <x:c r="O68" s="28" t="str">
        <x:v>Janela perdida no cliente</x:v>
      </x:c>
      <x:c r="P68" s="30" t="n">
        <x:v>0</x:v>
      </x:c>
    </x:row>
    <x:row r="69">
      <x:c r="A69" s="28" t="str">
        <x:v>PED-48068</x:v>
      </x:c>
      <x:c r="B69" s="34" t="n">
        <x:v>45323</x:v>
      </x:c>
      <x:c r="C69" s="28" t="str">
        <x:v>Grupo Industrial S.A.</x:v>
      </x:c>
      <x:c r="D69" s="28" t="str">
        <x:v>Planta São Paulo</x:v>
      </x:c>
      <x:c r="E69" s="28" t="str">
        <x:v>Construbem</x:v>
      </x:c>
      <x:c r="F69" s="28" t="str">
        <x:v>Sudeste</x:v>
      </x:c>
      <x:c r="G69" s="28" t="str">
        <x:v>NovaLog</x:v>
      </x:c>
      <x:c r="H69" s="28" t="str">
        <x:v>SP-Nordeste</x:v>
      </x:c>
      <x:c r="I69" s="34" t="n">
        <x:v>45331</x:v>
      </x:c>
      <x:c r="J69" s="34" t="n">
        <x:v>45331</x:v>
      </x:c>
      <x:c r="K69" s="32" t="n">
        <x:v>1286</x:v>
      </x:c>
      <x:c r="L69" s="32" t="n">
        <x:v>1286</x:v>
      </x:c>
      <x:c r="M69" s="30" t="n">
        <x:v>100308</x:v>
      </x:c>
      <x:c r="N69" s="28" t="str">
        <x:v>OTIF</x:v>
      </x:c>
      <x:c r="O69" s="28" t="str">
        <x:v>Janela perdida no cliente</x:v>
      </x:c>
      <x:c r="P69" s="30" t="n">
        <x:v>0</x:v>
      </x:c>
    </x:row>
    <x:row r="70">
      <x:c r="A70" s="28" t="str">
        <x:v>PED-48069</x:v>
      </x:c>
      <x:c r="B70" s="34" t="n">
        <x:v>45323</x:v>
      </x:c>
      <x:c r="C70" s="28" t="str">
        <x:v>Grupo Industrial S.A.</x:v>
      </x:c>
      <x:c r="D70" s="28" t="str">
        <x:v>Planta São Paulo</x:v>
      </x:c>
      <x:c r="E70" s="28" t="str">
        <x:v>Alimentos SA</x:v>
      </x:c>
      <x:c r="F70" s="28" t="str">
        <x:v>Sudeste</x:v>
      </x:c>
      <x:c r="G70" s="28" t="str">
        <x:v>NovaLog</x:v>
      </x:c>
      <x:c r="H70" s="28" t="str">
        <x:v>SP-Nordeste</x:v>
      </x:c>
      <x:c r="I70" s="34" t="n">
        <x:v>45334</x:v>
      </x:c>
      <x:c r="J70" s="34" t="n">
        <x:v>45334</x:v>
      </x:c>
      <x:c r="K70" s="32" t="n">
        <x:v>886</x:v>
      </x:c>
      <x:c r="L70" s="32" t="n">
        <x:v>886</x:v>
      </x:c>
      <x:c r="M70" s="30" t="n">
        <x:v>74424</x:v>
      </x:c>
      <x:c r="N70" s="28" t="str">
        <x:v>OTIF</x:v>
      </x:c>
      <x:c r="O70" s="28" t="str">
        <x:v>Janela perdida no cliente</x:v>
      </x:c>
      <x:c r="P70" s="30" t="n">
        <x:v>0</x:v>
      </x:c>
    </x:row>
    <x:row r="71">
      <x:c r="A71" s="28" t="str">
        <x:v>PED-48070</x:v>
      </x:c>
      <x:c r="B71" s="34" t="n">
        <x:v>45323</x:v>
      </x:c>
      <x:c r="C71" s="28" t="str">
        <x:v>Grupo Industrial S.A.</x:v>
      </x:c>
      <x:c r="D71" s="28" t="str">
        <x:v>Planta São Paulo</x:v>
      </x:c>
      <x:c r="E71" s="28" t="str">
        <x:v>Farma Vida</x:v>
      </x:c>
      <x:c r="F71" s="28" t="str">
        <x:v>Sudeste</x:v>
      </x:c>
      <x:c r="G71" s="28" t="str">
        <x:v>NovaLog</x:v>
      </x:c>
      <x:c r="H71" s="28" t="str">
        <x:v>SP-Nordeste</x:v>
      </x:c>
      <x:c r="I71" s="34" t="n">
        <x:v>45337</x:v>
      </x:c>
      <x:c r="J71" s="34" t="n">
        <x:v>45339</x:v>
      </x:c>
      <x:c r="K71" s="32" t="n">
        <x:v>2066</x:v>
      </x:c>
      <x:c r="L71" s="32" t="n">
        <x:v>2066</x:v>
      </x:c>
      <x:c r="M71" s="30" t="n">
        <x:v>190072</x:v>
      </x:c>
      <x:c r="N71" s="28" t="str">
        <x:v>Em atraso</x:v>
      </x:c>
      <x:c r="O71" s="28" t="str">
        <x:v>Atraso transportadora</x:v>
      </x:c>
      <x:c r="P71" s="30" t="n">
        <x:v>190072</x:v>
      </x:c>
    </x:row>
    <x:row r="72">
      <x:c r="A72" s="28" t="str">
        <x:v>PED-48071</x:v>
      </x:c>
      <x:c r="B72" s="34" t="n">
        <x:v>45323</x:v>
      </x:c>
      <x:c r="C72" s="28" t="str">
        <x:v>Grupo Industrial S.A.</x:v>
      </x:c>
      <x:c r="D72" s="28" t="str">
        <x:v>Planta São Paulo</x:v>
      </x:c>
      <x:c r="E72" s="28" t="str">
        <x:v>AutoPeças BR</x:v>
      </x:c>
      <x:c r="F72" s="28" t="str">
        <x:v>Sudeste</x:v>
      </x:c>
      <x:c r="G72" s="28" t="str">
        <x:v>NovaLog</x:v>
      </x:c>
      <x:c r="H72" s="28" t="str">
        <x:v>SP-Nordeste</x:v>
      </x:c>
      <x:c r="I72" s="34" t="n">
        <x:v>45340</x:v>
      </x:c>
      <x:c r="J72" s="34" t="n">
        <x:v>45344</x:v>
      </x:c>
      <x:c r="K72" s="32" t="n">
        <x:v>1017</x:v>
      </x:c>
      <x:c r="L72" s="32" t="n">
        <x:v>1017</x:v>
      </x:c>
      <x:c r="M72" s="30" t="n">
        <x:v>73224</x:v>
      </x:c>
      <x:c r="N72" s="28" t="str">
        <x:v>Em atraso</x:v>
      </x:c>
      <x:c r="O72" s="28" t="str">
        <x:v>Atraso transportadora</x:v>
      </x:c>
      <x:c r="P72" s="30" t="n">
        <x:v>73224</x:v>
      </x:c>
    </x:row>
    <x:row r="73">
      <x:c r="A73" s="28" t="str">
        <x:v>PED-48072</x:v>
      </x:c>
      <x:c r="B73" s="34" t="n">
        <x:v>45323</x:v>
      </x:c>
      <x:c r="C73" s="28" t="str">
        <x:v>Grupo Industrial S.A.</x:v>
      </x:c>
      <x:c r="D73" s="28" t="str">
        <x:v>Planta São Paulo</x:v>
      </x:c>
      <x:c r="E73" s="28" t="str">
        <x:v>Construbem</x:v>
      </x:c>
      <x:c r="F73" s="28" t="str">
        <x:v>Sudeste</x:v>
      </x:c>
      <x:c r="G73" s="28" t="str">
        <x:v>NovaLog</x:v>
      </x:c>
      <x:c r="H73" s="28" t="str">
        <x:v>SP-Nordeste</x:v>
      </x:c>
      <x:c r="I73" s="34" t="n">
        <x:v>45343</x:v>
      </x:c>
      <x:c r="J73" s="34" t="n">
        <x:v>45343</x:v>
      </x:c>
      <x:c r="K73" s="32" t="n">
        <x:v>1421</x:v>
      </x:c>
      <x:c r="L73" s="32" t="n">
        <x:v>1284</x:v>
      </x:c>
      <x:c r="M73" s="30" t="n">
        <x:v>102312</x:v>
      </x:c>
      <x:c r="N73" s="28" t="str">
        <x:v>Incompleto</x:v>
      </x:c>
      <x:c r="O73" s="28" t="str">
        <x:v>Falta de produto</x:v>
      </x:c>
      <x:c r="P73" s="30" t="n">
        <x:v>102312</x:v>
      </x:c>
    </x:row>
    <x:row r="74">
      <x:c r="A74" s="28" t="str">
        <x:v>PED-48073</x:v>
      </x:c>
      <x:c r="B74" s="34" t="n">
        <x:v>45323</x:v>
      </x:c>
      <x:c r="C74" s="28" t="str">
        <x:v>Grupo Industrial S.A.</x:v>
      </x:c>
      <x:c r="D74" s="28" t="str">
        <x:v>Planta Campinas</x:v>
      </x:c>
      <x:c r="E74" s="28" t="str">
        <x:v>Farma Vida</x:v>
      </x:c>
      <x:c r="F74" s="28" t="str">
        <x:v>Sudeste</x:v>
      </x:c>
      <x:c r="G74" s="28" t="str">
        <x:v>TransDados</x:v>
      </x:c>
      <x:c r="H74" s="28" t="str">
        <x:v>Campinas-Sudeste</x:v>
      </x:c>
      <x:c r="I74" s="34" t="n">
        <x:v>45328</x:v>
      </x:c>
      <x:c r="J74" s="34" t="n">
        <x:v>45331</x:v>
      </x:c>
      <x:c r="K74" s="32" t="n">
        <x:v>943</x:v>
      </x:c>
      <x:c r="L74" s="32" t="n">
        <x:v>943</x:v>
      </x:c>
      <x:c r="M74" s="30" t="n">
        <x:v>86756</x:v>
      </x:c>
      <x:c r="N74" s="28" t="str">
        <x:v>Em atraso</x:v>
      </x:c>
      <x:c r="O74" s="28" t="str">
        <x:v>Janela perdida no cliente</x:v>
      </x:c>
      <x:c r="P74" s="30" t="n">
        <x:v>86756</x:v>
      </x:c>
    </x:row>
    <x:row r="75">
      <x:c r="A75" s="28" t="str">
        <x:v>PED-48074</x:v>
      </x:c>
      <x:c r="B75" s="34" t="n">
        <x:v>45323</x:v>
      </x:c>
      <x:c r="C75" s="28" t="str">
        <x:v>Grupo Industrial S.A.</x:v>
      </x:c>
      <x:c r="D75" s="28" t="str">
        <x:v>Planta Campinas</x:v>
      </x:c>
      <x:c r="E75" s="28" t="str">
        <x:v>AutoPeças BR</x:v>
      </x:c>
      <x:c r="F75" s="28" t="str">
        <x:v>Sudeste</x:v>
      </x:c>
      <x:c r="G75" s="28" t="str">
        <x:v>TransDados</x:v>
      </x:c>
      <x:c r="H75" s="28" t="str">
        <x:v>Campinas-Sudeste</x:v>
      </x:c>
      <x:c r="I75" s="34" t="n">
        <x:v>45331</x:v>
      </x:c>
      <x:c r="J75" s="34" t="n">
        <x:v>45335</x:v>
      </x:c>
      <x:c r="K75" s="32" t="n">
        <x:v>1606</x:v>
      </x:c>
      <x:c r="L75" s="32" t="n">
        <x:v>1606</x:v>
      </x:c>
      <x:c r="M75" s="30" t="n">
        <x:v>147752</x:v>
      </x:c>
      <x:c r="N75" s="28" t="str">
        <x:v>Em atraso</x:v>
      </x:c>
      <x:c r="O75" s="28" t="str">
        <x:v>Janela perdida no cliente</x:v>
      </x:c>
      <x:c r="P75" s="30" t="n">
        <x:v>147752</x:v>
      </x:c>
    </x:row>
    <x:row r="76">
      <x:c r="A76" s="28" t="str">
        <x:v>PED-48075</x:v>
      </x:c>
      <x:c r="B76" s="34" t="n">
        <x:v>45323</x:v>
      </x:c>
      <x:c r="C76" s="28" t="str">
        <x:v>Grupo Industrial S.A.</x:v>
      </x:c>
      <x:c r="D76" s="28" t="str">
        <x:v>Planta Campinas</x:v>
      </x:c>
      <x:c r="E76" s="28" t="str">
        <x:v>Construbem</x:v>
      </x:c>
      <x:c r="F76" s="28" t="str">
        <x:v>Sudeste</x:v>
      </x:c>
      <x:c r="G76" s="28" t="str">
        <x:v>TransDados</x:v>
      </x:c>
      <x:c r="H76" s="28" t="str">
        <x:v>Campinas-Sudeste</x:v>
      </x:c>
      <x:c r="I76" s="34" t="n">
        <x:v>45334</x:v>
      </x:c>
      <x:c r="J76" s="34" t="n">
        <x:v>45334</x:v>
      </x:c>
      <x:c r="K76" s="32" t="n">
        <x:v>1977</x:v>
      </x:c>
      <x:c r="L76" s="32" t="n">
        <x:v>1977</x:v>
      </x:c>
      <x:c r="M76" s="30" t="n">
        <x:v>142344</x:v>
      </x:c>
      <x:c r="N76" s="28" t="str">
        <x:v>OTIF</x:v>
      </x:c>
      <x:c r="O76" s="28" t="str">
        <x:v>Janela perdida no cliente</x:v>
      </x:c>
      <x:c r="P76" s="30" t="n">
        <x:v>0</x:v>
      </x:c>
    </x:row>
    <x:row r="77">
      <x:c r="A77" s="28" t="str">
        <x:v>PED-48076</x:v>
      </x:c>
      <x:c r="B77" s="34" t="n">
        <x:v>45323</x:v>
      </x:c>
      <x:c r="C77" s="28" t="str">
        <x:v>Grupo Industrial S.A.</x:v>
      </x:c>
      <x:c r="D77" s="28" t="str">
        <x:v>Planta Campinas</x:v>
      </x:c>
      <x:c r="E77" s="28" t="str">
        <x:v>Alimentos SA</x:v>
      </x:c>
      <x:c r="F77" s="28" t="str">
        <x:v>Sudeste</x:v>
      </x:c>
      <x:c r="G77" s="28" t="str">
        <x:v>TransDados</x:v>
      </x:c>
      <x:c r="H77" s="28" t="str">
        <x:v>Campinas-Sudeste</x:v>
      </x:c>
      <x:c r="I77" s="34" t="n">
        <x:v>45337</x:v>
      </x:c>
      <x:c r="J77" s="34" t="n">
        <x:v>45339</x:v>
      </x:c>
      <x:c r="K77" s="32" t="n">
        <x:v>707</x:v>
      </x:c>
      <x:c r="L77" s="32" t="n">
        <x:v>707</x:v>
      </x:c>
      <x:c r="M77" s="30" t="n">
        <x:v>50904</x:v>
      </x:c>
      <x:c r="N77" s="28" t="str">
        <x:v>Em atraso</x:v>
      </x:c>
      <x:c r="O77" s="28" t="str">
        <x:v>Janela perdida no cliente</x:v>
      </x:c>
      <x:c r="P77" s="30" t="n">
        <x:v>50904</x:v>
      </x:c>
    </x:row>
    <x:row r="78">
      <x:c r="A78" s="28" t="str">
        <x:v>PED-48077</x:v>
      </x:c>
      <x:c r="B78" s="34" t="n">
        <x:v>45323</x:v>
      </x:c>
      <x:c r="C78" s="28" t="str">
        <x:v>Grupo Industrial S.A.</x:v>
      </x:c>
      <x:c r="D78" s="28" t="str">
        <x:v>Planta Campinas</x:v>
      </x:c>
      <x:c r="E78" s="28" t="str">
        <x:v>Farma Vida</x:v>
      </x:c>
      <x:c r="F78" s="28" t="str">
        <x:v>Sudeste</x:v>
      </x:c>
      <x:c r="G78" s="28" t="str">
        <x:v>TransDados</x:v>
      </x:c>
      <x:c r="H78" s="28" t="str">
        <x:v>Campinas-Sudeste</x:v>
      </x:c>
      <x:c r="I78" s="34" t="n">
        <x:v>45340</x:v>
      </x:c>
      <x:c r="J78" s="34" t="n">
        <x:v>45341</x:v>
      </x:c>
      <x:c r="K78" s="32" t="n">
        <x:v>1180</x:v>
      </x:c>
      <x:c r="L78" s="32" t="n">
        <x:v>1180</x:v>
      </x:c>
      <x:c r="M78" s="30" t="n">
        <x:v>108560</x:v>
      </x:c>
      <x:c r="N78" s="28" t="str">
        <x:v>Em atraso</x:v>
      </x:c>
      <x:c r="O78" s="28" t="str">
        <x:v>Atraso transportadora</x:v>
      </x:c>
      <x:c r="P78" s="30" t="n">
        <x:v>108560</x:v>
      </x:c>
    </x:row>
    <x:row r="79">
      <x:c r="A79" s="28" t="str">
        <x:v>PED-48078</x:v>
      </x:c>
      <x:c r="B79" s="34" t="n">
        <x:v>45323</x:v>
      </x:c>
      <x:c r="C79" s="28" t="str">
        <x:v>Grupo Industrial S.A.</x:v>
      </x:c>
      <x:c r="D79" s="28" t="str">
        <x:v>Planta Campinas</x:v>
      </x:c>
      <x:c r="E79" s="28" t="str">
        <x:v>AutoPeças BR</x:v>
      </x:c>
      <x:c r="F79" s="28" t="str">
        <x:v>Sudeste</x:v>
      </x:c>
      <x:c r="G79" s="28" t="str">
        <x:v>TransDados</x:v>
      </x:c>
      <x:c r="H79" s="28" t="str">
        <x:v>Campinas-Sudeste</x:v>
      </x:c>
      <x:c r="I79" s="34" t="n">
        <x:v>45343</x:v>
      </x:c>
      <x:c r="J79" s="34" t="n">
        <x:v>45344</x:v>
      </x:c>
      <x:c r="K79" s="32" t="n">
        <x:v>955</x:v>
      </x:c>
      <x:c r="L79" s="32" t="n">
        <x:v>955</x:v>
      </x:c>
      <x:c r="M79" s="30" t="n">
        <x:v>74490</x:v>
      </x:c>
      <x:c r="N79" s="28" t="str">
        <x:v>Em atraso</x:v>
      </x:c>
      <x:c r="O79" s="28" t="str">
        <x:v>Janela perdida no cliente</x:v>
      </x:c>
      <x:c r="P79" s="30" t="n">
        <x:v>74490</x:v>
      </x:c>
    </x:row>
    <x:row r="80">
      <x:c r="A80" s="28" t="str">
        <x:v>PED-48079</x:v>
      </x:c>
      <x:c r="B80" s="34" t="n">
        <x:v>45323</x:v>
      </x:c>
      <x:c r="C80" s="28" t="str">
        <x:v>Grupo Industrial S.A.</x:v>
      </x:c>
      <x:c r="D80" s="28" t="str">
        <x:v>Planta Campinas</x:v>
      </x:c>
      <x:c r="E80" s="28" t="str">
        <x:v>Alimentos SA</x:v>
      </x:c>
      <x:c r="F80" s="28" t="str">
        <x:v>Sudeste</x:v>
      </x:c>
      <x:c r="G80" s="28" t="str">
        <x:v>RápidoSul</x:v>
      </x:c>
      <x:c r="H80" s="28" t="str">
        <x:v>Campinas-Norte</x:v>
      </x:c>
      <x:c r="I80" s="34" t="n">
        <x:v>45328</x:v>
      </x:c>
      <x:c r="J80" s="34" t="n">
        <x:v>45329</x:v>
      </x:c>
      <x:c r="K80" s="32" t="n">
        <x:v>1324</x:v>
      </x:c>
      <x:c r="L80" s="32" t="n">
        <x:v>1324</x:v>
      </x:c>
      <x:c r="M80" s="30" t="n">
        <x:v>103272</x:v>
      </x:c>
      <x:c r="N80" s="28" t="str">
        <x:v>Em atraso</x:v>
      </x:c>
      <x:c r="O80" s="28" t="str">
        <x:v>Atraso transportadora</x:v>
      </x:c>
      <x:c r="P80" s="30" t="n">
        <x:v>103272</x:v>
      </x:c>
    </x:row>
    <x:row r="81">
      <x:c r="A81" s="28" t="str">
        <x:v>PED-48080</x:v>
      </x:c>
      <x:c r="B81" s="34" t="n">
        <x:v>45323</x:v>
      </x:c>
      <x:c r="C81" s="28" t="str">
        <x:v>Grupo Industrial S.A.</x:v>
      </x:c>
      <x:c r="D81" s="28" t="str">
        <x:v>Planta Campinas</x:v>
      </x:c>
      <x:c r="E81" s="28" t="str">
        <x:v>Farma Vida</x:v>
      </x:c>
      <x:c r="F81" s="28" t="str">
        <x:v>Sudeste</x:v>
      </x:c>
      <x:c r="G81" s="28" t="str">
        <x:v>RápidoSul</x:v>
      </x:c>
      <x:c r="H81" s="28" t="str">
        <x:v>Campinas-Norte</x:v>
      </x:c>
      <x:c r="I81" s="34" t="n">
        <x:v>45331</x:v>
      </x:c>
      <x:c r="J81" s="34" t="n">
        <x:v>45333</x:v>
      </x:c>
      <x:c r="K81" s="32" t="n">
        <x:v>964</x:v>
      </x:c>
      <x:c r="L81" s="32" t="n">
        <x:v>964</x:v>
      </x:c>
      <x:c r="M81" s="30" t="n">
        <x:v>75192</x:v>
      </x:c>
      <x:c r="N81" s="28" t="str">
        <x:v>Em atraso</x:v>
      </x:c>
      <x:c r="O81" s="28" t="str">
        <x:v>Atraso transportadora</x:v>
      </x:c>
      <x:c r="P81" s="30" t="n">
        <x:v>75192</x:v>
      </x:c>
    </x:row>
    <x:row r="82">
      <x:c r="A82" s="28" t="str">
        <x:v>PED-48081</x:v>
      </x:c>
      <x:c r="B82" s="34" t="n">
        <x:v>45323</x:v>
      </x:c>
      <x:c r="C82" s="28" t="str">
        <x:v>Grupo Industrial S.A.</x:v>
      </x:c>
      <x:c r="D82" s="28" t="str">
        <x:v>Planta Campinas</x:v>
      </x:c>
      <x:c r="E82" s="28" t="str">
        <x:v>AutoPeças BR</x:v>
      </x:c>
      <x:c r="F82" s="28" t="str">
        <x:v>Sudeste</x:v>
      </x:c>
      <x:c r="G82" s="28" t="str">
        <x:v>RápidoSul</x:v>
      </x:c>
      <x:c r="H82" s="28" t="str">
        <x:v>Campinas-Norte</x:v>
      </x:c>
      <x:c r="I82" s="34" t="n">
        <x:v>45334</x:v>
      </x:c>
      <x:c r="J82" s="34" t="n">
        <x:v>45338</x:v>
      </x:c>
      <x:c r="K82" s="32" t="n">
        <x:v>1015</x:v>
      </x:c>
      <x:c r="L82" s="32" t="n">
        <x:v>1015</x:v>
      </x:c>
      <x:c r="M82" s="30" t="n">
        <x:v>93380</x:v>
      </x:c>
      <x:c r="N82" s="28" t="str">
        <x:v>Em atraso</x:v>
      </x:c>
      <x:c r="O82" s="28" t="str">
        <x:v>Janela perdida no cliente</x:v>
      </x:c>
      <x:c r="P82" s="30" t="n">
        <x:v>93380</x:v>
      </x:c>
    </x:row>
    <x:row r="83">
      <x:c r="A83" s="28" t="str">
        <x:v>PED-48082</x:v>
      </x:c>
      <x:c r="B83" s="34" t="n">
        <x:v>45323</x:v>
      </x:c>
      <x:c r="C83" s="28" t="str">
        <x:v>Grupo Industrial S.A.</x:v>
      </x:c>
      <x:c r="D83" s="28" t="str">
        <x:v>Planta Campinas</x:v>
      </x:c>
      <x:c r="E83" s="28" t="str">
        <x:v>Construbem</x:v>
      </x:c>
      <x:c r="F83" s="28" t="str">
        <x:v>Sudeste</x:v>
      </x:c>
      <x:c r="G83" s="28" t="str">
        <x:v>RápidoSul</x:v>
      </x:c>
      <x:c r="H83" s="28" t="str">
        <x:v>Campinas-Norte</x:v>
      </x:c>
      <x:c r="I83" s="34" t="n">
        <x:v>45337</x:v>
      </x:c>
      <x:c r="J83" s="34" t="n">
        <x:v>45338</x:v>
      </x:c>
      <x:c r="K83" s="32" t="n">
        <x:v>765</x:v>
      </x:c>
      <x:c r="L83" s="32" t="n">
        <x:v>765</x:v>
      </x:c>
      <x:c r="M83" s="30" t="n">
        <x:v>64260</x:v>
      </x:c>
      <x:c r="N83" s="28" t="str">
        <x:v>Em atraso</x:v>
      </x:c>
      <x:c r="O83" s="28" t="str">
        <x:v>Janela perdida no cliente</x:v>
      </x:c>
      <x:c r="P83" s="30" t="n">
        <x:v>64260</x:v>
      </x:c>
    </x:row>
    <x:row r="84">
      <x:c r="A84" s="28" t="str">
        <x:v>PED-48083</x:v>
      </x:c>
      <x:c r="B84" s="34" t="n">
        <x:v>45323</x:v>
      </x:c>
      <x:c r="C84" s="28" t="str">
        <x:v>Grupo Industrial S.A.</x:v>
      </x:c>
      <x:c r="D84" s="28" t="str">
        <x:v>Planta Campinas</x:v>
      </x:c>
      <x:c r="E84" s="28" t="str">
        <x:v>Alimentos SA</x:v>
      </x:c>
      <x:c r="F84" s="28" t="str">
        <x:v>Sudeste</x:v>
      </x:c>
      <x:c r="G84" s="28" t="str">
        <x:v>RápidoSul</x:v>
      </x:c>
      <x:c r="H84" s="28" t="str">
        <x:v>Campinas-Norte</x:v>
      </x:c>
      <x:c r="I84" s="34" t="n">
        <x:v>45340</x:v>
      </x:c>
      <x:c r="J84" s="34" t="n">
        <x:v>45340</x:v>
      </x:c>
      <x:c r="K84" s="32" t="n">
        <x:v>1597</x:v>
      </x:c>
      <x:c r="L84" s="32" t="n">
        <x:v>1597</x:v>
      </x:c>
      <x:c r="M84" s="30" t="n">
        <x:v>146924</x:v>
      </x:c>
      <x:c r="N84" s="28" t="str">
        <x:v>OTIF</x:v>
      </x:c>
      <x:c r="O84" s="28" t="str">
        <x:v>Janela perdida no cliente</x:v>
      </x:c>
      <x:c r="P84" s="30" t="n">
        <x:v>0</x:v>
      </x:c>
    </x:row>
    <x:row r="85">
      <x:c r="A85" s="28" t="str">
        <x:v>PED-48084</x:v>
      </x:c>
      <x:c r="B85" s="34" t="n">
        <x:v>45323</x:v>
      </x:c>
      <x:c r="C85" s="28" t="str">
        <x:v>Grupo Industrial S.A.</x:v>
      </x:c>
      <x:c r="D85" s="28" t="str">
        <x:v>Planta Campinas</x:v>
      </x:c>
      <x:c r="E85" s="28" t="str">
        <x:v>Farma Vida</x:v>
      </x:c>
      <x:c r="F85" s="28" t="str">
        <x:v>Sudeste</x:v>
      </x:c>
      <x:c r="G85" s="28" t="str">
        <x:v>RápidoSul</x:v>
      </x:c>
      <x:c r="H85" s="28" t="str">
        <x:v>Campinas-Norte</x:v>
      </x:c>
      <x:c r="I85" s="34" t="n">
        <x:v>45343</x:v>
      </x:c>
      <x:c r="J85" s="34" t="n">
        <x:v>45343</x:v>
      </x:c>
      <x:c r="K85" s="32" t="n">
        <x:v>1141</x:v>
      </x:c>
      <x:c r="L85" s="32" t="n">
        <x:v>1105</x:v>
      </x:c>
      <x:c r="M85" s="30" t="n">
        <x:v>95844</x:v>
      </x:c>
      <x:c r="N85" s="28" t="str">
        <x:v>Incompleto</x:v>
      </x:c>
      <x:c r="O85" s="28" t="str">
        <x:v>Falta de produto</x:v>
      </x:c>
      <x:c r="P85" s="30" t="n">
        <x:v>95844</x:v>
      </x:c>
    </x:row>
    <x:row r="86">
      <x:c r="A86" s="28" t="str">
        <x:v>PED-48085</x:v>
      </x:c>
      <x:c r="B86" s="34" t="n">
        <x:v>45323</x:v>
      </x:c>
      <x:c r="C86" s="28" t="str">
        <x:v>Grupo Industrial S.A.</x:v>
      </x:c>
      <x:c r="D86" s="28" t="str">
        <x:v>Planta Campinas</x:v>
      </x:c>
      <x:c r="E86" s="28" t="str">
        <x:v>Construbem</x:v>
      </x:c>
      <x:c r="F86" s="28" t="str">
        <x:v>Sudeste</x:v>
      </x:c>
      <x:c r="G86" s="28" t="str">
        <x:v>NovaLog</x:v>
      </x:c>
      <x:c r="H86" s="28" t="str">
        <x:v>Campinas-Nordeste</x:v>
      </x:c>
      <x:c r="I86" s="34" t="n">
        <x:v>45328</x:v>
      </x:c>
      <x:c r="J86" s="34" t="n">
        <x:v>45330</x:v>
      </x:c>
      <x:c r="K86" s="32" t="n">
        <x:v>1726</x:v>
      </x:c>
      <x:c r="L86" s="32" t="n">
        <x:v>1726</x:v>
      </x:c>
      <x:c r="M86" s="30" t="n">
        <x:v>144984</x:v>
      </x:c>
      <x:c r="N86" s="28" t="str">
        <x:v>Em atraso</x:v>
      </x:c>
      <x:c r="O86" s="28" t="str">
        <x:v>Atraso transportadora</x:v>
      </x:c>
      <x:c r="P86" s="30" t="n">
        <x:v>144984</x:v>
      </x:c>
    </x:row>
    <x:row r="87">
      <x:c r="A87" s="28" t="str">
        <x:v>PED-48086</x:v>
      </x:c>
      <x:c r="B87" s="34" t="n">
        <x:v>45323</x:v>
      </x:c>
      <x:c r="C87" s="28" t="str">
        <x:v>Grupo Industrial S.A.</x:v>
      </x:c>
      <x:c r="D87" s="28" t="str">
        <x:v>Planta Campinas</x:v>
      </x:c>
      <x:c r="E87" s="28" t="str">
        <x:v>Alimentos SA</x:v>
      </x:c>
      <x:c r="F87" s="28" t="str">
        <x:v>Sudeste</x:v>
      </x:c>
      <x:c r="G87" s="28" t="str">
        <x:v>NovaLog</x:v>
      </x:c>
      <x:c r="H87" s="28" t="str">
        <x:v>Campinas-Nordeste</x:v>
      </x:c>
      <x:c r="I87" s="34" t="n">
        <x:v>45331</x:v>
      </x:c>
      <x:c r="J87" s="34" t="n">
        <x:v>45335</x:v>
      </x:c>
      <x:c r="K87" s="32" t="n">
        <x:v>1903</x:v>
      </x:c>
      <x:c r="L87" s="32" t="n">
        <x:v>1903</x:v>
      </x:c>
      <x:c r="M87" s="30" t="n">
        <x:v>137016</x:v>
      </x:c>
      <x:c r="N87" s="28" t="str">
        <x:v>Em atraso</x:v>
      </x:c>
      <x:c r="O87" s="28" t="str">
        <x:v>Atraso transportadora</x:v>
      </x:c>
      <x:c r="P87" s="30" t="n">
        <x:v>137016</x:v>
      </x:c>
    </x:row>
    <x:row r="88">
      <x:c r="A88" s="28" t="str">
        <x:v>PED-48087</x:v>
      </x:c>
      <x:c r="B88" s="34" t="n">
        <x:v>45323</x:v>
      </x:c>
      <x:c r="C88" s="28" t="str">
        <x:v>Grupo Industrial S.A.</x:v>
      </x:c>
      <x:c r="D88" s="28" t="str">
        <x:v>Planta Campinas</x:v>
      </x:c>
      <x:c r="E88" s="28" t="str">
        <x:v>Farma Vida</x:v>
      </x:c>
      <x:c r="F88" s="28" t="str">
        <x:v>Sudeste</x:v>
      </x:c>
      <x:c r="G88" s="28" t="str">
        <x:v>NovaLog</x:v>
      </x:c>
      <x:c r="H88" s="28" t="str">
        <x:v>Campinas-Nordeste</x:v>
      </x:c>
      <x:c r="I88" s="34" t="n">
        <x:v>45334</x:v>
      </x:c>
      <x:c r="J88" s="34" t="n">
        <x:v>45338</x:v>
      </x:c>
      <x:c r="K88" s="32" t="n">
        <x:v>1000</x:v>
      </x:c>
      <x:c r="L88" s="32" t="n">
        <x:v>1000</x:v>
      </x:c>
      <x:c r="M88" s="30" t="n">
        <x:v>92000</x:v>
      </x:c>
      <x:c r="N88" s="28" t="str">
        <x:v>Em atraso</x:v>
      </x:c>
      <x:c r="O88" s="28" t="str">
        <x:v>Atraso transportadora</x:v>
      </x:c>
      <x:c r="P88" s="30" t="n">
        <x:v>92000</x:v>
      </x:c>
    </x:row>
    <x:row r="89">
      <x:c r="A89" s="28" t="str">
        <x:v>PED-48088</x:v>
      </x:c>
      <x:c r="B89" s="34" t="n">
        <x:v>45323</x:v>
      </x:c>
      <x:c r="C89" s="28" t="str">
        <x:v>Grupo Industrial S.A.</x:v>
      </x:c>
      <x:c r="D89" s="28" t="str">
        <x:v>Planta Campinas</x:v>
      </x:c>
      <x:c r="E89" s="28" t="str">
        <x:v>AutoPeças BR</x:v>
      </x:c>
      <x:c r="F89" s="28" t="str">
        <x:v>Sudeste</x:v>
      </x:c>
      <x:c r="G89" s="28" t="str">
        <x:v>NovaLog</x:v>
      </x:c>
      <x:c r="H89" s="28" t="str">
        <x:v>Campinas-Nordeste</x:v>
      </x:c>
      <x:c r="I89" s="34" t="n">
        <x:v>45337</x:v>
      </x:c>
      <x:c r="J89" s="34" t="n">
        <x:v>45340</x:v>
      </x:c>
      <x:c r="K89" s="32" t="n">
        <x:v>1059</x:v>
      </x:c>
      <x:c r="L89" s="32" t="n">
        <x:v>1059</x:v>
      </x:c>
      <x:c r="M89" s="30" t="n">
        <x:v>97428</x:v>
      </x:c>
      <x:c r="N89" s="28" t="str">
        <x:v>Em atraso</x:v>
      </x:c>
      <x:c r="O89" s="28" t="str">
        <x:v>Janela perdida no cliente</x:v>
      </x:c>
      <x:c r="P89" s="30" t="n">
        <x:v>97428</x:v>
      </x:c>
    </x:row>
    <x:row r="90">
      <x:c r="A90" s="28" t="str">
        <x:v>PED-48089</x:v>
      </x:c>
      <x:c r="B90" s="34" t="n">
        <x:v>45323</x:v>
      </x:c>
      <x:c r="C90" s="28" t="str">
        <x:v>Grupo Industrial S.A.</x:v>
      </x:c>
      <x:c r="D90" s="28" t="str">
        <x:v>Planta Campinas</x:v>
      </x:c>
      <x:c r="E90" s="28" t="str">
        <x:v>Construbem</x:v>
      </x:c>
      <x:c r="F90" s="28" t="str">
        <x:v>Sudeste</x:v>
      </x:c>
      <x:c r="G90" s="28" t="str">
        <x:v>NovaLog</x:v>
      </x:c>
      <x:c r="H90" s="28" t="str">
        <x:v>Campinas-Nordeste</x:v>
      </x:c>
      <x:c r="I90" s="34" t="n">
        <x:v>45340</x:v>
      </x:c>
      <x:c r="J90" s="34" t="n">
        <x:v>45340</x:v>
      </x:c>
      <x:c r="K90" s="32" t="n">
        <x:v>2040</x:v>
      </x:c>
      <x:c r="L90" s="32" t="n">
        <x:v>2040</x:v>
      </x:c>
      <x:c r="M90" s="30" t="n">
        <x:v>187680</x:v>
      </x:c>
      <x:c r="N90" s="28" t="str">
        <x:v>OTIF</x:v>
      </x:c>
      <x:c r="O90" s="28" t="str">
        <x:v>Janela perdida no cliente</x:v>
      </x:c>
      <x:c r="P90" s="30" t="n">
        <x:v>0</x:v>
      </x:c>
    </x:row>
    <x:row r="91">
      <x:c r="A91" s="28" t="str">
        <x:v>PED-48090</x:v>
      </x:c>
      <x:c r="B91" s="34" t="n">
        <x:v>45323</x:v>
      </x:c>
      <x:c r="C91" s="28" t="str">
        <x:v>Grupo Industrial S.A.</x:v>
      </x:c>
      <x:c r="D91" s="28" t="str">
        <x:v>Planta Campinas</x:v>
      </x:c>
      <x:c r="E91" s="28" t="str">
        <x:v>Alimentos SA</x:v>
      </x:c>
      <x:c r="F91" s="28" t="str">
        <x:v>Sudeste</x:v>
      </x:c>
      <x:c r="G91" s="28" t="str">
        <x:v>NovaLog</x:v>
      </x:c>
      <x:c r="H91" s="28" t="str">
        <x:v>Campinas-Nordeste</x:v>
      </x:c>
      <x:c r="I91" s="34" t="n">
        <x:v>45343</x:v>
      </x:c>
      <x:c r="J91" s="34" t="n">
        <x:v>45347</x:v>
      </x:c>
      <x:c r="K91" s="32" t="n">
        <x:v>1578</x:v>
      </x:c>
      <x:c r="L91" s="32" t="n">
        <x:v>1578</x:v>
      </x:c>
      <x:c r="M91" s="30" t="n">
        <x:v>113616</x:v>
      </x:c>
      <x:c r="N91" s="28" t="str">
        <x:v>Em atraso</x:v>
      </x:c>
      <x:c r="O91" s="28" t="str">
        <x:v>Atraso transportadora</x:v>
      </x:c>
      <x:c r="P91" s="30" t="n">
        <x:v>113616</x:v>
      </x:c>
    </x:row>
    <x:row r="92">
      <x:c r="A92" s="28" t="str">
        <x:v>PED-48091</x:v>
      </x:c>
      <x:c r="B92" s="34" t="n">
        <x:v>45323</x:v>
      </x:c>
      <x:c r="C92" s="28" t="str">
        <x:v>Grupo Industrial S.A.</x:v>
      </x:c>
      <x:c r="D92" s="28" t="str">
        <x:v>Planta Curitiba</x:v>
      </x:c>
      <x:c r="E92" s="28" t="str">
        <x:v>AutoPeças BR</x:v>
      </x:c>
      <x:c r="F92" s="28" t="str">
        <x:v>Sul</x:v>
      </x:c>
      <x:c r="G92" s="28" t="str">
        <x:v>TransDados</x:v>
      </x:c>
      <x:c r="H92" s="28" t="str">
        <x:v>Curitiba-Sul</x:v>
      </x:c>
      <x:c r="I92" s="34" t="n">
        <x:v>45328</x:v>
      </x:c>
      <x:c r="J92" s="34" t="n">
        <x:v>45328</x:v>
      </x:c>
      <x:c r="K92" s="32" t="n">
        <x:v>1761</x:v>
      </x:c>
      <x:c r="L92" s="32" t="n">
        <x:v>1761</x:v>
      </x:c>
      <x:c r="M92" s="30" t="n">
        <x:v>162012</x:v>
      </x:c>
      <x:c r="N92" s="28" t="str">
        <x:v>OTIF</x:v>
      </x:c>
      <x:c r="O92" s="28" t="str">
        <x:v>Janela perdida no cliente</x:v>
      </x:c>
      <x:c r="P92" s="30" t="n">
        <x:v>0</x:v>
      </x:c>
    </x:row>
    <x:row r="93">
      <x:c r="A93" s="28" t="str">
        <x:v>PED-48092</x:v>
      </x:c>
      <x:c r="B93" s="34" t="n">
        <x:v>45323</x:v>
      </x:c>
      <x:c r="C93" s="28" t="str">
        <x:v>Grupo Industrial S.A.</x:v>
      </x:c>
      <x:c r="D93" s="28" t="str">
        <x:v>Planta Curitiba</x:v>
      </x:c>
      <x:c r="E93" s="28" t="str">
        <x:v>Construbem</x:v>
      </x:c>
      <x:c r="F93" s="28" t="str">
        <x:v>Sul</x:v>
      </x:c>
      <x:c r="G93" s="28" t="str">
        <x:v>TransDados</x:v>
      </x:c>
      <x:c r="H93" s="28" t="str">
        <x:v>Curitiba-Sul</x:v>
      </x:c>
      <x:c r="I93" s="34" t="n">
        <x:v>45331</x:v>
      </x:c>
      <x:c r="J93" s="34" t="n">
        <x:v>45331</x:v>
      </x:c>
      <x:c r="K93" s="32" t="n">
        <x:v>1830</x:v>
      </x:c>
      <x:c r="L93" s="32" t="n">
        <x:v>1830</x:v>
      </x:c>
      <x:c r="M93" s="30" t="n">
        <x:v>168360</x:v>
      </x:c>
      <x:c r="N93" s="28" t="str">
        <x:v>OTIF</x:v>
      </x:c>
      <x:c r="O93" s="28" t="str">
        <x:v>Janela perdida no cliente</x:v>
      </x:c>
      <x:c r="P93" s="30" t="n">
        <x:v>0</x:v>
      </x:c>
    </x:row>
    <x:row r="94">
      <x:c r="A94" s="28" t="str">
        <x:v>PED-48093</x:v>
      </x:c>
      <x:c r="B94" s="34" t="n">
        <x:v>45323</x:v>
      </x:c>
      <x:c r="C94" s="28" t="str">
        <x:v>Grupo Industrial S.A.</x:v>
      </x:c>
      <x:c r="D94" s="28" t="str">
        <x:v>Planta Curitiba</x:v>
      </x:c>
      <x:c r="E94" s="28" t="str">
        <x:v>Alimentos SA</x:v>
      </x:c>
      <x:c r="F94" s="28" t="str">
        <x:v>Sul</x:v>
      </x:c>
      <x:c r="G94" s="28" t="str">
        <x:v>TransDados</x:v>
      </x:c>
      <x:c r="H94" s="28" t="str">
        <x:v>Curitiba-Sul</x:v>
      </x:c>
      <x:c r="I94" s="34" t="n">
        <x:v>45334</x:v>
      </x:c>
      <x:c r="J94" s="34" t="n">
        <x:v>45336</x:v>
      </x:c>
      <x:c r="K94" s="32" t="n">
        <x:v>1235</x:v>
      </x:c>
      <x:c r="L94" s="32" t="n">
        <x:v>1235</x:v>
      </x:c>
      <x:c r="M94" s="30" t="n">
        <x:v>113620</x:v>
      </x:c>
      <x:c r="N94" s="28" t="str">
        <x:v>Em atraso</x:v>
      </x:c>
      <x:c r="O94" s="28" t="str">
        <x:v>Janela perdida no cliente</x:v>
      </x:c>
      <x:c r="P94" s="30" t="n">
        <x:v>113620</x:v>
      </x:c>
    </x:row>
    <x:row r="95">
      <x:c r="A95" s="28" t="str">
        <x:v>PED-48094</x:v>
      </x:c>
      <x:c r="B95" s="34" t="n">
        <x:v>45323</x:v>
      </x:c>
      <x:c r="C95" s="28" t="str">
        <x:v>Grupo Industrial S.A.</x:v>
      </x:c>
      <x:c r="D95" s="28" t="str">
        <x:v>Planta Curitiba</x:v>
      </x:c>
      <x:c r="E95" s="28" t="str">
        <x:v>Farma Vida</x:v>
      </x:c>
      <x:c r="F95" s="28" t="str">
        <x:v>Sul</x:v>
      </x:c>
      <x:c r="G95" s="28" t="str">
        <x:v>TransDados</x:v>
      </x:c>
      <x:c r="H95" s="28" t="str">
        <x:v>Curitiba-Sul</x:v>
      </x:c>
      <x:c r="I95" s="34" t="n">
        <x:v>45337</x:v>
      </x:c>
      <x:c r="J95" s="34" t="n">
        <x:v>45337</x:v>
      </x:c>
      <x:c r="K95" s="32" t="n">
        <x:v>2069</x:v>
      </x:c>
      <x:c r="L95" s="32" t="n">
        <x:v>2069</x:v>
      </x:c>
      <x:c r="M95" s="30" t="n">
        <x:v>161382</x:v>
      </x:c>
      <x:c r="N95" s="28" t="str">
        <x:v>OTIF</x:v>
      </x:c>
      <x:c r="O95" s="28" t="str">
        <x:v>Janela perdida no cliente</x:v>
      </x:c>
      <x:c r="P95" s="30" t="n">
        <x:v>0</x:v>
      </x:c>
    </x:row>
    <x:row r="96">
      <x:c r="A96" s="28" t="str">
        <x:v>PED-48095</x:v>
      </x:c>
      <x:c r="B96" s="34" t="n">
        <x:v>45323</x:v>
      </x:c>
      <x:c r="C96" s="28" t="str">
        <x:v>Grupo Industrial S.A.</x:v>
      </x:c>
      <x:c r="D96" s="28" t="str">
        <x:v>Planta Curitiba</x:v>
      </x:c>
      <x:c r="E96" s="28" t="str">
        <x:v>AutoPeças BR</x:v>
      </x:c>
      <x:c r="F96" s="28" t="str">
        <x:v>Sul</x:v>
      </x:c>
      <x:c r="G96" s="28" t="str">
        <x:v>TransDados</x:v>
      </x:c>
      <x:c r="H96" s="28" t="str">
        <x:v>Curitiba-Sul</x:v>
      </x:c>
      <x:c r="I96" s="34" t="n">
        <x:v>45340</x:v>
      </x:c>
      <x:c r="J96" s="34" t="n">
        <x:v>45340</x:v>
      </x:c>
      <x:c r="K96" s="32" t="n">
        <x:v>1982</x:v>
      </x:c>
      <x:c r="L96" s="32" t="n">
        <x:v>1982</x:v>
      </x:c>
      <x:c r="M96" s="30" t="n">
        <x:v>142704</x:v>
      </x:c>
      <x:c r="N96" s="28" t="str">
        <x:v>OTIF</x:v>
      </x:c>
      <x:c r="O96" s="28" t="str">
        <x:v>Janela perdida no cliente</x:v>
      </x:c>
      <x:c r="P96" s="30" t="n">
        <x:v>0</x:v>
      </x:c>
    </x:row>
    <x:row r="97">
      <x:c r="A97" s="28" t="str">
        <x:v>PED-48096</x:v>
      </x:c>
      <x:c r="B97" s="34" t="n">
        <x:v>45323</x:v>
      </x:c>
      <x:c r="C97" s="28" t="str">
        <x:v>Grupo Industrial S.A.</x:v>
      </x:c>
      <x:c r="D97" s="28" t="str">
        <x:v>Planta Curitiba</x:v>
      </x:c>
      <x:c r="E97" s="28" t="str">
        <x:v>Construbem</x:v>
      </x:c>
      <x:c r="F97" s="28" t="str">
        <x:v>Sul</x:v>
      </x:c>
      <x:c r="G97" s="28" t="str">
        <x:v>TransDados</x:v>
      </x:c>
      <x:c r="H97" s="28" t="str">
        <x:v>Curitiba-Sul</x:v>
      </x:c>
      <x:c r="I97" s="34" t="n">
        <x:v>45343</x:v>
      </x:c>
      <x:c r="J97" s="34" t="n">
        <x:v>45343</x:v>
      </x:c>
      <x:c r="K97" s="32" t="n">
        <x:v>1432</x:v>
      </x:c>
      <x:c r="L97" s="32" t="n">
        <x:v>1254</x:v>
      </x:c>
      <x:c r="M97" s="30" t="n">
        <x:v>111696</x:v>
      </x:c>
      <x:c r="N97" s="28" t="str">
        <x:v>Incompleto</x:v>
      </x:c>
      <x:c r="O97" s="28" t="str">
        <x:v>Falta de produto</x:v>
      </x:c>
      <x:c r="P97" s="30" t="n">
        <x:v>111696</x:v>
      </x:c>
    </x:row>
    <x:row r="98">
      <x:c r="A98" s="28" t="str">
        <x:v>PED-48097</x:v>
      </x:c>
      <x:c r="B98" s="34" t="n">
        <x:v>45323</x:v>
      </x:c>
      <x:c r="C98" s="28" t="str">
        <x:v>Grupo Industrial S.A.</x:v>
      </x:c>
      <x:c r="D98" s="28" t="str">
        <x:v>Planta Curitiba</x:v>
      </x:c>
      <x:c r="E98" s="28" t="str">
        <x:v>Farma Vida</x:v>
      </x:c>
      <x:c r="F98" s="28" t="str">
        <x:v>Sul</x:v>
      </x:c>
      <x:c r="G98" s="28" t="str">
        <x:v>RápidoSul</x:v>
      </x:c>
      <x:c r="H98" s="28" t="str">
        <x:v>Curitiba-Sudeste</x:v>
      </x:c>
      <x:c r="I98" s="34" t="n">
        <x:v>45328</x:v>
      </x:c>
      <x:c r="J98" s="34" t="n">
        <x:v>45330</x:v>
      </x:c>
      <x:c r="K98" s="32" t="n">
        <x:v>1048</x:v>
      </x:c>
      <x:c r="L98" s="32" t="n">
        <x:v>1048</x:v>
      </x:c>
      <x:c r="M98" s="30" t="n">
        <x:v>75456</x:v>
      </x:c>
      <x:c r="N98" s="28" t="str">
        <x:v>Em atraso</x:v>
      </x:c>
      <x:c r="O98" s="28" t="str">
        <x:v>Atraso transportadora</x:v>
      </x:c>
      <x:c r="P98" s="30" t="n">
        <x:v>75456</x:v>
      </x:c>
    </x:row>
    <x:row r="99">
      <x:c r="A99" s="28" t="str">
        <x:v>PED-48098</x:v>
      </x:c>
      <x:c r="B99" s="34" t="n">
        <x:v>45323</x:v>
      </x:c>
      <x:c r="C99" s="28" t="str">
        <x:v>Grupo Industrial S.A.</x:v>
      </x:c>
      <x:c r="D99" s="28" t="str">
        <x:v>Planta Curitiba</x:v>
      </x:c>
      <x:c r="E99" s="28" t="str">
        <x:v>AutoPeças BR</x:v>
      </x:c>
      <x:c r="F99" s="28" t="str">
        <x:v>Sul</x:v>
      </x:c>
      <x:c r="G99" s="28" t="str">
        <x:v>RápidoSul</x:v>
      </x:c>
      <x:c r="H99" s="28" t="str">
        <x:v>Curitiba-Sudeste</x:v>
      </x:c>
      <x:c r="I99" s="34" t="n">
        <x:v>45331</x:v>
      </x:c>
      <x:c r="J99" s="34" t="n">
        <x:v>45331</x:v>
      </x:c>
      <x:c r="K99" s="32" t="n">
        <x:v>2152</x:v>
      </x:c>
      <x:c r="L99" s="32" t="n">
        <x:v>2152</x:v>
      </x:c>
      <x:c r="M99" s="30" t="n">
        <x:v>197984</x:v>
      </x:c>
      <x:c r="N99" s="28" t="str">
        <x:v>OTIF</x:v>
      </x:c>
      <x:c r="O99" s="28" t="str">
        <x:v>Janela perdida no cliente</x:v>
      </x:c>
      <x:c r="P99" s="30" t="n">
        <x:v>0</x:v>
      </x:c>
    </x:row>
    <x:row r="100">
      <x:c r="A100" s="28" t="str">
        <x:v>PED-48099</x:v>
      </x:c>
      <x:c r="B100" s="34" t="n">
        <x:v>45323</x:v>
      </x:c>
      <x:c r="C100" s="28" t="str">
        <x:v>Grupo Industrial S.A.</x:v>
      </x:c>
      <x:c r="D100" s="28" t="str">
        <x:v>Planta Curitiba</x:v>
      </x:c>
      <x:c r="E100" s="28" t="str">
        <x:v>Construbem</x:v>
      </x:c>
      <x:c r="F100" s="28" t="str">
        <x:v>Sul</x:v>
      </x:c>
      <x:c r="G100" s="28" t="str">
        <x:v>RápidoSul</x:v>
      </x:c>
      <x:c r="H100" s="28" t="str">
        <x:v>Curitiba-Sudeste</x:v>
      </x:c>
      <x:c r="I100" s="34" t="n">
        <x:v>45334</x:v>
      </x:c>
      <x:c r="J100" s="34" t="n">
        <x:v>45335</x:v>
      </x:c>
      <x:c r="K100" s="32" t="n">
        <x:v>2186</x:v>
      </x:c>
      <x:c r="L100" s="32" t="n">
        <x:v>2186</x:v>
      </x:c>
      <x:c r="M100" s="30" t="n">
        <x:v>201112</x:v>
      </x:c>
      <x:c r="N100" s="28" t="str">
        <x:v>Em atraso</x:v>
      </x:c>
      <x:c r="O100" s="28" t="str">
        <x:v>Atraso transportadora</x:v>
      </x:c>
      <x:c r="P100" s="30" t="n">
        <x:v>201112</x:v>
      </x:c>
    </x:row>
    <x:row r="101">
      <x:c r="A101" s="28" t="str">
        <x:v>PED-48100</x:v>
      </x:c>
      <x:c r="B101" s="34" t="n">
        <x:v>45323</x:v>
      </x:c>
      <x:c r="C101" s="28" t="str">
        <x:v>Grupo Industrial S.A.</x:v>
      </x:c>
      <x:c r="D101" s="28" t="str">
        <x:v>Planta Curitiba</x:v>
      </x:c>
      <x:c r="E101" s="28" t="str">
        <x:v>Alimentos SA</x:v>
      </x:c>
      <x:c r="F101" s="28" t="str">
        <x:v>Sul</x:v>
      </x:c>
      <x:c r="G101" s="28" t="str">
        <x:v>RápidoSul</x:v>
      </x:c>
      <x:c r="H101" s="28" t="str">
        <x:v>Curitiba-Sudeste</x:v>
      </x:c>
      <x:c r="I101" s="34" t="n">
        <x:v>45337</x:v>
      </x:c>
      <x:c r="J101" s="34" t="n">
        <x:v>45337</x:v>
      </x:c>
      <x:c r="K101" s="32" t="n">
        <x:v>1703</x:v>
      </x:c>
      <x:c r="L101" s="32" t="n">
        <x:v>1703</x:v>
      </x:c>
      <x:c r="M101" s="30" t="n">
        <x:v>143052</x:v>
      </x:c>
      <x:c r="N101" s="28" t="str">
        <x:v>OTIF</x:v>
      </x:c>
      <x:c r="O101" s="28" t="str">
        <x:v>Janela perdida no cliente</x:v>
      </x:c>
      <x:c r="P101" s="30" t="n">
        <x:v>0</x:v>
      </x:c>
    </x:row>
    <x:row r="102">
      <x:c r="A102" s="28" t="str">
        <x:v>PED-48101</x:v>
      </x:c>
      <x:c r="B102" s="34" t="n">
        <x:v>45323</x:v>
      </x:c>
      <x:c r="C102" s="28" t="str">
        <x:v>Grupo Industrial S.A.</x:v>
      </x:c>
      <x:c r="D102" s="28" t="str">
        <x:v>Planta Curitiba</x:v>
      </x:c>
      <x:c r="E102" s="28" t="str">
        <x:v>Farma Vida</x:v>
      </x:c>
      <x:c r="F102" s="28" t="str">
        <x:v>Sul</x:v>
      </x:c>
      <x:c r="G102" s="28" t="str">
        <x:v>RápidoSul</x:v>
      </x:c>
      <x:c r="H102" s="28" t="str">
        <x:v>Curitiba-Sudeste</x:v>
      </x:c>
      <x:c r="I102" s="34" t="n">
        <x:v>45340</x:v>
      </x:c>
      <x:c r="J102" s="34" t="n">
        <x:v>45340</x:v>
      </x:c>
      <x:c r="K102" s="32" t="n">
        <x:v>1472</x:v>
      </x:c>
      <x:c r="L102" s="32" t="n">
        <x:v>1472</x:v>
      </x:c>
      <x:c r="M102" s="30" t="n">
        <x:v>135424</x:v>
      </x:c>
      <x:c r="N102" s="28" t="str">
        <x:v>OTIF</x:v>
      </x:c>
      <x:c r="O102" s="28" t="str">
        <x:v>Janela perdida no cliente</x:v>
      </x:c>
      <x:c r="P102" s="30" t="n">
        <x:v>0</x:v>
      </x:c>
    </x:row>
    <x:row r="103">
      <x:c r="A103" s="28" t="str">
        <x:v>PED-48102</x:v>
      </x:c>
      <x:c r="B103" s="34" t="n">
        <x:v>45323</x:v>
      </x:c>
      <x:c r="C103" s="28" t="str">
        <x:v>Grupo Industrial S.A.</x:v>
      </x:c>
      <x:c r="D103" s="28" t="str">
        <x:v>Planta Curitiba</x:v>
      </x:c>
      <x:c r="E103" s="28" t="str">
        <x:v>AutoPeças BR</x:v>
      </x:c>
      <x:c r="F103" s="28" t="str">
        <x:v>Sul</x:v>
      </x:c>
      <x:c r="G103" s="28" t="str">
        <x:v>RápidoSul</x:v>
      </x:c>
      <x:c r="H103" s="28" t="str">
        <x:v>Curitiba-Sudeste</x:v>
      </x:c>
      <x:c r="I103" s="34" t="n">
        <x:v>45343</x:v>
      </x:c>
      <x:c r="J103" s="34" t="n">
        <x:v>45345</x:v>
      </x:c>
      <x:c r="K103" s="32" t="n">
        <x:v>2117</x:v>
      </x:c>
      <x:c r="L103" s="32" t="n">
        <x:v>2117</x:v>
      </x:c>
      <x:c r="M103" s="30" t="n">
        <x:v>194764</x:v>
      </x:c>
      <x:c r="N103" s="28" t="str">
        <x:v>Em atraso</x:v>
      </x:c>
      <x:c r="O103" s="28" t="str">
        <x:v>Janela perdida no cliente</x:v>
      </x:c>
      <x:c r="P103" s="30" t="n">
        <x:v>194764</x:v>
      </x:c>
    </x:row>
    <x:row r="104">
      <x:c r="A104" s="28" t="str">
        <x:v>PED-48103</x:v>
      </x:c>
      <x:c r="B104" s="34" t="n">
        <x:v>45323</x:v>
      </x:c>
      <x:c r="C104" s="28" t="str">
        <x:v>Grupo Industrial S.A.</x:v>
      </x:c>
      <x:c r="D104" s="28" t="str">
        <x:v>Planta Curitiba</x:v>
      </x:c>
      <x:c r="E104" s="28" t="str">
        <x:v>Alimentos SA</x:v>
      </x:c>
      <x:c r="F104" s="28" t="str">
        <x:v>Sul</x:v>
      </x:c>
      <x:c r="G104" s="28" t="str">
        <x:v>NovaLog</x:v>
      </x:c>
      <x:c r="H104" s="28" t="str">
        <x:v>Curitiba-Centro-Oeste</x:v>
      </x:c>
      <x:c r="I104" s="34" t="n">
        <x:v>45328</x:v>
      </x:c>
      <x:c r="J104" s="34" t="n">
        <x:v>45332</x:v>
      </x:c>
      <x:c r="K104" s="32" t="n">
        <x:v>1691</x:v>
      </x:c>
      <x:c r="L104" s="32" t="n">
        <x:v>1691</x:v>
      </x:c>
      <x:c r="M104" s="30" t="n">
        <x:v>121752</x:v>
      </x:c>
      <x:c r="N104" s="28" t="str">
        <x:v>Em atraso</x:v>
      </x:c>
      <x:c r="O104" s="28" t="str">
        <x:v>Atraso transportadora</x:v>
      </x:c>
      <x:c r="P104" s="30" t="n">
        <x:v>121752</x:v>
      </x:c>
    </x:row>
    <x:row r="105">
      <x:c r="A105" s="28" t="str">
        <x:v>PED-48104</x:v>
      </x:c>
      <x:c r="B105" s="34" t="n">
        <x:v>45323</x:v>
      </x:c>
      <x:c r="C105" s="28" t="str">
        <x:v>Grupo Industrial S.A.</x:v>
      </x:c>
      <x:c r="D105" s="28" t="str">
        <x:v>Planta Curitiba</x:v>
      </x:c>
      <x:c r="E105" s="28" t="str">
        <x:v>Farma Vida</x:v>
      </x:c>
      <x:c r="F105" s="28" t="str">
        <x:v>Sul</x:v>
      </x:c>
      <x:c r="G105" s="28" t="str">
        <x:v>NovaLog</x:v>
      </x:c>
      <x:c r="H105" s="28" t="str">
        <x:v>Curitiba-Centro-Oeste</x:v>
      </x:c>
      <x:c r="I105" s="34" t="n">
        <x:v>45331</x:v>
      </x:c>
      <x:c r="J105" s="34" t="n">
        <x:v>45331</x:v>
      </x:c>
      <x:c r="K105" s="32" t="n">
        <x:v>1428</x:v>
      </x:c>
      <x:c r="L105" s="32" t="n">
        <x:v>1428</x:v>
      </x:c>
      <x:c r="M105" s="30" t="n">
        <x:v>102816</x:v>
      </x:c>
      <x:c r="N105" s="28" t="str">
        <x:v>OTIF</x:v>
      </x:c>
      <x:c r="O105" s="28" t="str">
        <x:v>Janela perdida no cliente</x:v>
      </x:c>
      <x:c r="P105" s="30" t="n">
        <x:v>0</x:v>
      </x:c>
    </x:row>
    <x:row r="106">
      <x:c r="A106" s="28" t="str">
        <x:v>PED-48105</x:v>
      </x:c>
      <x:c r="B106" s="34" t="n">
        <x:v>45323</x:v>
      </x:c>
      <x:c r="C106" s="28" t="str">
        <x:v>Grupo Industrial S.A.</x:v>
      </x:c>
      <x:c r="D106" s="28" t="str">
        <x:v>Planta Curitiba</x:v>
      </x:c>
      <x:c r="E106" s="28" t="str">
        <x:v>AutoPeças BR</x:v>
      </x:c>
      <x:c r="F106" s="28" t="str">
        <x:v>Sul</x:v>
      </x:c>
      <x:c r="G106" s="28" t="str">
        <x:v>NovaLog</x:v>
      </x:c>
      <x:c r="H106" s="28" t="str">
        <x:v>Curitiba-Centro-Oeste</x:v>
      </x:c>
      <x:c r="I106" s="34" t="n">
        <x:v>45334</x:v>
      </x:c>
      <x:c r="J106" s="34" t="n">
        <x:v>45334</x:v>
      </x:c>
      <x:c r="K106" s="32" t="n">
        <x:v>1590</x:v>
      </x:c>
      <x:c r="L106" s="32" t="n">
        <x:v>1590</x:v>
      </x:c>
      <x:c r="M106" s="30" t="n">
        <x:v>114480</x:v>
      </x:c>
      <x:c r="N106" s="28" t="str">
        <x:v>OTIF</x:v>
      </x:c>
      <x:c r="O106" s="28" t="str">
        <x:v>Janela perdida no cliente</x:v>
      </x:c>
      <x:c r="P106" s="30" t="n">
        <x:v>0</x:v>
      </x:c>
    </x:row>
    <x:row r="107">
      <x:c r="A107" s="28" t="str">
        <x:v>PED-48106</x:v>
      </x:c>
      <x:c r="B107" s="34" t="n">
        <x:v>45323</x:v>
      </x:c>
      <x:c r="C107" s="28" t="str">
        <x:v>Grupo Industrial S.A.</x:v>
      </x:c>
      <x:c r="D107" s="28" t="str">
        <x:v>Planta Curitiba</x:v>
      </x:c>
      <x:c r="E107" s="28" t="str">
        <x:v>Construbem</x:v>
      </x:c>
      <x:c r="F107" s="28" t="str">
        <x:v>Sul</x:v>
      </x:c>
      <x:c r="G107" s="28" t="str">
        <x:v>NovaLog</x:v>
      </x:c>
      <x:c r="H107" s="28" t="str">
        <x:v>Curitiba-Centro-Oeste</x:v>
      </x:c>
      <x:c r="I107" s="34" t="n">
        <x:v>45337</x:v>
      </x:c>
      <x:c r="J107" s="34" t="n">
        <x:v>45337</x:v>
      </x:c>
      <x:c r="K107" s="32" t="n">
        <x:v>906</x:v>
      </x:c>
      <x:c r="L107" s="32" t="n">
        <x:v>906</x:v>
      </x:c>
      <x:c r="M107" s="30" t="n">
        <x:v>83352</x:v>
      </x:c>
      <x:c r="N107" s="28" t="str">
        <x:v>OTIF</x:v>
      </x:c>
      <x:c r="O107" s="28" t="str">
        <x:v>Janela perdida no cliente</x:v>
      </x:c>
      <x:c r="P107" s="30" t="n">
        <x:v>0</x:v>
      </x:c>
    </x:row>
    <x:row r="108">
      <x:c r="A108" s="28" t="str">
        <x:v>PED-48107</x:v>
      </x:c>
      <x:c r="B108" s="34" t="n">
        <x:v>45323</x:v>
      </x:c>
      <x:c r="C108" s="28" t="str">
        <x:v>Grupo Industrial S.A.</x:v>
      </x:c>
      <x:c r="D108" s="28" t="str">
        <x:v>Planta Curitiba</x:v>
      </x:c>
      <x:c r="E108" s="28" t="str">
        <x:v>Alimentos SA</x:v>
      </x:c>
      <x:c r="F108" s="28" t="str">
        <x:v>Sul</x:v>
      </x:c>
      <x:c r="G108" s="28" t="str">
        <x:v>NovaLog</x:v>
      </x:c>
      <x:c r="H108" s="28" t="str">
        <x:v>Curitiba-Centro-Oeste</x:v>
      </x:c>
      <x:c r="I108" s="34" t="n">
        <x:v>45340</x:v>
      </x:c>
      <x:c r="J108" s="34" t="n">
        <x:v>45340</x:v>
      </x:c>
      <x:c r="K108" s="32" t="n">
        <x:v>1267</x:v>
      </x:c>
      <x:c r="L108" s="32" t="n">
        <x:v>1267</x:v>
      </x:c>
      <x:c r="M108" s="30" t="n">
        <x:v>98826</x:v>
      </x:c>
      <x:c r="N108" s="28" t="str">
        <x:v>OTIF</x:v>
      </x:c>
      <x:c r="O108" s="28" t="str">
        <x:v>Janela perdida no cliente</x:v>
      </x:c>
      <x:c r="P108" s="30" t="n">
        <x:v>0</x:v>
      </x:c>
    </x:row>
    <x:row r="109">
      <x:c r="A109" s="28" t="str">
        <x:v>PED-48108</x:v>
      </x:c>
      <x:c r="B109" s="34" t="n">
        <x:v>45323</x:v>
      </x:c>
      <x:c r="C109" s="28" t="str">
        <x:v>Grupo Industrial S.A.</x:v>
      </x:c>
      <x:c r="D109" s="28" t="str">
        <x:v>Planta Curitiba</x:v>
      </x:c>
      <x:c r="E109" s="28" t="str">
        <x:v>Farma Vida</x:v>
      </x:c>
      <x:c r="F109" s="28" t="str">
        <x:v>Sul</x:v>
      </x:c>
      <x:c r="G109" s="28" t="str">
        <x:v>NovaLog</x:v>
      </x:c>
      <x:c r="H109" s="28" t="str">
        <x:v>Curitiba-Centro-Oeste</x:v>
      </x:c>
      <x:c r="I109" s="34" t="n">
        <x:v>45343</x:v>
      </x:c>
      <x:c r="J109" s="34" t="n">
        <x:v>45343</x:v>
      </x:c>
      <x:c r="K109" s="32" t="n">
        <x:v>1740</x:v>
      </x:c>
      <x:c r="L109" s="32" t="n">
        <x:v>1740</x:v>
      </x:c>
      <x:c r="M109" s="30" t="n">
        <x:v>146160</x:v>
      </x:c>
      <x:c r="N109" s="28" t="str">
        <x:v>OTIF</x:v>
      </x:c>
      <x:c r="O109" s="28" t="str">
        <x:v>Janela perdida no cliente</x:v>
      </x:c>
      <x:c r="P109" s="30" t="n">
        <x:v>0</x:v>
      </x:c>
    </x:row>
    <x:row r="110">
      <x:c r="A110" s="28" t="str">
        <x:v>PED-48109</x:v>
      </x:c>
      <x:c r="B110" s="34" t="n">
        <x:v>45352</x:v>
      </x:c>
      <x:c r="C110" s="28" t="str">
        <x:v>Grupo Industrial S.A.</x:v>
      </x:c>
      <x:c r="D110" s="28" t="str">
        <x:v>Planta São Paulo</x:v>
      </x:c>
      <x:c r="E110" s="28" t="str">
        <x:v>Construbem</x:v>
      </x:c>
      <x:c r="F110" s="28" t="str">
        <x:v>Sudeste</x:v>
      </x:c>
      <x:c r="G110" s="28" t="str">
        <x:v>TransDados</x:v>
      </x:c>
      <x:c r="H110" s="28" t="str">
        <x:v>SP-Sudeste</x:v>
      </x:c>
      <x:c r="I110" s="34" t="n">
        <x:v>45357</x:v>
      </x:c>
      <x:c r="J110" s="34" t="n">
        <x:v>45357</x:v>
      </x:c>
      <x:c r="K110" s="32" t="n">
        <x:v>1931</x:v>
      </x:c>
      <x:c r="L110" s="32" t="n">
        <x:v>1931</x:v>
      </x:c>
      <x:c r="M110" s="30" t="n">
        <x:v>150618</x:v>
      </x:c>
      <x:c r="N110" s="28" t="str">
        <x:v>OTIF</x:v>
      </x:c>
      <x:c r="O110" s="28" t="str">
        <x:v>Janela perdida no cliente</x:v>
      </x:c>
      <x:c r="P110" s="30" t="n">
        <x:v>0</x:v>
      </x:c>
    </x:row>
    <x:row r="111">
      <x:c r="A111" s="28" t="str">
        <x:v>PED-48110</x:v>
      </x:c>
      <x:c r="B111" s="34" t="n">
        <x:v>45352</x:v>
      </x:c>
      <x:c r="C111" s="28" t="str">
        <x:v>Grupo Industrial S.A.</x:v>
      </x:c>
      <x:c r="D111" s="28" t="str">
        <x:v>Planta São Paulo</x:v>
      </x:c>
      <x:c r="E111" s="28" t="str">
        <x:v>Alimentos SA</x:v>
      </x:c>
      <x:c r="F111" s="28" t="str">
        <x:v>Sudeste</x:v>
      </x:c>
      <x:c r="G111" s="28" t="str">
        <x:v>TransDados</x:v>
      </x:c>
      <x:c r="H111" s="28" t="str">
        <x:v>SP-Sudeste</x:v>
      </x:c>
      <x:c r="I111" s="34" t="n">
        <x:v>45360</x:v>
      </x:c>
      <x:c r="J111" s="34" t="n">
        <x:v>45360</x:v>
      </x:c>
      <x:c r="K111" s="32" t="n">
        <x:v>1575</x:v>
      </x:c>
      <x:c r="L111" s="32" t="n">
        <x:v>1575</x:v>
      </x:c>
      <x:c r="M111" s="30" t="n">
        <x:v>144900</x:v>
      </x:c>
      <x:c r="N111" s="28" t="str">
        <x:v>OTIF</x:v>
      </x:c>
      <x:c r="O111" s="28" t="str">
        <x:v>Janela perdida no cliente</x:v>
      </x:c>
      <x:c r="P111" s="30" t="n">
        <x:v>0</x:v>
      </x:c>
    </x:row>
    <x:row r="112">
      <x:c r="A112" s="28" t="str">
        <x:v>PED-48111</x:v>
      </x:c>
      <x:c r="B112" s="34" t="n">
        <x:v>45352</x:v>
      </x:c>
      <x:c r="C112" s="28" t="str">
        <x:v>Grupo Industrial S.A.</x:v>
      </x:c>
      <x:c r="D112" s="28" t="str">
        <x:v>Planta São Paulo</x:v>
      </x:c>
      <x:c r="E112" s="28" t="str">
        <x:v>Farma Vida</x:v>
      </x:c>
      <x:c r="F112" s="28" t="str">
        <x:v>Sudeste</x:v>
      </x:c>
      <x:c r="G112" s="28" t="str">
        <x:v>TransDados</x:v>
      </x:c>
      <x:c r="H112" s="28" t="str">
        <x:v>SP-Sudeste</x:v>
      </x:c>
      <x:c r="I112" s="34" t="n">
        <x:v>45363</x:v>
      </x:c>
      <x:c r="J112" s="34" t="n">
        <x:v>45363</x:v>
      </x:c>
      <x:c r="K112" s="32" t="n">
        <x:v>2165</x:v>
      </x:c>
      <x:c r="L112" s="32" t="n">
        <x:v>2165</x:v>
      </x:c>
      <x:c r="M112" s="30" t="n">
        <x:v>168870</x:v>
      </x:c>
      <x:c r="N112" s="28" t="str">
        <x:v>OTIF</x:v>
      </x:c>
      <x:c r="O112" s="28" t="str">
        <x:v>Janela perdida no cliente</x:v>
      </x:c>
      <x:c r="P112" s="30" t="n">
        <x:v>0</x:v>
      </x:c>
    </x:row>
    <x:row r="113">
      <x:c r="A113" s="28" t="str">
        <x:v>PED-48112</x:v>
      </x:c>
      <x:c r="B113" s="34" t="n">
        <x:v>45352</x:v>
      </x:c>
      <x:c r="C113" s="28" t="str">
        <x:v>Grupo Industrial S.A.</x:v>
      </x:c>
      <x:c r="D113" s="28" t="str">
        <x:v>Planta São Paulo</x:v>
      </x:c>
      <x:c r="E113" s="28" t="str">
        <x:v>AutoPeças BR</x:v>
      </x:c>
      <x:c r="F113" s="28" t="str">
        <x:v>Sudeste</x:v>
      </x:c>
      <x:c r="G113" s="28" t="str">
        <x:v>TransDados</x:v>
      </x:c>
      <x:c r="H113" s="28" t="str">
        <x:v>SP-Sudeste</x:v>
      </x:c>
      <x:c r="I113" s="34" t="n">
        <x:v>45366</x:v>
      </x:c>
      <x:c r="J113" s="34" t="n">
        <x:v>45366</x:v>
      </x:c>
      <x:c r="K113" s="32" t="n">
        <x:v>2055</x:v>
      </x:c>
      <x:c r="L113" s="32" t="n">
        <x:v>2055</x:v>
      </x:c>
      <x:c r="M113" s="30" t="n">
        <x:v>172620</x:v>
      </x:c>
      <x:c r="N113" s="28" t="str">
        <x:v>OTIF</x:v>
      </x:c>
      <x:c r="O113" s="28" t="str">
        <x:v>Janela perdida no cliente</x:v>
      </x:c>
      <x:c r="P113" s="30" t="n">
        <x:v>0</x:v>
      </x:c>
    </x:row>
    <x:row r="114">
      <x:c r="A114" s="28" t="str">
        <x:v>PED-48113</x:v>
      </x:c>
      <x:c r="B114" s="34" t="n">
        <x:v>45352</x:v>
      </x:c>
      <x:c r="C114" s="28" t="str">
        <x:v>Grupo Industrial S.A.</x:v>
      </x:c>
      <x:c r="D114" s="28" t="str">
        <x:v>Planta São Paulo</x:v>
      </x:c>
      <x:c r="E114" s="28" t="str">
        <x:v>Construbem</x:v>
      </x:c>
      <x:c r="F114" s="28" t="str">
        <x:v>Sudeste</x:v>
      </x:c>
      <x:c r="G114" s="28" t="str">
        <x:v>TransDados</x:v>
      </x:c>
      <x:c r="H114" s="28" t="str">
        <x:v>SP-Sudeste</x:v>
      </x:c>
      <x:c r="I114" s="34" t="n">
        <x:v>45369</x:v>
      </x:c>
      <x:c r="J114" s="34" t="n">
        <x:v>45369</x:v>
      </x:c>
      <x:c r="K114" s="32" t="n">
        <x:v>1183</x:v>
      </x:c>
      <x:c r="L114" s="32" t="n">
        <x:v>1183</x:v>
      </x:c>
      <x:c r="M114" s="30" t="n">
        <x:v>99372</x:v>
      </x:c>
      <x:c r="N114" s="28" t="str">
        <x:v>OTIF</x:v>
      </x:c>
      <x:c r="O114" s="28" t="str">
        <x:v>Janela perdida no cliente</x:v>
      </x:c>
      <x:c r="P114" s="30" t="n">
        <x:v>0</x:v>
      </x:c>
    </x:row>
    <x:row r="115">
      <x:c r="A115" s="28" t="str">
        <x:v>PED-48114</x:v>
      </x:c>
      <x:c r="B115" s="34" t="n">
        <x:v>45352</x:v>
      </x:c>
      <x:c r="C115" s="28" t="str">
        <x:v>Grupo Industrial S.A.</x:v>
      </x:c>
      <x:c r="D115" s="28" t="str">
        <x:v>Planta São Paulo</x:v>
      </x:c>
      <x:c r="E115" s="28" t="str">
        <x:v>Alimentos SA</x:v>
      </x:c>
      <x:c r="F115" s="28" t="str">
        <x:v>Sudeste</x:v>
      </x:c>
      <x:c r="G115" s="28" t="str">
        <x:v>TransDados</x:v>
      </x:c>
      <x:c r="H115" s="28" t="str">
        <x:v>SP-Sudeste</x:v>
      </x:c>
      <x:c r="I115" s="34" t="n">
        <x:v>45372</x:v>
      </x:c>
      <x:c r="J115" s="34" t="n">
        <x:v>45372</x:v>
      </x:c>
      <x:c r="K115" s="32" t="n">
        <x:v>1670</x:v>
      </x:c>
      <x:c r="L115" s="32" t="n">
        <x:v>1670</x:v>
      </x:c>
      <x:c r="M115" s="30" t="n">
        <x:v>140280</x:v>
      </x:c>
      <x:c r="N115" s="28" t="str">
        <x:v>OTIF</x:v>
      </x:c>
      <x:c r="O115" s="28" t="str">
        <x:v>Janela perdida no cliente</x:v>
      </x:c>
      <x:c r="P115" s="30" t="n">
        <x:v>0</x:v>
      </x:c>
    </x:row>
    <x:row r="116">
      <x:c r="A116" s="28" t="str">
        <x:v>PED-48115</x:v>
      </x:c>
      <x:c r="B116" s="34" t="n">
        <x:v>45352</x:v>
      </x:c>
      <x:c r="C116" s="28" t="str">
        <x:v>Grupo Industrial S.A.</x:v>
      </x:c>
      <x:c r="D116" s="28" t="str">
        <x:v>Planta São Paulo</x:v>
      </x:c>
      <x:c r="E116" s="28" t="str">
        <x:v>AutoPeças BR</x:v>
      </x:c>
      <x:c r="F116" s="28" t="str">
        <x:v>Sudeste</x:v>
      </x:c>
      <x:c r="G116" s="28" t="str">
        <x:v>RápidoSul</x:v>
      </x:c>
      <x:c r="H116" s="28" t="str">
        <x:v>SP-Centro-Oeste</x:v>
      </x:c>
      <x:c r="I116" s="34" t="n">
        <x:v>45357</x:v>
      </x:c>
      <x:c r="J116" s="34" t="n">
        <x:v>45357</x:v>
      </x:c>
      <x:c r="K116" s="32" t="n">
        <x:v>906</x:v>
      </x:c>
      <x:c r="L116" s="32" t="n">
        <x:v>906</x:v>
      </x:c>
      <x:c r="M116" s="30" t="n">
        <x:v>76104</x:v>
      </x:c>
      <x:c r="N116" s="28" t="str">
        <x:v>OTIF</x:v>
      </x:c>
      <x:c r="O116" s="28" t="str">
        <x:v>Janela perdida no cliente</x:v>
      </x:c>
      <x:c r="P116" s="30" t="n">
        <x:v>0</x:v>
      </x:c>
    </x:row>
    <x:row r="117">
      <x:c r="A117" s="28" t="str">
        <x:v>PED-48116</x:v>
      </x:c>
      <x:c r="B117" s="34" t="n">
        <x:v>45352</x:v>
      </x:c>
      <x:c r="C117" s="28" t="str">
        <x:v>Grupo Industrial S.A.</x:v>
      </x:c>
      <x:c r="D117" s="28" t="str">
        <x:v>Planta São Paulo</x:v>
      </x:c>
      <x:c r="E117" s="28" t="str">
        <x:v>Construbem</x:v>
      </x:c>
      <x:c r="F117" s="28" t="str">
        <x:v>Sudeste</x:v>
      </x:c>
      <x:c r="G117" s="28" t="str">
        <x:v>RápidoSul</x:v>
      </x:c>
      <x:c r="H117" s="28" t="str">
        <x:v>SP-Centro-Oeste</x:v>
      </x:c>
      <x:c r="I117" s="34" t="n">
        <x:v>45360</x:v>
      </x:c>
      <x:c r="J117" s="34" t="n">
        <x:v>45362</x:v>
      </x:c>
      <x:c r="K117" s="32" t="n">
        <x:v>1344</x:v>
      </x:c>
      <x:c r="L117" s="32" t="n">
        <x:v>1344</x:v>
      </x:c>
      <x:c r="M117" s="30" t="n">
        <x:v>96768</x:v>
      </x:c>
      <x:c r="N117" s="28" t="str">
        <x:v>Em atraso</x:v>
      </x:c>
      <x:c r="O117" s="28" t="str">
        <x:v>Atraso transportadora</x:v>
      </x:c>
      <x:c r="P117" s="30" t="n">
        <x:v>96768</x:v>
      </x:c>
    </x:row>
    <x:row r="118">
      <x:c r="A118" s="28" t="str">
        <x:v>PED-48117</x:v>
      </x:c>
      <x:c r="B118" s="34" t="n">
        <x:v>45352</x:v>
      </x:c>
      <x:c r="C118" s="28" t="str">
        <x:v>Grupo Industrial S.A.</x:v>
      </x:c>
      <x:c r="D118" s="28" t="str">
        <x:v>Planta São Paulo</x:v>
      </x:c>
      <x:c r="E118" s="28" t="str">
        <x:v>Alimentos SA</x:v>
      </x:c>
      <x:c r="F118" s="28" t="str">
        <x:v>Sudeste</x:v>
      </x:c>
      <x:c r="G118" s="28" t="str">
        <x:v>RápidoSul</x:v>
      </x:c>
      <x:c r="H118" s="28" t="str">
        <x:v>SP-Centro-Oeste</x:v>
      </x:c>
      <x:c r="I118" s="34" t="n">
        <x:v>45363</x:v>
      </x:c>
      <x:c r="J118" s="34" t="n">
        <x:v>45367</x:v>
      </x:c>
      <x:c r="K118" s="32" t="n">
        <x:v>1319</x:v>
      </x:c>
      <x:c r="L118" s="32" t="n">
        <x:v>1319</x:v>
      </x:c>
      <x:c r="M118" s="30" t="n">
        <x:v>94968</x:v>
      </x:c>
      <x:c r="N118" s="28" t="str">
        <x:v>Em atraso</x:v>
      </x:c>
      <x:c r="O118" s="28" t="str">
        <x:v>Atraso transportadora</x:v>
      </x:c>
      <x:c r="P118" s="30" t="n">
        <x:v>94968</x:v>
      </x:c>
    </x:row>
    <x:row r="119">
      <x:c r="A119" s="28" t="str">
        <x:v>PED-48118</x:v>
      </x:c>
      <x:c r="B119" s="34" t="n">
        <x:v>45352</x:v>
      </x:c>
      <x:c r="C119" s="28" t="str">
        <x:v>Grupo Industrial S.A.</x:v>
      </x:c>
      <x:c r="D119" s="28" t="str">
        <x:v>Planta São Paulo</x:v>
      </x:c>
      <x:c r="E119" s="28" t="str">
        <x:v>Farma Vida</x:v>
      </x:c>
      <x:c r="F119" s="28" t="str">
        <x:v>Sudeste</x:v>
      </x:c>
      <x:c r="G119" s="28" t="str">
        <x:v>RápidoSul</x:v>
      </x:c>
      <x:c r="H119" s="28" t="str">
        <x:v>SP-Centro-Oeste</x:v>
      </x:c>
      <x:c r="I119" s="34" t="n">
        <x:v>45366</x:v>
      </x:c>
      <x:c r="J119" s="34" t="n">
        <x:v>45367</x:v>
      </x:c>
      <x:c r="K119" s="32" t="n">
        <x:v>1463</x:v>
      </x:c>
      <x:c r="L119" s="32" t="n">
        <x:v>1463</x:v>
      </x:c>
      <x:c r="M119" s="30" t="n">
        <x:v>114114</x:v>
      </x:c>
      <x:c r="N119" s="28" t="str">
        <x:v>Em atraso</x:v>
      </x:c>
      <x:c r="O119" s="28" t="str">
        <x:v>Atraso transportadora</x:v>
      </x:c>
      <x:c r="P119" s="30" t="n">
        <x:v>114114</x:v>
      </x:c>
    </x:row>
    <x:row r="120">
      <x:c r="A120" s="28" t="str">
        <x:v>PED-48119</x:v>
      </x:c>
      <x:c r="B120" s="34" t="n">
        <x:v>45352</x:v>
      </x:c>
      <x:c r="C120" s="28" t="str">
        <x:v>Grupo Industrial S.A.</x:v>
      </x:c>
      <x:c r="D120" s="28" t="str">
        <x:v>Planta São Paulo</x:v>
      </x:c>
      <x:c r="E120" s="28" t="str">
        <x:v>AutoPeças BR</x:v>
      </x:c>
      <x:c r="F120" s="28" t="str">
        <x:v>Sudeste</x:v>
      </x:c>
      <x:c r="G120" s="28" t="str">
        <x:v>RápidoSul</x:v>
      </x:c>
      <x:c r="H120" s="28" t="str">
        <x:v>SP-Centro-Oeste</x:v>
      </x:c>
      <x:c r="I120" s="34" t="n">
        <x:v>45369</x:v>
      </x:c>
      <x:c r="J120" s="34" t="n">
        <x:v>45370</x:v>
      </x:c>
      <x:c r="K120" s="32" t="n">
        <x:v>1193</x:v>
      </x:c>
      <x:c r="L120" s="32" t="n">
        <x:v>1193</x:v>
      </x:c>
      <x:c r="M120" s="30" t="n">
        <x:v>93054</x:v>
      </x:c>
      <x:c r="N120" s="28" t="str">
        <x:v>Em atraso</x:v>
      </x:c>
      <x:c r="O120" s="28" t="str">
        <x:v>Atraso transportadora</x:v>
      </x:c>
      <x:c r="P120" s="30" t="n">
        <x:v>93054</x:v>
      </x:c>
    </x:row>
    <x:row r="121">
      <x:c r="A121" s="28" t="str">
        <x:v>PED-48120</x:v>
      </x:c>
      <x:c r="B121" s="34" t="n">
        <x:v>45352</x:v>
      </x:c>
      <x:c r="C121" s="28" t="str">
        <x:v>Grupo Industrial S.A.</x:v>
      </x:c>
      <x:c r="D121" s="28" t="str">
        <x:v>Planta São Paulo</x:v>
      </x:c>
      <x:c r="E121" s="28" t="str">
        <x:v>Construbem</x:v>
      </x:c>
      <x:c r="F121" s="28" t="str">
        <x:v>Sudeste</x:v>
      </x:c>
      <x:c r="G121" s="28" t="str">
        <x:v>RápidoSul</x:v>
      </x:c>
      <x:c r="H121" s="28" t="str">
        <x:v>SP-Centro-Oeste</x:v>
      </x:c>
      <x:c r="I121" s="34" t="n">
        <x:v>45372</x:v>
      </x:c>
      <x:c r="J121" s="34" t="n">
        <x:v>45372</x:v>
      </x:c>
      <x:c r="K121" s="32" t="n">
        <x:v>764</x:v>
      </x:c>
      <x:c r="L121" s="32" t="n">
        <x:v>764</x:v>
      </x:c>
      <x:c r="M121" s="30" t="n">
        <x:v>64176</x:v>
      </x:c>
      <x:c r="N121" s="28" t="str">
        <x:v>OTIF</x:v>
      </x:c>
      <x:c r="O121" s="28" t="str">
        <x:v>Janela perdida no cliente</x:v>
      </x:c>
      <x:c r="P121" s="30" t="n">
        <x:v>0</x:v>
      </x:c>
    </x:row>
    <x:row r="122">
      <x:c r="A122" s="28" t="str">
        <x:v>PED-48121</x:v>
      </x:c>
      <x:c r="B122" s="34" t="n">
        <x:v>45352</x:v>
      </x:c>
      <x:c r="C122" s="28" t="str">
        <x:v>Grupo Industrial S.A.</x:v>
      </x:c>
      <x:c r="D122" s="28" t="str">
        <x:v>Planta São Paulo</x:v>
      </x:c>
      <x:c r="E122" s="28" t="str">
        <x:v>Farma Vida</x:v>
      </x:c>
      <x:c r="F122" s="28" t="str">
        <x:v>Sudeste</x:v>
      </x:c>
      <x:c r="G122" s="28" t="str">
        <x:v>NovaLog</x:v>
      </x:c>
      <x:c r="H122" s="28" t="str">
        <x:v>SP-Nordeste</x:v>
      </x:c>
      <x:c r="I122" s="34" t="n">
        <x:v>45357</x:v>
      </x:c>
      <x:c r="J122" s="34" t="n">
        <x:v>45357</x:v>
      </x:c>
      <x:c r="K122" s="32" t="n">
        <x:v>2140</x:v>
      </x:c>
      <x:c r="L122" s="32" t="n">
        <x:v>2140</x:v>
      </x:c>
      <x:c r="M122" s="30" t="n">
        <x:v>166920</x:v>
      </x:c>
      <x:c r="N122" s="28" t="str">
        <x:v>OTIF</x:v>
      </x:c>
      <x:c r="O122" s="28" t="str">
        <x:v>Janela perdida no cliente</x:v>
      </x:c>
      <x:c r="P122" s="30" t="n">
        <x:v>0</x:v>
      </x:c>
    </x:row>
    <x:row r="123">
      <x:c r="A123" s="28" t="str">
        <x:v>PED-48122</x:v>
      </x:c>
      <x:c r="B123" s="34" t="n">
        <x:v>45352</x:v>
      </x:c>
      <x:c r="C123" s="28" t="str">
        <x:v>Grupo Industrial S.A.</x:v>
      </x:c>
      <x:c r="D123" s="28" t="str">
        <x:v>Planta São Paulo</x:v>
      </x:c>
      <x:c r="E123" s="28" t="str">
        <x:v>AutoPeças BR</x:v>
      </x:c>
      <x:c r="F123" s="28" t="str">
        <x:v>Sudeste</x:v>
      </x:c>
      <x:c r="G123" s="28" t="str">
        <x:v>NovaLog</x:v>
      </x:c>
      <x:c r="H123" s="28" t="str">
        <x:v>SP-Nordeste</x:v>
      </x:c>
      <x:c r="I123" s="34" t="n">
        <x:v>45360</x:v>
      </x:c>
      <x:c r="J123" s="34" t="n">
        <x:v>45362</x:v>
      </x:c>
      <x:c r="K123" s="32" t="n">
        <x:v>1986</x:v>
      </x:c>
      <x:c r="L123" s="32" t="n">
        <x:v>1986</x:v>
      </x:c>
      <x:c r="M123" s="30" t="n">
        <x:v>182712</x:v>
      </x:c>
      <x:c r="N123" s="28" t="str">
        <x:v>Em atraso</x:v>
      </x:c>
      <x:c r="O123" s="28" t="str">
        <x:v>Atraso transportadora</x:v>
      </x:c>
      <x:c r="P123" s="30" t="n">
        <x:v>182712</x:v>
      </x:c>
    </x:row>
    <x:row r="124">
      <x:c r="A124" s="28" t="str">
        <x:v>PED-48123</x:v>
      </x:c>
      <x:c r="B124" s="34" t="n">
        <x:v>45352</x:v>
      </x:c>
      <x:c r="C124" s="28" t="str">
        <x:v>Grupo Industrial S.A.</x:v>
      </x:c>
      <x:c r="D124" s="28" t="str">
        <x:v>Planta São Paulo</x:v>
      </x:c>
      <x:c r="E124" s="28" t="str">
        <x:v>Construbem</x:v>
      </x:c>
      <x:c r="F124" s="28" t="str">
        <x:v>Sudeste</x:v>
      </x:c>
      <x:c r="G124" s="28" t="str">
        <x:v>NovaLog</x:v>
      </x:c>
      <x:c r="H124" s="28" t="str">
        <x:v>SP-Nordeste</x:v>
      </x:c>
      <x:c r="I124" s="34" t="n">
        <x:v>45363</x:v>
      </x:c>
      <x:c r="J124" s="34" t="n">
        <x:v>45364</x:v>
      </x:c>
      <x:c r="K124" s="32" t="n">
        <x:v>1583</x:v>
      </x:c>
      <x:c r="L124" s="32" t="n">
        <x:v>1583</x:v>
      </x:c>
      <x:c r="M124" s="30" t="n">
        <x:v>113976</x:v>
      </x:c>
      <x:c r="N124" s="28" t="str">
        <x:v>Em atraso</x:v>
      </x:c>
      <x:c r="O124" s="28" t="str">
        <x:v>Atraso transportadora</x:v>
      </x:c>
      <x:c r="P124" s="30" t="n">
        <x:v>113976</x:v>
      </x:c>
    </x:row>
    <x:row r="125">
      <x:c r="A125" s="28" t="str">
        <x:v>PED-48124</x:v>
      </x:c>
      <x:c r="B125" s="34" t="n">
        <x:v>45352</x:v>
      </x:c>
      <x:c r="C125" s="28" t="str">
        <x:v>Grupo Industrial S.A.</x:v>
      </x:c>
      <x:c r="D125" s="28" t="str">
        <x:v>Planta São Paulo</x:v>
      </x:c>
      <x:c r="E125" s="28" t="str">
        <x:v>Alimentos SA</x:v>
      </x:c>
      <x:c r="F125" s="28" t="str">
        <x:v>Sudeste</x:v>
      </x:c>
      <x:c r="G125" s="28" t="str">
        <x:v>NovaLog</x:v>
      </x:c>
      <x:c r="H125" s="28" t="str">
        <x:v>SP-Nordeste</x:v>
      </x:c>
      <x:c r="I125" s="34" t="n">
        <x:v>45366</x:v>
      </x:c>
      <x:c r="J125" s="34" t="n">
        <x:v>45367</x:v>
      </x:c>
      <x:c r="K125" s="32" t="n">
        <x:v>1351</x:v>
      </x:c>
      <x:c r="L125" s="32" t="n">
        <x:v>1351</x:v>
      </x:c>
      <x:c r="M125" s="30" t="n">
        <x:v>97272</x:v>
      </x:c>
      <x:c r="N125" s="28" t="str">
        <x:v>Em atraso</x:v>
      </x:c>
      <x:c r="O125" s="28" t="str">
        <x:v>Atraso transportadora</x:v>
      </x:c>
      <x:c r="P125" s="30" t="n">
        <x:v>97272</x:v>
      </x:c>
    </x:row>
    <x:row r="126">
      <x:c r="A126" s="28" t="str">
        <x:v>PED-48125</x:v>
      </x:c>
      <x:c r="B126" s="34" t="n">
        <x:v>45352</x:v>
      </x:c>
      <x:c r="C126" s="28" t="str">
        <x:v>Grupo Industrial S.A.</x:v>
      </x:c>
      <x:c r="D126" s="28" t="str">
        <x:v>Planta São Paulo</x:v>
      </x:c>
      <x:c r="E126" s="28" t="str">
        <x:v>Farma Vida</x:v>
      </x:c>
      <x:c r="F126" s="28" t="str">
        <x:v>Sudeste</x:v>
      </x:c>
      <x:c r="G126" s="28" t="str">
        <x:v>NovaLog</x:v>
      </x:c>
      <x:c r="H126" s="28" t="str">
        <x:v>SP-Nordeste</x:v>
      </x:c>
      <x:c r="I126" s="34" t="n">
        <x:v>45369</x:v>
      </x:c>
      <x:c r="J126" s="34" t="n">
        <x:v>45369</x:v>
      </x:c>
      <x:c r="K126" s="32" t="n">
        <x:v>1212</x:v>
      </x:c>
      <x:c r="L126" s="32" t="n">
        <x:v>1212</x:v>
      </x:c>
      <x:c r="M126" s="30" t="n">
        <x:v>101808</x:v>
      </x:c>
      <x:c r="N126" s="28" t="str">
        <x:v>OTIF</x:v>
      </x:c>
      <x:c r="O126" s="28" t="str">
        <x:v>Janela perdida no cliente</x:v>
      </x:c>
      <x:c r="P126" s="30" t="n">
        <x:v>0</x:v>
      </x:c>
    </x:row>
    <x:row r="127">
      <x:c r="A127" s="28" t="str">
        <x:v>PED-48126</x:v>
      </x:c>
      <x:c r="B127" s="34" t="n">
        <x:v>45352</x:v>
      </x:c>
      <x:c r="C127" s="28" t="str">
        <x:v>Grupo Industrial S.A.</x:v>
      </x:c>
      <x:c r="D127" s="28" t="str">
        <x:v>Planta São Paulo</x:v>
      </x:c>
      <x:c r="E127" s="28" t="str">
        <x:v>AutoPeças BR</x:v>
      </x:c>
      <x:c r="F127" s="28" t="str">
        <x:v>Sudeste</x:v>
      </x:c>
      <x:c r="G127" s="28" t="str">
        <x:v>NovaLog</x:v>
      </x:c>
      <x:c r="H127" s="28" t="str">
        <x:v>SP-Nordeste</x:v>
      </x:c>
      <x:c r="I127" s="34" t="n">
        <x:v>45372</x:v>
      </x:c>
      <x:c r="J127" s="34" t="n">
        <x:v>45372</x:v>
      </x:c>
      <x:c r="K127" s="32" t="n">
        <x:v>1592</x:v>
      </x:c>
      <x:c r="L127" s="32" t="n">
        <x:v>1592</x:v>
      </x:c>
      <x:c r="M127" s="30" t="n">
        <x:v>124176</x:v>
      </x:c>
      <x:c r="N127" s="28" t="str">
        <x:v>OTIF</x:v>
      </x:c>
      <x:c r="O127" s="28" t="str">
        <x:v>Janela perdida no cliente</x:v>
      </x:c>
      <x:c r="P127" s="30" t="n">
        <x:v>0</x:v>
      </x:c>
    </x:row>
    <x:row r="128">
      <x:c r="A128" s="28" t="str">
        <x:v>PED-48127</x:v>
      </x:c>
      <x:c r="B128" s="34" t="n">
        <x:v>45352</x:v>
      </x:c>
      <x:c r="C128" s="28" t="str">
        <x:v>Grupo Industrial S.A.</x:v>
      </x:c>
      <x:c r="D128" s="28" t="str">
        <x:v>Planta Campinas</x:v>
      </x:c>
      <x:c r="E128" s="28" t="str">
        <x:v>Alimentos SA</x:v>
      </x:c>
      <x:c r="F128" s="28" t="str">
        <x:v>Sudeste</x:v>
      </x:c>
      <x:c r="G128" s="28" t="str">
        <x:v>TransDados</x:v>
      </x:c>
      <x:c r="H128" s="28" t="str">
        <x:v>Campinas-Sudeste</x:v>
      </x:c>
      <x:c r="I128" s="34" t="n">
        <x:v>45357</x:v>
      </x:c>
      <x:c r="J128" s="34" t="n">
        <x:v>45358</x:v>
      </x:c>
      <x:c r="K128" s="32" t="n">
        <x:v>825</x:v>
      </x:c>
      <x:c r="L128" s="32" t="n">
        <x:v>825</x:v>
      </x:c>
      <x:c r="M128" s="30" t="n">
        <x:v>69300</x:v>
      </x:c>
      <x:c r="N128" s="28" t="str">
        <x:v>Em atraso</x:v>
      </x:c>
      <x:c r="O128" s="28" t="str">
        <x:v>Janela perdida no cliente</x:v>
      </x:c>
      <x:c r="P128" s="30" t="n">
        <x:v>69300</x:v>
      </x:c>
    </x:row>
    <x:row r="129">
      <x:c r="A129" s="28" t="str">
        <x:v>PED-48128</x:v>
      </x:c>
      <x:c r="B129" s="34" t="n">
        <x:v>45352</x:v>
      </x:c>
      <x:c r="C129" s="28" t="str">
        <x:v>Grupo Industrial S.A.</x:v>
      </x:c>
      <x:c r="D129" s="28" t="str">
        <x:v>Planta Campinas</x:v>
      </x:c>
      <x:c r="E129" s="28" t="str">
        <x:v>Farma Vida</x:v>
      </x:c>
      <x:c r="F129" s="28" t="str">
        <x:v>Sudeste</x:v>
      </x:c>
      <x:c r="G129" s="28" t="str">
        <x:v>TransDados</x:v>
      </x:c>
      <x:c r="H129" s="28" t="str">
        <x:v>Campinas-Sudeste</x:v>
      </x:c>
      <x:c r="I129" s="34" t="n">
        <x:v>45360</x:v>
      </x:c>
      <x:c r="J129" s="34" t="n">
        <x:v>45364</x:v>
      </x:c>
      <x:c r="K129" s="32" t="n">
        <x:v>1012</x:v>
      </x:c>
      <x:c r="L129" s="32" t="n">
        <x:v>1012</x:v>
      </x:c>
      <x:c r="M129" s="30" t="n">
        <x:v>85008</x:v>
      </x:c>
      <x:c r="N129" s="28" t="str">
        <x:v>Em atraso</x:v>
      </x:c>
      <x:c r="O129" s="28" t="str">
        <x:v>Atraso transportadora</x:v>
      </x:c>
      <x:c r="P129" s="30" t="n">
        <x:v>85008</x:v>
      </x:c>
    </x:row>
    <x:row r="130">
      <x:c r="A130" s="28" t="str">
        <x:v>PED-48129</x:v>
      </x:c>
      <x:c r="B130" s="34" t="n">
        <x:v>45352</x:v>
      </x:c>
      <x:c r="C130" s="28" t="str">
        <x:v>Grupo Industrial S.A.</x:v>
      </x:c>
      <x:c r="D130" s="28" t="str">
        <x:v>Planta Campinas</x:v>
      </x:c>
      <x:c r="E130" s="28" t="str">
        <x:v>AutoPeças BR</x:v>
      </x:c>
      <x:c r="F130" s="28" t="str">
        <x:v>Sudeste</x:v>
      </x:c>
      <x:c r="G130" s="28" t="str">
        <x:v>TransDados</x:v>
      </x:c>
      <x:c r="H130" s="28" t="str">
        <x:v>Campinas-Sudeste</x:v>
      </x:c>
      <x:c r="I130" s="34" t="n">
        <x:v>45363</x:v>
      </x:c>
      <x:c r="J130" s="34" t="n">
        <x:v>45363</x:v>
      </x:c>
      <x:c r="K130" s="32" t="n">
        <x:v>988</x:v>
      </x:c>
      <x:c r="L130" s="32" t="n">
        <x:v>988</x:v>
      </x:c>
      <x:c r="M130" s="30" t="n">
        <x:v>82992</x:v>
      </x:c>
      <x:c r="N130" s="28" t="str">
        <x:v>OTIF</x:v>
      </x:c>
      <x:c r="O130" s="28" t="str">
        <x:v>Janela perdida no cliente</x:v>
      </x:c>
      <x:c r="P130" s="30" t="n">
        <x:v>0</x:v>
      </x:c>
    </x:row>
    <x:row r="131">
      <x:c r="A131" s="28" t="str">
        <x:v>PED-48130</x:v>
      </x:c>
      <x:c r="B131" s="34" t="n">
        <x:v>45352</x:v>
      </x:c>
      <x:c r="C131" s="28" t="str">
        <x:v>Grupo Industrial S.A.</x:v>
      </x:c>
      <x:c r="D131" s="28" t="str">
        <x:v>Planta Campinas</x:v>
      </x:c>
      <x:c r="E131" s="28" t="str">
        <x:v>Construbem</x:v>
      </x:c>
      <x:c r="F131" s="28" t="str">
        <x:v>Sudeste</x:v>
      </x:c>
      <x:c r="G131" s="28" t="str">
        <x:v>TransDados</x:v>
      </x:c>
      <x:c r="H131" s="28" t="str">
        <x:v>Campinas-Sudeste</x:v>
      </x:c>
      <x:c r="I131" s="34" t="n">
        <x:v>45366</x:v>
      </x:c>
      <x:c r="J131" s="34" t="n">
        <x:v>45367</x:v>
      </x:c>
      <x:c r="K131" s="32" t="n">
        <x:v>1127</x:v>
      </x:c>
      <x:c r="L131" s="32" t="n">
        <x:v>1127</x:v>
      </x:c>
      <x:c r="M131" s="30" t="n">
        <x:v>94668</x:v>
      </x:c>
      <x:c r="N131" s="28" t="str">
        <x:v>Em atraso</x:v>
      </x:c>
      <x:c r="O131" s="28" t="str">
        <x:v>Atraso transportadora</x:v>
      </x:c>
      <x:c r="P131" s="30" t="n">
        <x:v>94668</x:v>
      </x:c>
    </x:row>
    <x:row r="132">
      <x:c r="A132" s="28" t="str">
        <x:v>PED-48131</x:v>
      </x:c>
      <x:c r="B132" s="34" t="n">
        <x:v>45352</x:v>
      </x:c>
      <x:c r="C132" s="28" t="str">
        <x:v>Grupo Industrial S.A.</x:v>
      </x:c>
      <x:c r="D132" s="28" t="str">
        <x:v>Planta Campinas</x:v>
      </x:c>
      <x:c r="E132" s="28" t="str">
        <x:v>Alimentos SA</x:v>
      </x:c>
      <x:c r="F132" s="28" t="str">
        <x:v>Sudeste</x:v>
      </x:c>
      <x:c r="G132" s="28" t="str">
        <x:v>TransDados</x:v>
      </x:c>
      <x:c r="H132" s="28" t="str">
        <x:v>Campinas-Sudeste</x:v>
      </x:c>
      <x:c r="I132" s="34" t="n">
        <x:v>45369</x:v>
      </x:c>
      <x:c r="J132" s="34" t="n">
        <x:v>45371</x:v>
      </x:c>
      <x:c r="K132" s="32" t="n">
        <x:v>1107</x:v>
      </x:c>
      <x:c r="L132" s="32" t="n">
        <x:v>912</x:v>
      </x:c>
      <x:c r="M132" s="30" t="n">
        <x:v>92988</x:v>
      </x:c>
      <x:c r="N132" s="28" t="str">
        <x:v>Em atraso</x:v>
      </x:c>
      <x:c r="O132" s="28" t="str">
        <x:v>Atraso transportadora</x:v>
      </x:c>
      <x:c r="P132" s="30" t="n">
        <x:v>92988</x:v>
      </x:c>
    </x:row>
    <x:row r="133">
      <x:c r="A133" s="28" t="str">
        <x:v>PED-48132</x:v>
      </x:c>
      <x:c r="B133" s="34" t="n">
        <x:v>45352</x:v>
      </x:c>
      <x:c r="C133" s="28" t="str">
        <x:v>Grupo Industrial S.A.</x:v>
      </x:c>
      <x:c r="D133" s="28" t="str">
        <x:v>Planta Campinas</x:v>
      </x:c>
      <x:c r="E133" s="28" t="str">
        <x:v>Farma Vida</x:v>
      </x:c>
      <x:c r="F133" s="28" t="str">
        <x:v>Sudeste</x:v>
      </x:c>
      <x:c r="G133" s="28" t="str">
        <x:v>TransDados</x:v>
      </x:c>
      <x:c r="H133" s="28" t="str">
        <x:v>Campinas-Sudeste</x:v>
      </x:c>
      <x:c r="I133" s="34" t="n">
        <x:v>45372</x:v>
      </x:c>
      <x:c r="J133" s="34" t="n">
        <x:v>45372</x:v>
      </x:c>
      <x:c r="K133" s="32" t="n">
        <x:v>1367</x:v>
      </x:c>
      <x:c r="L133" s="32" t="n">
        <x:v>1279</x:v>
      </x:c>
      <x:c r="M133" s="30" t="n">
        <x:v>98424</x:v>
      </x:c>
      <x:c r="N133" s="28" t="str">
        <x:v>Incompleto</x:v>
      </x:c>
      <x:c r="O133" s="28" t="str">
        <x:v>Falta de produto</x:v>
      </x:c>
      <x:c r="P133" s="30" t="n">
        <x:v>98424</x:v>
      </x:c>
    </x:row>
    <x:row r="134">
      <x:c r="A134" s="28" t="str">
        <x:v>PED-48133</x:v>
      </x:c>
      <x:c r="B134" s="34" t="n">
        <x:v>45352</x:v>
      </x:c>
      <x:c r="C134" s="28" t="str">
        <x:v>Grupo Industrial S.A.</x:v>
      </x:c>
      <x:c r="D134" s="28" t="str">
        <x:v>Planta Campinas</x:v>
      </x:c>
      <x:c r="E134" s="28" t="str">
        <x:v>Construbem</x:v>
      </x:c>
      <x:c r="F134" s="28" t="str">
        <x:v>Sudeste</x:v>
      </x:c>
      <x:c r="G134" s="28" t="str">
        <x:v>RápidoSul</x:v>
      </x:c>
      <x:c r="H134" s="28" t="str">
        <x:v>Campinas-Norte</x:v>
      </x:c>
      <x:c r="I134" s="34" t="n">
        <x:v>45357</x:v>
      </x:c>
      <x:c r="J134" s="34" t="n">
        <x:v>45359</x:v>
      </x:c>
      <x:c r="K134" s="32" t="n">
        <x:v>1021</x:v>
      </x:c>
      <x:c r="L134" s="32" t="n">
        <x:v>1021</x:v>
      </x:c>
      <x:c r="M134" s="30" t="n">
        <x:v>79638</x:v>
      </x:c>
      <x:c r="N134" s="28" t="str">
        <x:v>Em atraso</x:v>
      </x:c>
      <x:c r="O134" s="28" t="str">
        <x:v>Atraso transportadora</x:v>
      </x:c>
      <x:c r="P134" s="30" t="n">
        <x:v>79638</x:v>
      </x:c>
    </x:row>
    <x:row r="135">
      <x:c r="A135" s="28" t="str">
        <x:v>PED-48134</x:v>
      </x:c>
      <x:c r="B135" s="34" t="n">
        <x:v>45352</x:v>
      </x:c>
      <x:c r="C135" s="28" t="str">
        <x:v>Grupo Industrial S.A.</x:v>
      </x:c>
      <x:c r="D135" s="28" t="str">
        <x:v>Planta Campinas</x:v>
      </x:c>
      <x:c r="E135" s="28" t="str">
        <x:v>Alimentos SA</x:v>
      </x:c>
      <x:c r="F135" s="28" t="str">
        <x:v>Sudeste</x:v>
      </x:c>
      <x:c r="G135" s="28" t="str">
        <x:v>RápidoSul</x:v>
      </x:c>
      <x:c r="H135" s="28" t="str">
        <x:v>Campinas-Norte</x:v>
      </x:c>
      <x:c r="I135" s="34" t="n">
        <x:v>45360</x:v>
      </x:c>
      <x:c r="J135" s="34" t="n">
        <x:v>45360</x:v>
      </x:c>
      <x:c r="K135" s="32" t="n">
        <x:v>792</x:v>
      </x:c>
      <x:c r="L135" s="32" t="n">
        <x:v>792</x:v>
      </x:c>
      <x:c r="M135" s="30" t="n">
        <x:v>57024</x:v>
      </x:c>
      <x:c r="N135" s="28" t="str">
        <x:v>OTIF</x:v>
      </x:c>
      <x:c r="O135" s="28" t="str">
        <x:v>Janela perdida no cliente</x:v>
      </x:c>
      <x:c r="P135" s="30" t="n">
        <x:v>0</x:v>
      </x:c>
    </x:row>
    <x:row r="136">
      <x:c r="A136" s="28" t="str">
        <x:v>PED-48135</x:v>
      </x:c>
      <x:c r="B136" s="34" t="n">
        <x:v>45352</x:v>
      </x:c>
      <x:c r="C136" s="28" t="str">
        <x:v>Grupo Industrial S.A.</x:v>
      </x:c>
      <x:c r="D136" s="28" t="str">
        <x:v>Planta Campinas</x:v>
      </x:c>
      <x:c r="E136" s="28" t="str">
        <x:v>Farma Vida</x:v>
      </x:c>
      <x:c r="F136" s="28" t="str">
        <x:v>Sudeste</x:v>
      </x:c>
      <x:c r="G136" s="28" t="str">
        <x:v>RápidoSul</x:v>
      </x:c>
      <x:c r="H136" s="28" t="str">
        <x:v>Campinas-Norte</x:v>
      </x:c>
      <x:c r="I136" s="34" t="n">
        <x:v>45363</x:v>
      </x:c>
      <x:c r="J136" s="34" t="n">
        <x:v>45363</x:v>
      </x:c>
      <x:c r="K136" s="32" t="n">
        <x:v>1495</x:v>
      </x:c>
      <x:c r="L136" s="32" t="n">
        <x:v>1495</x:v>
      </x:c>
      <x:c r="M136" s="30" t="n">
        <x:v>125580</x:v>
      </x:c>
      <x:c r="N136" s="28" t="str">
        <x:v>OTIF</x:v>
      </x:c>
      <x:c r="O136" s="28" t="str">
        <x:v>Janela perdida no cliente</x:v>
      </x:c>
      <x:c r="P136" s="30" t="n">
        <x:v>0</x:v>
      </x:c>
    </x:row>
    <x:row r="137">
      <x:c r="A137" s="28" t="str">
        <x:v>PED-48136</x:v>
      </x:c>
      <x:c r="B137" s="34" t="n">
        <x:v>45352</x:v>
      </x:c>
      <x:c r="C137" s="28" t="str">
        <x:v>Grupo Industrial S.A.</x:v>
      </x:c>
      <x:c r="D137" s="28" t="str">
        <x:v>Planta Campinas</x:v>
      </x:c>
      <x:c r="E137" s="28" t="str">
        <x:v>AutoPeças BR</x:v>
      </x:c>
      <x:c r="F137" s="28" t="str">
        <x:v>Sudeste</x:v>
      </x:c>
      <x:c r="G137" s="28" t="str">
        <x:v>RápidoSul</x:v>
      </x:c>
      <x:c r="H137" s="28" t="str">
        <x:v>Campinas-Norte</x:v>
      </x:c>
      <x:c r="I137" s="34" t="n">
        <x:v>45366</x:v>
      </x:c>
      <x:c r="J137" s="34" t="n">
        <x:v>45368</x:v>
      </x:c>
      <x:c r="K137" s="32" t="n">
        <x:v>1864</x:v>
      </x:c>
      <x:c r="L137" s="32" t="n">
        <x:v>1864</x:v>
      </x:c>
      <x:c r="M137" s="30" t="n">
        <x:v>145392</x:v>
      </x:c>
      <x:c r="N137" s="28" t="str">
        <x:v>Em atraso</x:v>
      </x:c>
      <x:c r="O137" s="28" t="str">
        <x:v>Atraso transportadora</x:v>
      </x:c>
      <x:c r="P137" s="30" t="n">
        <x:v>145392</x:v>
      </x:c>
    </x:row>
    <x:row r="138">
      <x:c r="A138" s="28" t="str">
        <x:v>PED-48137</x:v>
      </x:c>
      <x:c r="B138" s="34" t="n">
        <x:v>45352</x:v>
      </x:c>
      <x:c r="C138" s="28" t="str">
        <x:v>Grupo Industrial S.A.</x:v>
      </x:c>
      <x:c r="D138" s="28" t="str">
        <x:v>Planta Campinas</x:v>
      </x:c>
      <x:c r="E138" s="28" t="str">
        <x:v>Construbem</x:v>
      </x:c>
      <x:c r="F138" s="28" t="str">
        <x:v>Sudeste</x:v>
      </x:c>
      <x:c r="G138" s="28" t="str">
        <x:v>RápidoSul</x:v>
      </x:c>
      <x:c r="H138" s="28" t="str">
        <x:v>Campinas-Norte</x:v>
      </x:c>
      <x:c r="I138" s="34" t="n">
        <x:v>45369</x:v>
      </x:c>
      <x:c r="J138" s="34" t="n">
        <x:v>45373</x:v>
      </x:c>
      <x:c r="K138" s="32" t="n">
        <x:v>1589</x:v>
      </x:c>
      <x:c r="L138" s="32" t="n">
        <x:v>1589</x:v>
      </x:c>
      <x:c r="M138" s="30" t="n">
        <x:v>146188</x:v>
      </x:c>
      <x:c r="N138" s="28" t="str">
        <x:v>Em atraso</x:v>
      </x:c>
      <x:c r="O138" s="28" t="str">
        <x:v>Janela perdida no cliente</x:v>
      </x:c>
      <x:c r="P138" s="30" t="n">
        <x:v>146188</x:v>
      </x:c>
    </x:row>
    <x:row r="139">
      <x:c r="A139" s="28" t="str">
        <x:v>PED-48138</x:v>
      </x:c>
      <x:c r="B139" s="34" t="n">
        <x:v>45352</x:v>
      </x:c>
      <x:c r="C139" s="28" t="str">
        <x:v>Grupo Industrial S.A.</x:v>
      </x:c>
      <x:c r="D139" s="28" t="str">
        <x:v>Planta Campinas</x:v>
      </x:c>
      <x:c r="E139" s="28" t="str">
        <x:v>Alimentos SA</x:v>
      </x:c>
      <x:c r="F139" s="28" t="str">
        <x:v>Sudeste</x:v>
      </x:c>
      <x:c r="G139" s="28" t="str">
        <x:v>RápidoSul</x:v>
      </x:c>
      <x:c r="H139" s="28" t="str">
        <x:v>Campinas-Norte</x:v>
      </x:c>
      <x:c r="I139" s="34" t="n">
        <x:v>45372</x:v>
      </x:c>
      <x:c r="J139" s="34" t="n">
        <x:v>45373</x:v>
      </x:c>
      <x:c r="K139" s="32" t="n">
        <x:v>1497</x:v>
      </x:c>
      <x:c r="L139" s="32" t="n">
        <x:v>1340</x:v>
      </x:c>
      <x:c r="M139" s="30" t="n">
        <x:v>107784</x:v>
      </x:c>
      <x:c r="N139" s="28" t="str">
        <x:v>Em atraso</x:v>
      </x:c>
      <x:c r="O139" s="28" t="str">
        <x:v>Atraso transportadora</x:v>
      </x:c>
      <x:c r="P139" s="30" t="n">
        <x:v>107784</x:v>
      </x:c>
    </x:row>
    <x:row r="140">
      <x:c r="A140" s="28" t="str">
        <x:v>PED-48139</x:v>
      </x:c>
      <x:c r="B140" s="34" t="n">
        <x:v>45352</x:v>
      </x:c>
      <x:c r="C140" s="28" t="str">
        <x:v>Grupo Industrial S.A.</x:v>
      </x:c>
      <x:c r="D140" s="28" t="str">
        <x:v>Planta Campinas</x:v>
      </x:c>
      <x:c r="E140" s="28" t="str">
        <x:v>AutoPeças BR</x:v>
      </x:c>
      <x:c r="F140" s="28" t="str">
        <x:v>Sudeste</x:v>
      </x:c>
      <x:c r="G140" s="28" t="str">
        <x:v>NovaLog</x:v>
      </x:c>
      <x:c r="H140" s="28" t="str">
        <x:v>Campinas-Nordeste</x:v>
      </x:c>
      <x:c r="I140" s="34" t="n">
        <x:v>45357</x:v>
      </x:c>
      <x:c r="J140" s="34" t="n">
        <x:v>45360</x:v>
      </x:c>
      <x:c r="K140" s="32" t="n">
        <x:v>841</x:v>
      </x:c>
      <x:c r="L140" s="32" t="n">
        <x:v>841</x:v>
      </x:c>
      <x:c r="M140" s="30" t="n">
        <x:v>60552</x:v>
      </x:c>
      <x:c r="N140" s="28" t="str">
        <x:v>Em atraso</x:v>
      </x:c>
      <x:c r="O140" s="28" t="str">
        <x:v>Atraso transportadora</x:v>
      </x:c>
      <x:c r="P140" s="30" t="n">
        <x:v>60552</x:v>
      </x:c>
    </x:row>
    <x:row r="141">
      <x:c r="A141" s="28" t="str">
        <x:v>PED-48140</x:v>
      </x:c>
      <x:c r="B141" s="34" t="n">
        <x:v>45352</x:v>
      </x:c>
      <x:c r="C141" s="28" t="str">
        <x:v>Grupo Industrial S.A.</x:v>
      </x:c>
      <x:c r="D141" s="28" t="str">
        <x:v>Planta Campinas</x:v>
      </x:c>
      <x:c r="E141" s="28" t="str">
        <x:v>Construbem</x:v>
      </x:c>
      <x:c r="F141" s="28" t="str">
        <x:v>Sudeste</x:v>
      </x:c>
      <x:c r="G141" s="28" t="str">
        <x:v>NovaLog</x:v>
      </x:c>
      <x:c r="H141" s="28" t="str">
        <x:v>Campinas-Nordeste</x:v>
      </x:c>
      <x:c r="I141" s="34" t="n">
        <x:v>45360</x:v>
      </x:c>
      <x:c r="J141" s="34" t="n">
        <x:v>45360</x:v>
      </x:c>
      <x:c r="K141" s="32" t="n">
        <x:v>849</x:v>
      </x:c>
      <x:c r="L141" s="32" t="n">
        <x:v>849</x:v>
      </x:c>
      <x:c r="M141" s="30" t="n">
        <x:v>71316</x:v>
      </x:c>
      <x:c r="N141" s="28" t="str">
        <x:v>OTIF</x:v>
      </x:c>
      <x:c r="O141" s="28" t="str">
        <x:v>Janela perdida no cliente</x:v>
      </x:c>
      <x:c r="P141" s="30" t="n">
        <x:v>0</x:v>
      </x:c>
    </x:row>
    <x:row r="142">
      <x:c r="A142" s="28" t="str">
        <x:v>PED-48141</x:v>
      </x:c>
      <x:c r="B142" s="34" t="n">
        <x:v>45352</x:v>
      </x:c>
      <x:c r="C142" s="28" t="str">
        <x:v>Grupo Industrial S.A.</x:v>
      </x:c>
      <x:c r="D142" s="28" t="str">
        <x:v>Planta Campinas</x:v>
      </x:c>
      <x:c r="E142" s="28" t="str">
        <x:v>Alimentos SA</x:v>
      </x:c>
      <x:c r="F142" s="28" t="str">
        <x:v>Sudeste</x:v>
      </x:c>
      <x:c r="G142" s="28" t="str">
        <x:v>NovaLog</x:v>
      </x:c>
      <x:c r="H142" s="28" t="str">
        <x:v>Campinas-Nordeste</x:v>
      </x:c>
      <x:c r="I142" s="34" t="n">
        <x:v>45363</x:v>
      </x:c>
      <x:c r="J142" s="34" t="n">
        <x:v>45363</x:v>
      </x:c>
      <x:c r="K142" s="32" t="n">
        <x:v>701</x:v>
      </x:c>
      <x:c r="L142" s="32" t="n">
        <x:v>701</x:v>
      </x:c>
      <x:c r="M142" s="30" t="n">
        <x:v>64492</x:v>
      </x:c>
      <x:c r="N142" s="28" t="str">
        <x:v>OTIF</x:v>
      </x:c>
      <x:c r="O142" s="28" t="str">
        <x:v>Janela perdida no cliente</x:v>
      </x:c>
      <x:c r="P142" s="30" t="n">
        <x:v>0</x:v>
      </x:c>
    </x:row>
    <x:row r="143">
      <x:c r="A143" s="28" t="str">
        <x:v>PED-48142</x:v>
      </x:c>
      <x:c r="B143" s="34" t="n">
        <x:v>45352</x:v>
      </x:c>
      <x:c r="C143" s="28" t="str">
        <x:v>Grupo Industrial S.A.</x:v>
      </x:c>
      <x:c r="D143" s="28" t="str">
        <x:v>Planta Campinas</x:v>
      </x:c>
      <x:c r="E143" s="28" t="str">
        <x:v>Farma Vida</x:v>
      </x:c>
      <x:c r="F143" s="28" t="str">
        <x:v>Sudeste</x:v>
      </x:c>
      <x:c r="G143" s="28" t="str">
        <x:v>NovaLog</x:v>
      </x:c>
      <x:c r="H143" s="28" t="str">
        <x:v>Campinas-Nordeste</x:v>
      </x:c>
      <x:c r="I143" s="34" t="n">
        <x:v>45366</x:v>
      </x:c>
      <x:c r="J143" s="34" t="n">
        <x:v>45371</x:v>
      </x:c>
      <x:c r="K143" s="32" t="n">
        <x:v>1521</x:v>
      </x:c>
      <x:c r="L143" s="32" t="n">
        <x:v>1521</x:v>
      </x:c>
      <x:c r="M143" s="30" t="n">
        <x:v>109512</x:v>
      </x:c>
      <x:c r="N143" s="28" t="str">
        <x:v>Em atraso</x:v>
      </x:c>
      <x:c r="O143" s="28" t="str">
        <x:v>Atraso transportadora</x:v>
      </x:c>
      <x:c r="P143" s="30" t="n">
        <x:v>109512</x:v>
      </x:c>
    </x:row>
    <x:row r="144">
      <x:c r="A144" s="28" t="str">
        <x:v>PED-48143</x:v>
      </x:c>
      <x:c r="B144" s="34" t="n">
        <x:v>45352</x:v>
      </x:c>
      <x:c r="C144" s="28" t="str">
        <x:v>Grupo Industrial S.A.</x:v>
      </x:c>
      <x:c r="D144" s="28" t="str">
        <x:v>Planta Campinas</x:v>
      </x:c>
      <x:c r="E144" s="28" t="str">
        <x:v>AutoPeças BR</x:v>
      </x:c>
      <x:c r="F144" s="28" t="str">
        <x:v>Sudeste</x:v>
      </x:c>
      <x:c r="G144" s="28" t="str">
        <x:v>NovaLog</x:v>
      </x:c>
      <x:c r="H144" s="28" t="str">
        <x:v>Campinas-Nordeste</x:v>
      </x:c>
      <x:c r="I144" s="34" t="n">
        <x:v>45369</x:v>
      </x:c>
      <x:c r="J144" s="34" t="n">
        <x:v>45369</x:v>
      </x:c>
      <x:c r="K144" s="32" t="n">
        <x:v>2122</x:v>
      </x:c>
      <x:c r="L144" s="32" t="n">
        <x:v>1774</x:v>
      </x:c>
      <x:c r="M144" s="30" t="n">
        <x:v>165516</x:v>
      </x:c>
      <x:c r="N144" s="28" t="str">
        <x:v>Incompleto</x:v>
      </x:c>
      <x:c r="O144" s="28" t="str">
        <x:v>Falta de produto</x:v>
      </x:c>
      <x:c r="P144" s="30" t="n">
        <x:v>165516</x:v>
      </x:c>
    </x:row>
    <x:row r="145">
      <x:c r="A145" s="28" t="str">
        <x:v>PED-48144</x:v>
      </x:c>
      <x:c r="B145" s="34" t="n">
        <x:v>45352</x:v>
      </x:c>
      <x:c r="C145" s="28" t="str">
        <x:v>Grupo Industrial S.A.</x:v>
      </x:c>
      <x:c r="D145" s="28" t="str">
        <x:v>Planta Campinas</x:v>
      </x:c>
      <x:c r="E145" s="28" t="str">
        <x:v>Construbem</x:v>
      </x:c>
      <x:c r="F145" s="28" t="str">
        <x:v>Sudeste</x:v>
      </x:c>
      <x:c r="G145" s="28" t="str">
        <x:v>NovaLog</x:v>
      </x:c>
      <x:c r="H145" s="28" t="str">
        <x:v>Campinas-Nordeste</x:v>
      </x:c>
      <x:c r="I145" s="34" t="n">
        <x:v>45372</x:v>
      </x:c>
      <x:c r="J145" s="34" t="n">
        <x:v>45373</x:v>
      </x:c>
      <x:c r="K145" s="32" t="n">
        <x:v>1030</x:v>
      </x:c>
      <x:c r="L145" s="32" t="n">
        <x:v>1030</x:v>
      </x:c>
      <x:c r="M145" s="30" t="n">
        <x:v>86520</x:v>
      </x:c>
      <x:c r="N145" s="28" t="str">
        <x:v>Em atraso</x:v>
      </x:c>
      <x:c r="O145" s="28" t="str">
        <x:v>Atraso transportadora</x:v>
      </x:c>
      <x:c r="P145" s="30" t="n">
        <x:v>86520</x:v>
      </x:c>
    </x:row>
    <x:row r="146">
      <x:c r="A146" s="28" t="str">
        <x:v>PED-48145</x:v>
      </x:c>
      <x:c r="B146" s="34" t="n">
        <x:v>45352</x:v>
      </x:c>
      <x:c r="C146" s="28" t="str">
        <x:v>Grupo Industrial S.A.</x:v>
      </x:c>
      <x:c r="D146" s="28" t="str">
        <x:v>Planta Curitiba</x:v>
      </x:c>
      <x:c r="E146" s="28" t="str">
        <x:v>Farma Vida</x:v>
      </x:c>
      <x:c r="F146" s="28" t="str">
        <x:v>Sul</x:v>
      </x:c>
      <x:c r="G146" s="28" t="str">
        <x:v>TransDados</x:v>
      </x:c>
      <x:c r="H146" s="28" t="str">
        <x:v>Curitiba-Sul</x:v>
      </x:c>
      <x:c r="I146" s="34" t="n">
        <x:v>45357</x:v>
      </x:c>
      <x:c r="J146" s="34" t="n">
        <x:v>45359</x:v>
      </x:c>
      <x:c r="K146" s="32" t="n">
        <x:v>934</x:v>
      </x:c>
      <x:c r="L146" s="32" t="n">
        <x:v>934</x:v>
      </x:c>
      <x:c r="M146" s="30" t="n">
        <x:v>67248</x:v>
      </x:c>
      <x:c r="N146" s="28" t="str">
        <x:v>Em atraso</x:v>
      </x:c>
      <x:c r="O146" s="28" t="str">
        <x:v>Atraso transportadora</x:v>
      </x:c>
      <x:c r="P146" s="30" t="n">
        <x:v>67248</x:v>
      </x:c>
    </x:row>
    <x:row r="147">
      <x:c r="A147" s="28" t="str">
        <x:v>PED-48146</x:v>
      </x:c>
      <x:c r="B147" s="34" t="n">
        <x:v>45352</x:v>
      </x:c>
      <x:c r="C147" s="28" t="str">
        <x:v>Grupo Industrial S.A.</x:v>
      </x:c>
      <x:c r="D147" s="28" t="str">
        <x:v>Planta Curitiba</x:v>
      </x:c>
      <x:c r="E147" s="28" t="str">
        <x:v>AutoPeças BR</x:v>
      </x:c>
      <x:c r="F147" s="28" t="str">
        <x:v>Sul</x:v>
      </x:c>
      <x:c r="G147" s="28" t="str">
        <x:v>TransDados</x:v>
      </x:c>
      <x:c r="H147" s="28" t="str">
        <x:v>Curitiba-Sul</x:v>
      </x:c>
      <x:c r="I147" s="34" t="n">
        <x:v>45360</x:v>
      </x:c>
      <x:c r="J147" s="34" t="n">
        <x:v>45361</x:v>
      </x:c>
      <x:c r="K147" s="32" t="n">
        <x:v>1968</x:v>
      </x:c>
      <x:c r="L147" s="32" t="n">
        <x:v>1968</x:v>
      </x:c>
      <x:c r="M147" s="30" t="n">
        <x:v>153504</x:v>
      </x:c>
      <x:c r="N147" s="28" t="str">
        <x:v>Em atraso</x:v>
      </x:c>
      <x:c r="O147" s="28" t="str">
        <x:v>Janela perdida no cliente</x:v>
      </x:c>
      <x:c r="P147" s="30" t="n">
        <x:v>153504</x:v>
      </x:c>
    </x:row>
    <x:row r="148">
      <x:c r="A148" s="28" t="str">
        <x:v>PED-48147</x:v>
      </x:c>
      <x:c r="B148" s="34" t="n">
        <x:v>45352</x:v>
      </x:c>
      <x:c r="C148" s="28" t="str">
        <x:v>Grupo Industrial S.A.</x:v>
      </x:c>
      <x:c r="D148" s="28" t="str">
        <x:v>Planta Curitiba</x:v>
      </x:c>
      <x:c r="E148" s="28" t="str">
        <x:v>Construbem</x:v>
      </x:c>
      <x:c r="F148" s="28" t="str">
        <x:v>Sul</x:v>
      </x:c>
      <x:c r="G148" s="28" t="str">
        <x:v>TransDados</x:v>
      </x:c>
      <x:c r="H148" s="28" t="str">
        <x:v>Curitiba-Sul</x:v>
      </x:c>
      <x:c r="I148" s="34" t="n">
        <x:v>45363</x:v>
      </x:c>
      <x:c r="J148" s="34" t="n">
        <x:v>45363</x:v>
      </x:c>
      <x:c r="K148" s="32" t="n">
        <x:v>2007</x:v>
      </x:c>
      <x:c r="L148" s="32" t="n">
        <x:v>2007</x:v>
      </x:c>
      <x:c r="M148" s="30" t="n">
        <x:v>184644</x:v>
      </x:c>
      <x:c r="N148" s="28" t="str">
        <x:v>OTIF</x:v>
      </x:c>
      <x:c r="O148" s="28" t="str">
        <x:v>Janela perdida no cliente</x:v>
      </x:c>
      <x:c r="P148" s="30" t="n">
        <x:v>0</x:v>
      </x:c>
    </x:row>
    <x:row r="149">
      <x:c r="A149" s="28" t="str">
        <x:v>PED-48148</x:v>
      </x:c>
      <x:c r="B149" s="34" t="n">
        <x:v>45352</x:v>
      </x:c>
      <x:c r="C149" s="28" t="str">
        <x:v>Grupo Industrial S.A.</x:v>
      </x:c>
      <x:c r="D149" s="28" t="str">
        <x:v>Planta Curitiba</x:v>
      </x:c>
      <x:c r="E149" s="28" t="str">
        <x:v>Alimentos SA</x:v>
      </x:c>
      <x:c r="F149" s="28" t="str">
        <x:v>Sul</x:v>
      </x:c>
      <x:c r="G149" s="28" t="str">
        <x:v>TransDados</x:v>
      </x:c>
      <x:c r="H149" s="28" t="str">
        <x:v>Curitiba-Sul</x:v>
      </x:c>
      <x:c r="I149" s="34" t="n">
        <x:v>45366</x:v>
      </x:c>
      <x:c r="J149" s="34" t="n">
        <x:v>45370</x:v>
      </x:c>
      <x:c r="K149" s="32" t="n">
        <x:v>1502</x:v>
      </x:c>
      <x:c r="L149" s="32" t="n">
        <x:v>1502</x:v>
      </x:c>
      <x:c r="M149" s="30" t="n">
        <x:v>138184</x:v>
      </x:c>
      <x:c r="N149" s="28" t="str">
        <x:v>Em atraso</x:v>
      </x:c>
      <x:c r="O149" s="28" t="str">
        <x:v>Atraso transportadora</x:v>
      </x:c>
      <x:c r="P149" s="30" t="n">
        <x:v>138184</x:v>
      </x:c>
    </x:row>
    <x:row r="150">
      <x:c r="A150" s="28" t="str">
        <x:v>PED-48149</x:v>
      </x:c>
      <x:c r="B150" s="34" t="n">
        <x:v>45352</x:v>
      </x:c>
      <x:c r="C150" s="28" t="str">
        <x:v>Grupo Industrial S.A.</x:v>
      </x:c>
      <x:c r="D150" s="28" t="str">
        <x:v>Planta Curitiba</x:v>
      </x:c>
      <x:c r="E150" s="28" t="str">
        <x:v>Farma Vida</x:v>
      </x:c>
      <x:c r="F150" s="28" t="str">
        <x:v>Sul</x:v>
      </x:c>
      <x:c r="G150" s="28" t="str">
        <x:v>TransDados</x:v>
      </x:c>
      <x:c r="H150" s="28" t="str">
        <x:v>Curitiba-Sul</x:v>
      </x:c>
      <x:c r="I150" s="34" t="n">
        <x:v>45369</x:v>
      </x:c>
      <x:c r="J150" s="34" t="n">
        <x:v>45369</x:v>
      </x:c>
      <x:c r="K150" s="32" t="n">
        <x:v>1680</x:v>
      </x:c>
      <x:c r="L150" s="32" t="n">
        <x:v>1601</x:v>
      </x:c>
      <x:c r="M150" s="30" t="n">
        <x:v>131040</x:v>
      </x:c>
      <x:c r="N150" s="28" t="str">
        <x:v>Incompleto</x:v>
      </x:c>
      <x:c r="O150" s="28" t="str">
        <x:v>Falta de produto</x:v>
      </x:c>
      <x:c r="P150" s="30" t="n">
        <x:v>131040</x:v>
      </x:c>
    </x:row>
    <x:row r="151">
      <x:c r="A151" s="28" t="str">
        <x:v>PED-48150</x:v>
      </x:c>
      <x:c r="B151" s="34" t="n">
        <x:v>45352</x:v>
      </x:c>
      <x:c r="C151" s="28" t="str">
        <x:v>Grupo Industrial S.A.</x:v>
      </x:c>
      <x:c r="D151" s="28" t="str">
        <x:v>Planta Curitiba</x:v>
      </x:c>
      <x:c r="E151" s="28" t="str">
        <x:v>AutoPeças BR</x:v>
      </x:c>
      <x:c r="F151" s="28" t="str">
        <x:v>Sul</x:v>
      </x:c>
      <x:c r="G151" s="28" t="str">
        <x:v>TransDados</x:v>
      </x:c>
      <x:c r="H151" s="28" t="str">
        <x:v>Curitiba-Sul</x:v>
      </x:c>
      <x:c r="I151" s="34" t="n">
        <x:v>45372</x:v>
      </x:c>
      <x:c r="J151" s="34" t="n">
        <x:v>45376</x:v>
      </x:c>
      <x:c r="K151" s="32" t="n">
        <x:v>1496</x:v>
      </x:c>
      <x:c r="L151" s="32" t="n">
        <x:v>1252</x:v>
      </x:c>
      <x:c r="M151" s="30" t="n">
        <x:v>137632</x:v>
      </x:c>
      <x:c r="N151" s="28" t="str">
        <x:v>Em atraso</x:v>
      </x:c>
      <x:c r="O151" s="28" t="str">
        <x:v>Falta de produto</x:v>
      </x:c>
      <x:c r="P151" s="30" t="n">
        <x:v>137632</x:v>
      </x:c>
    </x:row>
    <x:row r="152">
      <x:c r="A152" s="28" t="str">
        <x:v>PED-48151</x:v>
      </x:c>
      <x:c r="B152" s="34" t="n">
        <x:v>45352</x:v>
      </x:c>
      <x:c r="C152" s="28" t="str">
        <x:v>Grupo Industrial S.A.</x:v>
      </x:c>
      <x:c r="D152" s="28" t="str">
        <x:v>Planta Curitiba</x:v>
      </x:c>
      <x:c r="E152" s="28" t="str">
        <x:v>Alimentos SA</x:v>
      </x:c>
      <x:c r="F152" s="28" t="str">
        <x:v>Sul</x:v>
      </x:c>
      <x:c r="G152" s="28" t="str">
        <x:v>RápidoSul</x:v>
      </x:c>
      <x:c r="H152" s="28" t="str">
        <x:v>Curitiba-Sudeste</x:v>
      </x:c>
      <x:c r="I152" s="34" t="n">
        <x:v>45357</x:v>
      </x:c>
      <x:c r="J152" s="34" t="n">
        <x:v>45357</x:v>
      </x:c>
      <x:c r="K152" s="32" t="n">
        <x:v>1241</x:v>
      </x:c>
      <x:c r="L152" s="32" t="n">
        <x:v>1241</x:v>
      </x:c>
      <x:c r="M152" s="30" t="n">
        <x:v>104244</x:v>
      </x:c>
      <x:c r="N152" s="28" t="str">
        <x:v>OTIF</x:v>
      </x:c>
      <x:c r="O152" s="28" t="str">
        <x:v>Janela perdida no cliente</x:v>
      </x:c>
      <x:c r="P152" s="30" t="n">
        <x:v>0</x:v>
      </x:c>
    </x:row>
    <x:row r="153">
      <x:c r="A153" s="28" t="str">
        <x:v>PED-48152</x:v>
      </x:c>
      <x:c r="B153" s="34" t="n">
        <x:v>45352</x:v>
      </x:c>
      <x:c r="C153" s="28" t="str">
        <x:v>Grupo Industrial S.A.</x:v>
      </x:c>
      <x:c r="D153" s="28" t="str">
        <x:v>Planta Curitiba</x:v>
      </x:c>
      <x:c r="E153" s="28" t="str">
        <x:v>Farma Vida</x:v>
      </x:c>
      <x:c r="F153" s="28" t="str">
        <x:v>Sul</x:v>
      </x:c>
      <x:c r="G153" s="28" t="str">
        <x:v>RápidoSul</x:v>
      </x:c>
      <x:c r="H153" s="28" t="str">
        <x:v>Curitiba-Sudeste</x:v>
      </x:c>
      <x:c r="I153" s="34" t="n">
        <x:v>45360</x:v>
      </x:c>
      <x:c r="J153" s="34" t="n">
        <x:v>45360</x:v>
      </x:c>
      <x:c r="K153" s="32" t="n">
        <x:v>1680</x:v>
      </x:c>
      <x:c r="L153" s="32" t="n">
        <x:v>1680</x:v>
      </x:c>
      <x:c r="M153" s="30" t="n">
        <x:v>154560</x:v>
      </x:c>
      <x:c r="N153" s="28" t="str">
        <x:v>OTIF</x:v>
      </x:c>
      <x:c r="O153" s="28" t="str">
        <x:v>Janela perdida no cliente</x:v>
      </x:c>
      <x:c r="P153" s="30" t="n">
        <x:v>0</x:v>
      </x:c>
    </x:row>
    <x:row r="154">
      <x:c r="A154" s="28" t="str">
        <x:v>PED-48153</x:v>
      </x:c>
      <x:c r="B154" s="34" t="n">
        <x:v>45352</x:v>
      </x:c>
      <x:c r="C154" s="28" t="str">
        <x:v>Grupo Industrial S.A.</x:v>
      </x:c>
      <x:c r="D154" s="28" t="str">
        <x:v>Planta Curitiba</x:v>
      </x:c>
      <x:c r="E154" s="28" t="str">
        <x:v>AutoPeças BR</x:v>
      </x:c>
      <x:c r="F154" s="28" t="str">
        <x:v>Sul</x:v>
      </x:c>
      <x:c r="G154" s="28" t="str">
        <x:v>RápidoSul</x:v>
      </x:c>
      <x:c r="H154" s="28" t="str">
        <x:v>Curitiba-Sudeste</x:v>
      </x:c>
      <x:c r="I154" s="34" t="n">
        <x:v>45363</x:v>
      </x:c>
      <x:c r="J154" s="34" t="n">
        <x:v>45367</x:v>
      </x:c>
      <x:c r="K154" s="32" t="n">
        <x:v>1563</x:v>
      </x:c>
      <x:c r="L154" s="32" t="n">
        <x:v>1563</x:v>
      </x:c>
      <x:c r="M154" s="30" t="n">
        <x:v>112536</x:v>
      </x:c>
      <x:c r="N154" s="28" t="str">
        <x:v>Em atraso</x:v>
      </x:c>
      <x:c r="O154" s="28" t="str">
        <x:v>Atraso transportadora</x:v>
      </x:c>
      <x:c r="P154" s="30" t="n">
        <x:v>112536</x:v>
      </x:c>
    </x:row>
    <x:row r="155">
      <x:c r="A155" s="28" t="str">
        <x:v>PED-48154</x:v>
      </x:c>
      <x:c r="B155" s="34" t="n">
        <x:v>45352</x:v>
      </x:c>
      <x:c r="C155" s="28" t="str">
        <x:v>Grupo Industrial S.A.</x:v>
      </x:c>
      <x:c r="D155" s="28" t="str">
        <x:v>Planta Curitiba</x:v>
      </x:c>
      <x:c r="E155" s="28" t="str">
        <x:v>Construbem</x:v>
      </x:c>
      <x:c r="F155" s="28" t="str">
        <x:v>Sul</x:v>
      </x:c>
      <x:c r="G155" s="28" t="str">
        <x:v>RápidoSul</x:v>
      </x:c>
      <x:c r="H155" s="28" t="str">
        <x:v>Curitiba-Sudeste</x:v>
      </x:c>
      <x:c r="I155" s="34" t="n">
        <x:v>45366</x:v>
      </x:c>
      <x:c r="J155" s="34" t="n">
        <x:v>45366</x:v>
      </x:c>
      <x:c r="K155" s="32" t="n">
        <x:v>1310</x:v>
      </x:c>
      <x:c r="L155" s="32" t="n">
        <x:v>1310</x:v>
      </x:c>
      <x:c r="M155" s="30" t="n">
        <x:v>94320</x:v>
      </x:c>
      <x:c r="N155" s="28" t="str">
        <x:v>OTIF</x:v>
      </x:c>
      <x:c r="O155" s="28" t="str">
        <x:v>Janela perdida no cliente</x:v>
      </x:c>
      <x:c r="P155" s="30" t="n">
        <x:v>0</x:v>
      </x:c>
    </x:row>
    <x:row r="156">
      <x:c r="A156" s="28" t="str">
        <x:v>PED-48155</x:v>
      </x:c>
      <x:c r="B156" s="34" t="n">
        <x:v>45352</x:v>
      </x:c>
      <x:c r="C156" s="28" t="str">
        <x:v>Grupo Industrial S.A.</x:v>
      </x:c>
      <x:c r="D156" s="28" t="str">
        <x:v>Planta Curitiba</x:v>
      </x:c>
      <x:c r="E156" s="28" t="str">
        <x:v>Alimentos SA</x:v>
      </x:c>
      <x:c r="F156" s="28" t="str">
        <x:v>Sul</x:v>
      </x:c>
      <x:c r="G156" s="28" t="str">
        <x:v>RápidoSul</x:v>
      </x:c>
      <x:c r="H156" s="28" t="str">
        <x:v>Curitiba-Sudeste</x:v>
      </x:c>
      <x:c r="I156" s="34" t="n">
        <x:v>45369</x:v>
      </x:c>
      <x:c r="J156" s="34" t="n">
        <x:v>45369</x:v>
      </x:c>
      <x:c r="K156" s="32" t="n">
        <x:v>808</x:v>
      </x:c>
      <x:c r="L156" s="32" t="n">
        <x:v>808</x:v>
      </x:c>
      <x:c r="M156" s="30" t="n">
        <x:v>63024</x:v>
      </x:c>
      <x:c r="N156" s="28" t="str">
        <x:v>OTIF</x:v>
      </x:c>
      <x:c r="O156" s="28" t="str">
        <x:v>Janela perdida no cliente</x:v>
      </x:c>
      <x:c r="P156" s="30" t="n">
        <x:v>0</x:v>
      </x:c>
    </x:row>
    <x:row r="157">
      <x:c r="A157" s="28" t="str">
        <x:v>PED-48156</x:v>
      </x:c>
      <x:c r="B157" s="34" t="n">
        <x:v>45352</x:v>
      </x:c>
      <x:c r="C157" s="28" t="str">
        <x:v>Grupo Industrial S.A.</x:v>
      </x:c>
      <x:c r="D157" s="28" t="str">
        <x:v>Planta Curitiba</x:v>
      </x:c>
      <x:c r="E157" s="28" t="str">
        <x:v>Farma Vida</x:v>
      </x:c>
      <x:c r="F157" s="28" t="str">
        <x:v>Sul</x:v>
      </x:c>
      <x:c r="G157" s="28" t="str">
        <x:v>RápidoSul</x:v>
      </x:c>
      <x:c r="H157" s="28" t="str">
        <x:v>Curitiba-Sudeste</x:v>
      </x:c>
      <x:c r="I157" s="34" t="n">
        <x:v>45372</x:v>
      </x:c>
      <x:c r="J157" s="34" t="n">
        <x:v>45372</x:v>
      </x:c>
      <x:c r="K157" s="32" t="n">
        <x:v>2032</x:v>
      </x:c>
      <x:c r="L157" s="32" t="n">
        <x:v>2032</x:v>
      </x:c>
      <x:c r="M157" s="30" t="n">
        <x:v>158496</x:v>
      </x:c>
      <x:c r="N157" s="28" t="str">
        <x:v>OTIF</x:v>
      </x:c>
      <x:c r="O157" s="28" t="str">
        <x:v>Janela perdida no cliente</x:v>
      </x:c>
      <x:c r="P157" s="30" t="n">
        <x:v>0</x:v>
      </x:c>
    </x:row>
    <x:row r="158">
      <x:c r="A158" s="28" t="str">
        <x:v>PED-48157</x:v>
      </x:c>
      <x:c r="B158" s="34" t="n">
        <x:v>45352</x:v>
      </x:c>
      <x:c r="C158" s="28" t="str">
        <x:v>Grupo Industrial S.A.</x:v>
      </x:c>
      <x:c r="D158" s="28" t="str">
        <x:v>Planta Curitiba</x:v>
      </x:c>
      <x:c r="E158" s="28" t="str">
        <x:v>Construbem</x:v>
      </x:c>
      <x:c r="F158" s="28" t="str">
        <x:v>Sul</x:v>
      </x:c>
      <x:c r="G158" s="28" t="str">
        <x:v>NovaLog</x:v>
      </x:c>
      <x:c r="H158" s="28" t="str">
        <x:v>Curitiba-Centro-Oeste</x:v>
      </x:c>
      <x:c r="I158" s="34" t="n">
        <x:v>45357</x:v>
      </x:c>
      <x:c r="J158" s="34" t="n">
        <x:v>45357</x:v>
      </x:c>
      <x:c r="K158" s="32" t="n">
        <x:v>1059</x:v>
      </x:c>
      <x:c r="L158" s="32" t="n">
        <x:v>935</x:v>
      </x:c>
      <x:c r="M158" s="30" t="n">
        <x:v>97428</x:v>
      </x:c>
      <x:c r="N158" s="28" t="str">
        <x:v>Incompleto</x:v>
      </x:c>
      <x:c r="O158" s="28" t="str">
        <x:v>Falta de produto</x:v>
      </x:c>
      <x:c r="P158" s="30" t="n">
        <x:v>97428</x:v>
      </x:c>
    </x:row>
    <x:row r="159">
      <x:c r="A159" s="28" t="str">
        <x:v>PED-48158</x:v>
      </x:c>
      <x:c r="B159" s="34" t="n">
        <x:v>45352</x:v>
      </x:c>
      <x:c r="C159" s="28" t="str">
        <x:v>Grupo Industrial S.A.</x:v>
      </x:c>
      <x:c r="D159" s="28" t="str">
        <x:v>Planta Curitiba</x:v>
      </x:c>
      <x:c r="E159" s="28" t="str">
        <x:v>Alimentos SA</x:v>
      </x:c>
      <x:c r="F159" s="28" t="str">
        <x:v>Sul</x:v>
      </x:c>
      <x:c r="G159" s="28" t="str">
        <x:v>NovaLog</x:v>
      </x:c>
      <x:c r="H159" s="28" t="str">
        <x:v>Curitiba-Centro-Oeste</x:v>
      </x:c>
      <x:c r="I159" s="34" t="n">
        <x:v>45360</x:v>
      </x:c>
      <x:c r="J159" s="34" t="n">
        <x:v>45360</x:v>
      </x:c>
      <x:c r="K159" s="32" t="n">
        <x:v>1694</x:v>
      </x:c>
      <x:c r="L159" s="32" t="n">
        <x:v>1694</x:v>
      </x:c>
      <x:c r="M159" s="30" t="n">
        <x:v>155848</x:v>
      </x:c>
      <x:c r="N159" s="28" t="str">
        <x:v>OTIF</x:v>
      </x:c>
      <x:c r="O159" s="28" t="str">
        <x:v>Janela perdida no cliente</x:v>
      </x:c>
      <x:c r="P159" s="30" t="n">
        <x:v>0</x:v>
      </x:c>
    </x:row>
    <x:row r="160">
      <x:c r="A160" s="28" t="str">
        <x:v>PED-48159</x:v>
      </x:c>
      <x:c r="B160" s="34" t="n">
        <x:v>45352</x:v>
      </x:c>
      <x:c r="C160" s="28" t="str">
        <x:v>Grupo Industrial S.A.</x:v>
      </x:c>
      <x:c r="D160" s="28" t="str">
        <x:v>Planta Curitiba</x:v>
      </x:c>
      <x:c r="E160" s="28" t="str">
        <x:v>Farma Vida</x:v>
      </x:c>
      <x:c r="F160" s="28" t="str">
        <x:v>Sul</x:v>
      </x:c>
      <x:c r="G160" s="28" t="str">
        <x:v>NovaLog</x:v>
      </x:c>
      <x:c r="H160" s="28" t="str">
        <x:v>Curitiba-Centro-Oeste</x:v>
      </x:c>
      <x:c r="I160" s="34" t="n">
        <x:v>45363</x:v>
      </x:c>
      <x:c r="J160" s="34" t="n">
        <x:v>45363</x:v>
      </x:c>
      <x:c r="K160" s="32" t="n">
        <x:v>1207</x:v>
      </x:c>
      <x:c r="L160" s="32" t="n">
        <x:v>1207</x:v>
      </x:c>
      <x:c r="M160" s="30" t="n">
        <x:v>94146</x:v>
      </x:c>
      <x:c r="N160" s="28" t="str">
        <x:v>OTIF</x:v>
      </x:c>
      <x:c r="O160" s="28" t="str">
        <x:v>Janela perdida no cliente</x:v>
      </x:c>
      <x:c r="P160" s="30" t="n">
        <x:v>0</x:v>
      </x:c>
    </x:row>
    <x:row r="161">
      <x:c r="A161" s="28" t="str">
        <x:v>PED-48160</x:v>
      </x:c>
      <x:c r="B161" s="34" t="n">
        <x:v>45352</x:v>
      </x:c>
      <x:c r="C161" s="28" t="str">
        <x:v>Grupo Industrial S.A.</x:v>
      </x:c>
      <x:c r="D161" s="28" t="str">
        <x:v>Planta Curitiba</x:v>
      </x:c>
      <x:c r="E161" s="28" t="str">
        <x:v>AutoPeças BR</x:v>
      </x:c>
      <x:c r="F161" s="28" t="str">
        <x:v>Sul</x:v>
      </x:c>
      <x:c r="G161" s="28" t="str">
        <x:v>NovaLog</x:v>
      </x:c>
      <x:c r="H161" s="28" t="str">
        <x:v>Curitiba-Centro-Oeste</x:v>
      </x:c>
      <x:c r="I161" s="34" t="n">
        <x:v>45366</x:v>
      </x:c>
      <x:c r="J161" s="34" t="n">
        <x:v>45367</x:v>
      </x:c>
      <x:c r="K161" s="32" t="n">
        <x:v>1392</x:v>
      </x:c>
      <x:c r="L161" s="32" t="n">
        <x:v>1392</x:v>
      </x:c>
      <x:c r="M161" s="30" t="n">
        <x:v>116928</x:v>
      </x:c>
      <x:c r="N161" s="28" t="str">
        <x:v>Em atraso</x:v>
      </x:c>
      <x:c r="O161" s="28" t="str">
        <x:v>Atraso transportadora</x:v>
      </x:c>
      <x:c r="P161" s="30" t="n">
        <x:v>116928</x:v>
      </x:c>
    </x:row>
    <x:row r="162">
      <x:c r="A162" s="28" t="str">
        <x:v>PED-48161</x:v>
      </x:c>
      <x:c r="B162" s="34" t="n">
        <x:v>45352</x:v>
      </x:c>
      <x:c r="C162" s="28" t="str">
        <x:v>Grupo Industrial S.A.</x:v>
      </x:c>
      <x:c r="D162" s="28" t="str">
        <x:v>Planta Curitiba</x:v>
      </x:c>
      <x:c r="E162" s="28" t="str">
        <x:v>Construbem</x:v>
      </x:c>
      <x:c r="F162" s="28" t="str">
        <x:v>Sul</x:v>
      </x:c>
      <x:c r="G162" s="28" t="str">
        <x:v>NovaLog</x:v>
      </x:c>
      <x:c r="H162" s="28" t="str">
        <x:v>Curitiba-Centro-Oeste</x:v>
      </x:c>
      <x:c r="I162" s="34" t="n">
        <x:v>45369</x:v>
      </x:c>
      <x:c r="J162" s="34" t="n">
        <x:v>45369</x:v>
      </x:c>
      <x:c r="K162" s="32" t="n">
        <x:v>847</x:v>
      </x:c>
      <x:c r="L162" s="32" t="n">
        <x:v>847</x:v>
      </x:c>
      <x:c r="M162" s="30" t="n">
        <x:v>77924</x:v>
      </x:c>
      <x:c r="N162" s="28" t="str">
        <x:v>OTIF</x:v>
      </x:c>
      <x:c r="O162" s="28" t="str">
        <x:v>Janela perdida no cliente</x:v>
      </x:c>
      <x:c r="P162" s="30" t="n">
        <x:v>0</x:v>
      </x:c>
    </x:row>
    <x:row r="163">
      <x:c r="A163" s="28" t="str">
        <x:v>PED-48162</x:v>
      </x:c>
      <x:c r="B163" s="34" t="n">
        <x:v>45352</x:v>
      </x:c>
      <x:c r="C163" s="28" t="str">
        <x:v>Grupo Industrial S.A.</x:v>
      </x:c>
      <x:c r="D163" s="28" t="str">
        <x:v>Planta Curitiba</x:v>
      </x:c>
      <x:c r="E163" s="28" t="str">
        <x:v>Alimentos SA</x:v>
      </x:c>
      <x:c r="F163" s="28" t="str">
        <x:v>Sul</x:v>
      </x:c>
      <x:c r="G163" s="28" t="str">
        <x:v>NovaLog</x:v>
      </x:c>
      <x:c r="H163" s="28" t="str">
        <x:v>Curitiba-Centro-Oeste</x:v>
      </x:c>
      <x:c r="I163" s="34" t="n">
        <x:v>45372</x:v>
      </x:c>
      <x:c r="J163" s="34" t="n">
        <x:v>45376</x:v>
      </x:c>
      <x:c r="K163" s="32" t="n">
        <x:v>989</x:v>
      </x:c>
      <x:c r="L163" s="32" t="n">
        <x:v>989</x:v>
      </x:c>
      <x:c r="M163" s="30" t="n">
        <x:v>90988</x:v>
      </x:c>
      <x:c r="N163" s="28" t="str">
        <x:v>Em atraso</x:v>
      </x:c>
      <x:c r="O163" s="28" t="str">
        <x:v>Atraso transportadora</x:v>
      </x:c>
      <x:c r="P163" s="30" t="n">
        <x:v>90988</x:v>
      </x:c>
    </x:row>
    <x:row r="164">
      <x:c r="A164" s="28" t="str">
        <x:v>PED-48163</x:v>
      </x:c>
      <x:c r="B164" s="34" t="n">
        <x:v>45383</x:v>
      </x:c>
      <x:c r="C164" s="28" t="str">
        <x:v>Grupo Industrial S.A.</x:v>
      </x:c>
      <x:c r="D164" s="28" t="str">
        <x:v>Planta São Paulo</x:v>
      </x:c>
      <x:c r="E164" s="28" t="str">
        <x:v>AutoPeças BR</x:v>
      </x:c>
      <x:c r="F164" s="28" t="str">
        <x:v>Sudeste</x:v>
      </x:c>
      <x:c r="G164" s="28" t="str">
        <x:v>TransDados</x:v>
      </x:c>
      <x:c r="H164" s="28" t="str">
        <x:v>SP-Sudeste</x:v>
      </x:c>
      <x:c r="I164" s="34" t="n">
        <x:v>45388</x:v>
      </x:c>
      <x:c r="J164" s="34" t="n">
        <x:v>45388</x:v>
      </x:c>
      <x:c r="K164" s="32" t="n">
        <x:v>1846</x:v>
      </x:c>
      <x:c r="L164" s="32" t="n">
        <x:v>1846</x:v>
      </x:c>
      <x:c r="M164" s="30" t="n">
        <x:v>143988</x:v>
      </x:c>
      <x:c r="N164" s="28" t="str">
        <x:v>OTIF</x:v>
      </x:c>
      <x:c r="O164" s="28" t="str">
        <x:v>Janela perdida no cliente</x:v>
      </x:c>
      <x:c r="P164" s="30" t="n">
        <x:v>0</x:v>
      </x:c>
    </x:row>
    <x:row r="165">
      <x:c r="A165" s="28" t="str">
        <x:v>PED-48164</x:v>
      </x:c>
      <x:c r="B165" s="34" t="n">
        <x:v>45383</x:v>
      </x:c>
      <x:c r="C165" s="28" t="str">
        <x:v>Grupo Industrial S.A.</x:v>
      </x:c>
      <x:c r="D165" s="28" t="str">
        <x:v>Planta São Paulo</x:v>
      </x:c>
      <x:c r="E165" s="28" t="str">
        <x:v>Construbem</x:v>
      </x:c>
      <x:c r="F165" s="28" t="str">
        <x:v>Sudeste</x:v>
      </x:c>
      <x:c r="G165" s="28" t="str">
        <x:v>TransDados</x:v>
      </x:c>
      <x:c r="H165" s="28" t="str">
        <x:v>SP-Sudeste</x:v>
      </x:c>
      <x:c r="I165" s="34" t="n">
        <x:v>45391</x:v>
      </x:c>
      <x:c r="J165" s="34" t="n">
        <x:v>45391</x:v>
      </x:c>
      <x:c r="K165" s="32" t="n">
        <x:v>1045</x:v>
      </x:c>
      <x:c r="L165" s="32" t="n">
        <x:v>957</x:v>
      </x:c>
      <x:c r="M165" s="30" t="n">
        <x:v>96140</x:v>
      </x:c>
      <x:c r="N165" s="28" t="str">
        <x:v>Incompleto</x:v>
      </x:c>
      <x:c r="O165" s="28" t="str">
        <x:v>Falta de produto</x:v>
      </x:c>
      <x:c r="P165" s="30" t="n">
        <x:v>96140</x:v>
      </x:c>
    </x:row>
    <x:row r="166">
      <x:c r="A166" s="28" t="str">
        <x:v>PED-48165</x:v>
      </x:c>
      <x:c r="B166" s="34" t="n">
        <x:v>45383</x:v>
      </x:c>
      <x:c r="C166" s="28" t="str">
        <x:v>Grupo Industrial S.A.</x:v>
      </x:c>
      <x:c r="D166" s="28" t="str">
        <x:v>Planta São Paulo</x:v>
      </x:c>
      <x:c r="E166" s="28" t="str">
        <x:v>Alimentos SA</x:v>
      </x:c>
      <x:c r="F166" s="28" t="str">
        <x:v>Sudeste</x:v>
      </x:c>
      <x:c r="G166" s="28" t="str">
        <x:v>TransDados</x:v>
      </x:c>
      <x:c r="H166" s="28" t="str">
        <x:v>SP-Sudeste</x:v>
      </x:c>
      <x:c r="I166" s="34" t="n">
        <x:v>45394</x:v>
      </x:c>
      <x:c r="J166" s="34" t="n">
        <x:v>45394</x:v>
      </x:c>
      <x:c r="K166" s="32" t="n">
        <x:v>865</x:v>
      </x:c>
      <x:c r="L166" s="32" t="n">
        <x:v>865</x:v>
      </x:c>
      <x:c r="M166" s="30" t="n">
        <x:v>62280</x:v>
      </x:c>
      <x:c r="N166" s="28" t="str">
        <x:v>OTIF</x:v>
      </x:c>
      <x:c r="O166" s="28" t="str">
        <x:v>Janela perdida no cliente</x:v>
      </x:c>
      <x:c r="P166" s="30" t="n">
        <x:v>0</x:v>
      </x:c>
    </x:row>
    <x:row r="167">
      <x:c r="A167" s="28" t="str">
        <x:v>PED-48166</x:v>
      </x:c>
      <x:c r="B167" s="34" t="n">
        <x:v>45383</x:v>
      </x:c>
      <x:c r="C167" s="28" t="str">
        <x:v>Grupo Industrial S.A.</x:v>
      </x:c>
      <x:c r="D167" s="28" t="str">
        <x:v>Planta São Paulo</x:v>
      </x:c>
      <x:c r="E167" s="28" t="str">
        <x:v>Farma Vida</x:v>
      </x:c>
      <x:c r="F167" s="28" t="str">
        <x:v>Sudeste</x:v>
      </x:c>
      <x:c r="G167" s="28" t="str">
        <x:v>TransDados</x:v>
      </x:c>
      <x:c r="H167" s="28" t="str">
        <x:v>SP-Sudeste</x:v>
      </x:c>
      <x:c r="I167" s="34" t="n">
        <x:v>45397</x:v>
      </x:c>
      <x:c r="J167" s="34" t="n">
        <x:v>45397</x:v>
      </x:c>
      <x:c r="K167" s="32" t="n">
        <x:v>1245</x:v>
      </x:c>
      <x:c r="L167" s="32" t="n">
        <x:v>1245</x:v>
      </x:c>
      <x:c r="M167" s="30" t="n">
        <x:v>97110</x:v>
      </x:c>
      <x:c r="N167" s="28" t="str">
        <x:v>OTIF</x:v>
      </x:c>
      <x:c r="O167" s="28" t="str">
        <x:v>Janela perdida no cliente</x:v>
      </x:c>
      <x:c r="P167" s="30" t="n">
        <x:v>0</x:v>
      </x:c>
    </x:row>
    <x:row r="168">
      <x:c r="A168" s="28" t="str">
        <x:v>PED-48167</x:v>
      </x:c>
      <x:c r="B168" s="34" t="n">
        <x:v>45383</x:v>
      </x:c>
      <x:c r="C168" s="28" t="str">
        <x:v>Grupo Industrial S.A.</x:v>
      </x:c>
      <x:c r="D168" s="28" t="str">
        <x:v>Planta São Paulo</x:v>
      </x:c>
      <x:c r="E168" s="28" t="str">
        <x:v>AutoPeças BR</x:v>
      </x:c>
      <x:c r="F168" s="28" t="str">
        <x:v>Sudeste</x:v>
      </x:c>
      <x:c r="G168" s="28" t="str">
        <x:v>TransDados</x:v>
      </x:c>
      <x:c r="H168" s="28" t="str">
        <x:v>SP-Sudeste</x:v>
      </x:c>
      <x:c r="I168" s="34" t="n">
        <x:v>45400</x:v>
      </x:c>
      <x:c r="J168" s="34" t="n">
        <x:v>45400</x:v>
      </x:c>
      <x:c r="K168" s="32" t="n">
        <x:v>1442</x:v>
      </x:c>
      <x:c r="L168" s="32" t="n">
        <x:v>1442</x:v>
      </x:c>
      <x:c r="M168" s="30" t="n">
        <x:v>121128</x:v>
      </x:c>
      <x:c r="N168" s="28" t="str">
        <x:v>OTIF</x:v>
      </x:c>
      <x:c r="O168" s="28" t="str">
        <x:v>Janela perdida no cliente</x:v>
      </x:c>
      <x:c r="P168" s="30" t="n">
        <x:v>0</x:v>
      </x:c>
    </x:row>
    <x:row r="169">
      <x:c r="A169" s="28" t="str">
        <x:v>PED-48168</x:v>
      </x:c>
      <x:c r="B169" s="34" t="n">
        <x:v>45383</x:v>
      </x:c>
      <x:c r="C169" s="28" t="str">
        <x:v>Grupo Industrial S.A.</x:v>
      </x:c>
      <x:c r="D169" s="28" t="str">
        <x:v>Planta São Paulo</x:v>
      </x:c>
      <x:c r="E169" s="28" t="str">
        <x:v>Construbem</x:v>
      </x:c>
      <x:c r="F169" s="28" t="str">
        <x:v>Sudeste</x:v>
      </x:c>
      <x:c r="G169" s="28" t="str">
        <x:v>TransDados</x:v>
      </x:c>
      <x:c r="H169" s="28" t="str">
        <x:v>SP-Sudeste</x:v>
      </x:c>
      <x:c r="I169" s="34" t="n">
        <x:v>45403</x:v>
      </x:c>
      <x:c r="J169" s="34" t="n">
        <x:v>45403</x:v>
      </x:c>
      <x:c r="K169" s="32" t="n">
        <x:v>833</x:v>
      </x:c>
      <x:c r="L169" s="32" t="n">
        <x:v>833</x:v>
      </x:c>
      <x:c r="M169" s="30" t="n">
        <x:v>76636</x:v>
      </x:c>
      <x:c r="N169" s="28" t="str">
        <x:v>OTIF</x:v>
      </x:c>
      <x:c r="O169" s="28" t="str">
        <x:v>Janela perdida no cliente</x:v>
      </x:c>
      <x:c r="P169" s="30" t="n">
        <x:v>0</x:v>
      </x:c>
    </x:row>
    <x:row r="170">
      <x:c r="A170" s="28" t="str">
        <x:v>PED-48169</x:v>
      </x:c>
      <x:c r="B170" s="34" t="n">
        <x:v>45383</x:v>
      </x:c>
      <x:c r="C170" s="28" t="str">
        <x:v>Grupo Industrial S.A.</x:v>
      </x:c>
      <x:c r="D170" s="28" t="str">
        <x:v>Planta São Paulo</x:v>
      </x:c>
      <x:c r="E170" s="28" t="str">
        <x:v>Farma Vida</x:v>
      </x:c>
      <x:c r="F170" s="28" t="str">
        <x:v>Sudeste</x:v>
      </x:c>
      <x:c r="G170" s="28" t="str">
        <x:v>RápidoSul</x:v>
      </x:c>
      <x:c r="H170" s="28" t="str">
        <x:v>SP-Centro-Oeste</x:v>
      </x:c>
      <x:c r="I170" s="34" t="n">
        <x:v>45388</x:v>
      </x:c>
      <x:c r="J170" s="34" t="n">
        <x:v>45388</x:v>
      </x:c>
      <x:c r="K170" s="32" t="n">
        <x:v>1149</x:v>
      </x:c>
      <x:c r="L170" s="32" t="n">
        <x:v>1149</x:v>
      </x:c>
      <x:c r="M170" s="30" t="n">
        <x:v>96516</x:v>
      </x:c>
      <x:c r="N170" s="28" t="str">
        <x:v>OTIF</x:v>
      </x:c>
      <x:c r="O170" s="28" t="str">
        <x:v>Janela perdida no cliente</x:v>
      </x:c>
      <x:c r="P170" s="30" t="n">
        <x:v>0</x:v>
      </x:c>
    </x:row>
    <x:row r="171">
      <x:c r="A171" s="28" t="str">
        <x:v>PED-48170</x:v>
      </x:c>
      <x:c r="B171" s="34" t="n">
        <x:v>45383</x:v>
      </x:c>
      <x:c r="C171" s="28" t="str">
        <x:v>Grupo Industrial S.A.</x:v>
      </x:c>
      <x:c r="D171" s="28" t="str">
        <x:v>Planta São Paulo</x:v>
      </x:c>
      <x:c r="E171" s="28" t="str">
        <x:v>AutoPeças BR</x:v>
      </x:c>
      <x:c r="F171" s="28" t="str">
        <x:v>Sudeste</x:v>
      </x:c>
      <x:c r="G171" s="28" t="str">
        <x:v>RápidoSul</x:v>
      </x:c>
      <x:c r="H171" s="28" t="str">
        <x:v>SP-Centro-Oeste</x:v>
      </x:c>
      <x:c r="I171" s="34" t="n">
        <x:v>45391</x:v>
      </x:c>
      <x:c r="J171" s="34" t="n">
        <x:v>45392</x:v>
      </x:c>
      <x:c r="K171" s="32" t="n">
        <x:v>1578</x:v>
      </x:c>
      <x:c r="L171" s="32" t="n">
        <x:v>1578</x:v>
      </x:c>
      <x:c r="M171" s="30" t="n">
        <x:v>113616</x:v>
      </x:c>
      <x:c r="N171" s="28" t="str">
        <x:v>Em atraso</x:v>
      </x:c>
      <x:c r="O171" s="28" t="str">
        <x:v>Atraso transportadora</x:v>
      </x:c>
      <x:c r="P171" s="30" t="n">
        <x:v>113616</x:v>
      </x:c>
    </x:row>
    <x:row r="172">
      <x:c r="A172" s="28" t="str">
        <x:v>PED-48171</x:v>
      </x:c>
      <x:c r="B172" s="34" t="n">
        <x:v>45383</x:v>
      </x:c>
      <x:c r="C172" s="28" t="str">
        <x:v>Grupo Industrial S.A.</x:v>
      </x:c>
      <x:c r="D172" s="28" t="str">
        <x:v>Planta São Paulo</x:v>
      </x:c>
      <x:c r="E172" s="28" t="str">
        <x:v>Construbem</x:v>
      </x:c>
      <x:c r="F172" s="28" t="str">
        <x:v>Sudeste</x:v>
      </x:c>
      <x:c r="G172" s="28" t="str">
        <x:v>RápidoSul</x:v>
      </x:c>
      <x:c r="H172" s="28" t="str">
        <x:v>SP-Centro-Oeste</x:v>
      </x:c>
      <x:c r="I172" s="34" t="n">
        <x:v>45394</x:v>
      </x:c>
      <x:c r="J172" s="34" t="n">
        <x:v>45394</x:v>
      </x:c>
      <x:c r="K172" s="32" t="n">
        <x:v>1405</x:v>
      </x:c>
      <x:c r="L172" s="32" t="n">
        <x:v>1314</x:v>
      </x:c>
      <x:c r="M172" s="30" t="n">
        <x:v>129260</x:v>
      </x:c>
      <x:c r="N172" s="28" t="str">
        <x:v>Incompleto</x:v>
      </x:c>
      <x:c r="O172" s="28" t="str">
        <x:v>Falta de produto</x:v>
      </x:c>
      <x:c r="P172" s="30" t="n">
        <x:v>129260</x:v>
      </x:c>
    </x:row>
    <x:row r="173">
      <x:c r="A173" s="28" t="str">
        <x:v>PED-48172</x:v>
      </x:c>
      <x:c r="B173" s="34" t="n">
        <x:v>45383</x:v>
      </x:c>
      <x:c r="C173" s="28" t="str">
        <x:v>Grupo Industrial S.A.</x:v>
      </x:c>
      <x:c r="D173" s="28" t="str">
        <x:v>Planta São Paulo</x:v>
      </x:c>
      <x:c r="E173" s="28" t="str">
        <x:v>Alimentos SA</x:v>
      </x:c>
      <x:c r="F173" s="28" t="str">
        <x:v>Sudeste</x:v>
      </x:c>
      <x:c r="G173" s="28" t="str">
        <x:v>RápidoSul</x:v>
      </x:c>
      <x:c r="H173" s="28" t="str">
        <x:v>SP-Centro-Oeste</x:v>
      </x:c>
      <x:c r="I173" s="34" t="n">
        <x:v>45397</x:v>
      </x:c>
      <x:c r="J173" s="34" t="n">
        <x:v>45399</x:v>
      </x:c>
      <x:c r="K173" s="32" t="n">
        <x:v>1371</x:v>
      </x:c>
      <x:c r="L173" s="32" t="n">
        <x:v>1288</x:v>
      </x:c>
      <x:c r="M173" s="30" t="n">
        <x:v>98712</x:v>
      </x:c>
      <x:c r="N173" s="28" t="str">
        <x:v>Em atraso</x:v>
      </x:c>
      <x:c r="O173" s="28" t="str">
        <x:v>Falta de produto</x:v>
      </x:c>
      <x:c r="P173" s="30" t="n">
        <x:v>98712</x:v>
      </x:c>
    </x:row>
    <x:row r="174">
      <x:c r="A174" s="28" t="str">
        <x:v>PED-48173</x:v>
      </x:c>
      <x:c r="B174" s="34" t="n">
        <x:v>45383</x:v>
      </x:c>
      <x:c r="C174" s="28" t="str">
        <x:v>Grupo Industrial S.A.</x:v>
      </x:c>
      <x:c r="D174" s="28" t="str">
        <x:v>Planta São Paulo</x:v>
      </x:c>
      <x:c r="E174" s="28" t="str">
        <x:v>Farma Vida</x:v>
      </x:c>
      <x:c r="F174" s="28" t="str">
        <x:v>Sudeste</x:v>
      </x:c>
      <x:c r="G174" s="28" t="str">
        <x:v>RápidoSul</x:v>
      </x:c>
      <x:c r="H174" s="28" t="str">
        <x:v>SP-Centro-Oeste</x:v>
      </x:c>
      <x:c r="I174" s="34" t="n">
        <x:v>45400</x:v>
      </x:c>
      <x:c r="J174" s="34" t="n">
        <x:v>45402</x:v>
      </x:c>
      <x:c r="K174" s="32" t="n">
        <x:v>1800</x:v>
      </x:c>
      <x:c r="L174" s="32" t="n">
        <x:v>1800</x:v>
      </x:c>
      <x:c r="M174" s="30" t="n">
        <x:v>140400</x:v>
      </x:c>
      <x:c r="N174" s="28" t="str">
        <x:v>Em atraso</x:v>
      </x:c>
      <x:c r="O174" s="28" t="str">
        <x:v>Janela perdida no cliente</x:v>
      </x:c>
      <x:c r="P174" s="30" t="n">
        <x:v>140400</x:v>
      </x:c>
    </x:row>
    <x:row r="175">
      <x:c r="A175" s="28" t="str">
        <x:v>PED-48174</x:v>
      </x:c>
      <x:c r="B175" s="34" t="n">
        <x:v>45383</x:v>
      </x:c>
      <x:c r="C175" s="28" t="str">
        <x:v>Grupo Industrial S.A.</x:v>
      </x:c>
      <x:c r="D175" s="28" t="str">
        <x:v>Planta São Paulo</x:v>
      </x:c>
      <x:c r="E175" s="28" t="str">
        <x:v>AutoPeças BR</x:v>
      </x:c>
      <x:c r="F175" s="28" t="str">
        <x:v>Sudeste</x:v>
      </x:c>
      <x:c r="G175" s="28" t="str">
        <x:v>RápidoSul</x:v>
      </x:c>
      <x:c r="H175" s="28" t="str">
        <x:v>SP-Centro-Oeste</x:v>
      </x:c>
      <x:c r="I175" s="34" t="n">
        <x:v>45403</x:v>
      </x:c>
      <x:c r="J175" s="34" t="n">
        <x:v>45403</x:v>
      </x:c>
      <x:c r="K175" s="32" t="n">
        <x:v>749</x:v>
      </x:c>
      <x:c r="L175" s="32" t="n">
        <x:v>749</x:v>
      </x:c>
      <x:c r="M175" s="30" t="n">
        <x:v>53928</x:v>
      </x:c>
      <x:c r="N175" s="28" t="str">
        <x:v>OTIF</x:v>
      </x:c>
      <x:c r="O175" s="28" t="str">
        <x:v>Janela perdida no cliente</x:v>
      </x:c>
      <x:c r="P175" s="30" t="n">
        <x:v>0</x:v>
      </x:c>
    </x:row>
    <x:row r="176">
      <x:c r="A176" s="28" t="str">
        <x:v>PED-48175</x:v>
      </x:c>
      <x:c r="B176" s="34" t="n">
        <x:v>45383</x:v>
      </x:c>
      <x:c r="C176" s="28" t="str">
        <x:v>Grupo Industrial S.A.</x:v>
      </x:c>
      <x:c r="D176" s="28" t="str">
        <x:v>Planta São Paulo</x:v>
      </x:c>
      <x:c r="E176" s="28" t="str">
        <x:v>Alimentos SA</x:v>
      </x:c>
      <x:c r="F176" s="28" t="str">
        <x:v>Sudeste</x:v>
      </x:c>
      <x:c r="G176" s="28" t="str">
        <x:v>NovaLog</x:v>
      </x:c>
      <x:c r="H176" s="28" t="str">
        <x:v>SP-Nordeste</x:v>
      </x:c>
      <x:c r="I176" s="34" t="n">
        <x:v>45388</x:v>
      </x:c>
      <x:c r="J176" s="34" t="n">
        <x:v>45392</x:v>
      </x:c>
      <x:c r="K176" s="32" t="n">
        <x:v>1562</x:v>
      </x:c>
      <x:c r="L176" s="32" t="n">
        <x:v>1562</x:v>
      </x:c>
      <x:c r="M176" s="30" t="n">
        <x:v>121836</x:v>
      </x:c>
      <x:c r="N176" s="28" t="str">
        <x:v>Em atraso</x:v>
      </x:c>
      <x:c r="O176" s="28" t="str">
        <x:v>Atraso transportadora</x:v>
      </x:c>
      <x:c r="P176" s="30" t="n">
        <x:v>121836</x:v>
      </x:c>
    </x:row>
    <x:row r="177">
      <x:c r="A177" s="28" t="str">
        <x:v>PED-48176</x:v>
      </x:c>
      <x:c r="B177" s="34" t="n">
        <x:v>45383</x:v>
      </x:c>
      <x:c r="C177" s="28" t="str">
        <x:v>Grupo Industrial S.A.</x:v>
      </x:c>
      <x:c r="D177" s="28" t="str">
        <x:v>Planta São Paulo</x:v>
      </x:c>
      <x:c r="E177" s="28" t="str">
        <x:v>Farma Vida</x:v>
      </x:c>
      <x:c r="F177" s="28" t="str">
        <x:v>Sudeste</x:v>
      </x:c>
      <x:c r="G177" s="28" t="str">
        <x:v>NovaLog</x:v>
      </x:c>
      <x:c r="H177" s="28" t="str">
        <x:v>SP-Nordeste</x:v>
      </x:c>
      <x:c r="I177" s="34" t="n">
        <x:v>45391</x:v>
      </x:c>
      <x:c r="J177" s="34" t="n">
        <x:v>45391</x:v>
      </x:c>
      <x:c r="K177" s="32" t="n">
        <x:v>1525</x:v>
      </x:c>
      <x:c r="L177" s="32" t="n">
        <x:v>1254</x:v>
      </x:c>
      <x:c r="M177" s="30" t="n">
        <x:v>140300</x:v>
      </x:c>
      <x:c r="N177" s="28" t="str">
        <x:v>Incompleto</x:v>
      </x:c>
      <x:c r="O177" s="28" t="str">
        <x:v>Falta de produto</x:v>
      </x:c>
      <x:c r="P177" s="30" t="n">
        <x:v>140300</x:v>
      </x:c>
    </x:row>
    <x:row r="178">
      <x:c r="A178" s="28" t="str">
        <x:v>PED-48177</x:v>
      </x:c>
      <x:c r="B178" s="34" t="n">
        <x:v>45383</x:v>
      </x:c>
      <x:c r="C178" s="28" t="str">
        <x:v>Grupo Industrial S.A.</x:v>
      </x:c>
      <x:c r="D178" s="28" t="str">
        <x:v>Planta São Paulo</x:v>
      </x:c>
      <x:c r="E178" s="28" t="str">
        <x:v>AutoPeças BR</x:v>
      </x:c>
      <x:c r="F178" s="28" t="str">
        <x:v>Sudeste</x:v>
      </x:c>
      <x:c r="G178" s="28" t="str">
        <x:v>NovaLog</x:v>
      </x:c>
      <x:c r="H178" s="28" t="str">
        <x:v>SP-Nordeste</x:v>
      </x:c>
      <x:c r="I178" s="34" t="n">
        <x:v>45394</x:v>
      </x:c>
      <x:c r="J178" s="34" t="n">
        <x:v>45398</x:v>
      </x:c>
      <x:c r="K178" s="32" t="n">
        <x:v>2121</x:v>
      </x:c>
      <x:c r="L178" s="32" t="n">
        <x:v>2121</x:v>
      </x:c>
      <x:c r="M178" s="30" t="n">
        <x:v>165438</x:v>
      </x:c>
      <x:c r="N178" s="28" t="str">
        <x:v>Em atraso</x:v>
      </x:c>
      <x:c r="O178" s="28" t="str">
        <x:v>Janela perdida no cliente</x:v>
      </x:c>
      <x:c r="P178" s="30" t="n">
        <x:v>165438</x:v>
      </x:c>
    </x:row>
    <x:row r="179">
      <x:c r="A179" s="28" t="str">
        <x:v>PED-48178</x:v>
      </x:c>
      <x:c r="B179" s="34" t="n">
        <x:v>45383</x:v>
      </x:c>
      <x:c r="C179" s="28" t="str">
        <x:v>Grupo Industrial S.A.</x:v>
      </x:c>
      <x:c r="D179" s="28" t="str">
        <x:v>Planta São Paulo</x:v>
      </x:c>
      <x:c r="E179" s="28" t="str">
        <x:v>Construbem</x:v>
      </x:c>
      <x:c r="F179" s="28" t="str">
        <x:v>Sudeste</x:v>
      </x:c>
      <x:c r="G179" s="28" t="str">
        <x:v>NovaLog</x:v>
      </x:c>
      <x:c r="H179" s="28" t="str">
        <x:v>SP-Nordeste</x:v>
      </x:c>
      <x:c r="I179" s="34" t="n">
        <x:v>45397</x:v>
      </x:c>
      <x:c r="J179" s="34" t="n">
        <x:v>45397</x:v>
      </x:c>
      <x:c r="K179" s="32" t="n">
        <x:v>888</x:v>
      </x:c>
      <x:c r="L179" s="32" t="n">
        <x:v>888</x:v>
      </x:c>
      <x:c r="M179" s="30" t="n">
        <x:v>81696</x:v>
      </x:c>
      <x:c r="N179" s="28" t="str">
        <x:v>OTIF</x:v>
      </x:c>
      <x:c r="O179" s="28" t="str">
        <x:v>Janela perdida no cliente</x:v>
      </x:c>
      <x:c r="P179" s="30" t="n">
        <x:v>0</x:v>
      </x:c>
    </x:row>
    <x:row r="180">
      <x:c r="A180" s="28" t="str">
        <x:v>PED-48179</x:v>
      </x:c>
      <x:c r="B180" s="34" t="n">
        <x:v>45383</x:v>
      </x:c>
      <x:c r="C180" s="28" t="str">
        <x:v>Grupo Industrial S.A.</x:v>
      </x:c>
      <x:c r="D180" s="28" t="str">
        <x:v>Planta São Paulo</x:v>
      </x:c>
      <x:c r="E180" s="28" t="str">
        <x:v>Alimentos SA</x:v>
      </x:c>
      <x:c r="F180" s="28" t="str">
        <x:v>Sudeste</x:v>
      </x:c>
      <x:c r="G180" s="28" t="str">
        <x:v>NovaLog</x:v>
      </x:c>
      <x:c r="H180" s="28" t="str">
        <x:v>SP-Nordeste</x:v>
      </x:c>
      <x:c r="I180" s="34" t="n">
        <x:v>45400</x:v>
      </x:c>
      <x:c r="J180" s="34" t="n">
        <x:v>45401</x:v>
      </x:c>
      <x:c r="K180" s="32" t="n">
        <x:v>1262</x:v>
      </x:c>
      <x:c r="L180" s="32" t="n">
        <x:v>1262</x:v>
      </x:c>
      <x:c r="M180" s="30" t="n">
        <x:v>106008</x:v>
      </x:c>
      <x:c r="N180" s="28" t="str">
        <x:v>Em atraso</x:v>
      </x:c>
      <x:c r="O180" s="28" t="str">
        <x:v>Atraso transportadora</x:v>
      </x:c>
      <x:c r="P180" s="30" t="n">
        <x:v>106008</x:v>
      </x:c>
    </x:row>
    <x:row r="181">
      <x:c r="A181" s="28" t="str">
        <x:v>PED-48180</x:v>
      </x:c>
      <x:c r="B181" s="34" t="n">
        <x:v>45383</x:v>
      </x:c>
      <x:c r="C181" s="28" t="str">
        <x:v>Grupo Industrial S.A.</x:v>
      </x:c>
      <x:c r="D181" s="28" t="str">
        <x:v>Planta São Paulo</x:v>
      </x:c>
      <x:c r="E181" s="28" t="str">
        <x:v>Farma Vida</x:v>
      </x:c>
      <x:c r="F181" s="28" t="str">
        <x:v>Sudeste</x:v>
      </x:c>
      <x:c r="G181" s="28" t="str">
        <x:v>NovaLog</x:v>
      </x:c>
      <x:c r="H181" s="28" t="str">
        <x:v>SP-Nordeste</x:v>
      </x:c>
      <x:c r="I181" s="34" t="n">
        <x:v>45403</x:v>
      </x:c>
      <x:c r="J181" s="34" t="n">
        <x:v>45405</x:v>
      </x:c>
      <x:c r="K181" s="32" t="n">
        <x:v>903</x:v>
      </x:c>
      <x:c r="L181" s="32" t="n">
        <x:v>903</x:v>
      </x:c>
      <x:c r="M181" s="30" t="n">
        <x:v>70434</x:v>
      </x:c>
      <x:c r="N181" s="28" t="str">
        <x:v>Em atraso</x:v>
      </x:c>
      <x:c r="O181" s="28" t="str">
        <x:v>Atraso transportadora</x:v>
      </x:c>
      <x:c r="P181" s="30" t="n">
        <x:v>70434</x:v>
      </x:c>
    </x:row>
    <x:row r="182">
      <x:c r="A182" s="28" t="str">
        <x:v>PED-48181</x:v>
      </x:c>
      <x:c r="B182" s="34" t="n">
        <x:v>45383</x:v>
      </x:c>
      <x:c r="C182" s="28" t="str">
        <x:v>Grupo Industrial S.A.</x:v>
      </x:c>
      <x:c r="D182" s="28" t="str">
        <x:v>Planta Campinas</x:v>
      </x:c>
      <x:c r="E182" s="28" t="str">
        <x:v>Construbem</x:v>
      </x:c>
      <x:c r="F182" s="28" t="str">
        <x:v>Sudeste</x:v>
      </x:c>
      <x:c r="G182" s="28" t="str">
        <x:v>TransDados</x:v>
      </x:c>
      <x:c r="H182" s="28" t="str">
        <x:v>Campinas-Sudeste</x:v>
      </x:c>
      <x:c r="I182" s="34" t="n">
        <x:v>45388</x:v>
      </x:c>
      <x:c r="J182" s="34" t="n">
        <x:v>45389</x:v>
      </x:c>
      <x:c r="K182" s="32" t="n">
        <x:v>2050</x:v>
      </x:c>
      <x:c r="L182" s="32" t="n">
        <x:v>2050</x:v>
      </x:c>
      <x:c r="M182" s="30" t="n">
        <x:v>147600</x:v>
      </x:c>
      <x:c r="N182" s="28" t="str">
        <x:v>Em atraso</x:v>
      </x:c>
      <x:c r="O182" s="28" t="str">
        <x:v>Atraso transportadora</x:v>
      </x:c>
      <x:c r="P182" s="30" t="n">
        <x:v>147600</x:v>
      </x:c>
    </x:row>
    <x:row r="183">
      <x:c r="A183" s="28" t="str">
        <x:v>PED-48182</x:v>
      </x:c>
      <x:c r="B183" s="34" t="n">
        <x:v>45383</x:v>
      </x:c>
      <x:c r="C183" s="28" t="str">
        <x:v>Grupo Industrial S.A.</x:v>
      </x:c>
      <x:c r="D183" s="28" t="str">
        <x:v>Planta Campinas</x:v>
      </x:c>
      <x:c r="E183" s="28" t="str">
        <x:v>Alimentos SA</x:v>
      </x:c>
      <x:c r="F183" s="28" t="str">
        <x:v>Sudeste</x:v>
      </x:c>
      <x:c r="G183" s="28" t="str">
        <x:v>TransDados</x:v>
      </x:c>
      <x:c r="H183" s="28" t="str">
        <x:v>Campinas-Sudeste</x:v>
      </x:c>
      <x:c r="I183" s="34" t="n">
        <x:v>45391</x:v>
      </x:c>
      <x:c r="J183" s="34" t="n">
        <x:v>45391</x:v>
      </x:c>
      <x:c r="K183" s="32" t="n">
        <x:v>855</x:v>
      </x:c>
      <x:c r="L183" s="32" t="n">
        <x:v>732</x:v>
      </x:c>
      <x:c r="M183" s="30" t="n">
        <x:v>66690</x:v>
      </x:c>
      <x:c r="N183" s="28" t="str">
        <x:v>Incompleto</x:v>
      </x:c>
      <x:c r="O183" s="28" t="str">
        <x:v>Falta de produto</x:v>
      </x:c>
      <x:c r="P183" s="30" t="n">
        <x:v>66690</x:v>
      </x:c>
    </x:row>
    <x:row r="184">
      <x:c r="A184" s="28" t="str">
        <x:v>PED-48183</x:v>
      </x:c>
      <x:c r="B184" s="34" t="n">
        <x:v>45383</x:v>
      </x:c>
      <x:c r="C184" s="28" t="str">
        <x:v>Grupo Industrial S.A.</x:v>
      </x:c>
      <x:c r="D184" s="28" t="str">
        <x:v>Planta Campinas</x:v>
      </x:c>
      <x:c r="E184" s="28" t="str">
        <x:v>Farma Vida</x:v>
      </x:c>
      <x:c r="F184" s="28" t="str">
        <x:v>Sudeste</x:v>
      </x:c>
      <x:c r="G184" s="28" t="str">
        <x:v>TransDados</x:v>
      </x:c>
      <x:c r="H184" s="28" t="str">
        <x:v>Campinas-Sudeste</x:v>
      </x:c>
      <x:c r="I184" s="34" t="n">
        <x:v>45394</x:v>
      </x:c>
      <x:c r="J184" s="34" t="n">
        <x:v>45396</x:v>
      </x:c>
      <x:c r="K184" s="32" t="n">
        <x:v>908</x:v>
      </x:c>
      <x:c r="L184" s="32" t="n">
        <x:v>908</x:v>
      </x:c>
      <x:c r="M184" s="30" t="n">
        <x:v>65376</x:v>
      </x:c>
      <x:c r="N184" s="28" t="str">
        <x:v>Em atraso</x:v>
      </x:c>
      <x:c r="O184" s="28" t="str">
        <x:v>Atraso transportadora</x:v>
      </x:c>
      <x:c r="P184" s="30" t="n">
        <x:v>65376</x:v>
      </x:c>
    </x:row>
    <x:row r="185">
      <x:c r="A185" s="28" t="str">
        <x:v>PED-48184</x:v>
      </x:c>
      <x:c r="B185" s="34" t="n">
        <x:v>45383</x:v>
      </x:c>
      <x:c r="C185" s="28" t="str">
        <x:v>Grupo Industrial S.A.</x:v>
      </x:c>
      <x:c r="D185" s="28" t="str">
        <x:v>Planta Campinas</x:v>
      </x:c>
      <x:c r="E185" s="28" t="str">
        <x:v>AutoPeças BR</x:v>
      </x:c>
      <x:c r="F185" s="28" t="str">
        <x:v>Sudeste</x:v>
      </x:c>
      <x:c r="G185" s="28" t="str">
        <x:v>TransDados</x:v>
      </x:c>
      <x:c r="H185" s="28" t="str">
        <x:v>Campinas-Sudeste</x:v>
      </x:c>
      <x:c r="I185" s="34" t="n">
        <x:v>45397</x:v>
      </x:c>
      <x:c r="J185" s="34" t="n">
        <x:v>45400</x:v>
      </x:c>
      <x:c r="K185" s="32" t="n">
        <x:v>1424</x:v>
      </x:c>
      <x:c r="L185" s="32" t="n">
        <x:v>1424</x:v>
      </x:c>
      <x:c r="M185" s="30" t="n">
        <x:v>102528</x:v>
      </x:c>
      <x:c r="N185" s="28" t="str">
        <x:v>Em atraso</x:v>
      </x:c>
      <x:c r="O185" s="28" t="str">
        <x:v>Janela perdida no cliente</x:v>
      </x:c>
      <x:c r="P185" s="30" t="n">
        <x:v>102528</x:v>
      </x:c>
    </x:row>
    <x:row r="186">
      <x:c r="A186" s="28" t="str">
        <x:v>PED-48185</x:v>
      </x:c>
      <x:c r="B186" s="34" t="n">
        <x:v>45383</x:v>
      </x:c>
      <x:c r="C186" s="28" t="str">
        <x:v>Grupo Industrial S.A.</x:v>
      </x:c>
      <x:c r="D186" s="28" t="str">
        <x:v>Planta Campinas</x:v>
      </x:c>
      <x:c r="E186" s="28" t="str">
        <x:v>Construbem</x:v>
      </x:c>
      <x:c r="F186" s="28" t="str">
        <x:v>Sudeste</x:v>
      </x:c>
      <x:c r="G186" s="28" t="str">
        <x:v>TransDados</x:v>
      </x:c>
      <x:c r="H186" s="28" t="str">
        <x:v>Campinas-Sudeste</x:v>
      </x:c>
      <x:c r="I186" s="34" t="n">
        <x:v>45400</x:v>
      </x:c>
      <x:c r="J186" s="34" t="n">
        <x:v>45400</x:v>
      </x:c>
      <x:c r="K186" s="32" t="n">
        <x:v>761</x:v>
      </x:c>
      <x:c r="L186" s="32" t="n">
        <x:v>761</x:v>
      </x:c>
      <x:c r="M186" s="30" t="n">
        <x:v>70012</x:v>
      </x:c>
      <x:c r="N186" s="28" t="str">
        <x:v>OTIF</x:v>
      </x:c>
      <x:c r="O186" s="28" t="str">
        <x:v>Janela perdida no cliente</x:v>
      </x:c>
      <x:c r="P186" s="30" t="n">
        <x:v>0</x:v>
      </x:c>
    </x:row>
    <x:row r="187">
      <x:c r="A187" s="28" t="str">
        <x:v>PED-48186</x:v>
      </x:c>
      <x:c r="B187" s="34" t="n">
        <x:v>45383</x:v>
      </x:c>
      <x:c r="C187" s="28" t="str">
        <x:v>Grupo Industrial S.A.</x:v>
      </x:c>
      <x:c r="D187" s="28" t="str">
        <x:v>Planta Campinas</x:v>
      </x:c>
      <x:c r="E187" s="28" t="str">
        <x:v>Alimentos SA</x:v>
      </x:c>
      <x:c r="F187" s="28" t="str">
        <x:v>Sudeste</x:v>
      </x:c>
      <x:c r="G187" s="28" t="str">
        <x:v>TransDados</x:v>
      </x:c>
      <x:c r="H187" s="28" t="str">
        <x:v>Campinas-Sudeste</x:v>
      </x:c>
      <x:c r="I187" s="34" t="n">
        <x:v>45403</x:v>
      </x:c>
      <x:c r="J187" s="34" t="n">
        <x:v>45403</x:v>
      </x:c>
      <x:c r="K187" s="32" t="n">
        <x:v>1165</x:v>
      </x:c>
      <x:c r="L187" s="32" t="n">
        <x:v>1165</x:v>
      </x:c>
      <x:c r="M187" s="30" t="n">
        <x:v>83880</x:v>
      </x:c>
      <x:c r="N187" s="28" t="str">
        <x:v>OTIF</x:v>
      </x:c>
      <x:c r="O187" s="28" t="str">
        <x:v>Janela perdida no cliente</x:v>
      </x:c>
      <x:c r="P187" s="30" t="n">
        <x:v>0</x:v>
      </x:c>
    </x:row>
    <x:row r="188">
      <x:c r="A188" s="28" t="str">
        <x:v>PED-48187</x:v>
      </x:c>
      <x:c r="B188" s="34" t="n">
        <x:v>45383</x:v>
      </x:c>
      <x:c r="C188" s="28" t="str">
        <x:v>Grupo Industrial S.A.</x:v>
      </x:c>
      <x:c r="D188" s="28" t="str">
        <x:v>Planta Campinas</x:v>
      </x:c>
      <x:c r="E188" s="28" t="str">
        <x:v>AutoPeças BR</x:v>
      </x:c>
      <x:c r="F188" s="28" t="str">
        <x:v>Sudeste</x:v>
      </x:c>
      <x:c r="G188" s="28" t="str">
        <x:v>RápidoSul</x:v>
      </x:c>
      <x:c r="H188" s="28" t="str">
        <x:v>Campinas-Norte</x:v>
      </x:c>
      <x:c r="I188" s="34" t="n">
        <x:v>45388</x:v>
      </x:c>
      <x:c r="J188" s="34" t="n">
        <x:v>45389</x:v>
      </x:c>
      <x:c r="K188" s="32" t="n">
        <x:v>1267</x:v>
      </x:c>
      <x:c r="L188" s="32" t="n">
        <x:v>1267</x:v>
      </x:c>
      <x:c r="M188" s="30" t="n">
        <x:v>106428</x:v>
      </x:c>
      <x:c r="N188" s="28" t="str">
        <x:v>Em atraso</x:v>
      </x:c>
      <x:c r="O188" s="28" t="str">
        <x:v>Atraso transportadora</x:v>
      </x:c>
      <x:c r="P188" s="30" t="n">
        <x:v>106428</x:v>
      </x:c>
    </x:row>
    <x:row r="189">
      <x:c r="A189" s="28" t="str">
        <x:v>PED-48188</x:v>
      </x:c>
      <x:c r="B189" s="34" t="n">
        <x:v>45383</x:v>
      </x:c>
      <x:c r="C189" s="28" t="str">
        <x:v>Grupo Industrial S.A.</x:v>
      </x:c>
      <x:c r="D189" s="28" t="str">
        <x:v>Planta Campinas</x:v>
      </x:c>
      <x:c r="E189" s="28" t="str">
        <x:v>Construbem</x:v>
      </x:c>
      <x:c r="F189" s="28" t="str">
        <x:v>Sudeste</x:v>
      </x:c>
      <x:c r="G189" s="28" t="str">
        <x:v>RápidoSul</x:v>
      </x:c>
      <x:c r="H189" s="28" t="str">
        <x:v>Campinas-Norte</x:v>
      </x:c>
      <x:c r="I189" s="34" t="n">
        <x:v>45391</x:v>
      </x:c>
      <x:c r="J189" s="34" t="n">
        <x:v>45391</x:v>
      </x:c>
      <x:c r="K189" s="32" t="n">
        <x:v>1977</x:v>
      </x:c>
      <x:c r="L189" s="32" t="n">
        <x:v>1977</x:v>
      </x:c>
      <x:c r="M189" s="30" t="n">
        <x:v>166068</x:v>
      </x:c>
      <x:c r="N189" s="28" t="str">
        <x:v>OTIF</x:v>
      </x:c>
      <x:c r="O189" s="28" t="str">
        <x:v>Janela perdida no cliente</x:v>
      </x:c>
      <x:c r="P189" s="30" t="n">
        <x:v>0</x:v>
      </x:c>
    </x:row>
    <x:row r="190">
      <x:c r="A190" s="28" t="str">
        <x:v>PED-48189</x:v>
      </x:c>
      <x:c r="B190" s="34" t="n">
        <x:v>45383</x:v>
      </x:c>
      <x:c r="C190" s="28" t="str">
        <x:v>Grupo Industrial S.A.</x:v>
      </x:c>
      <x:c r="D190" s="28" t="str">
        <x:v>Planta Campinas</x:v>
      </x:c>
      <x:c r="E190" s="28" t="str">
        <x:v>Alimentos SA</x:v>
      </x:c>
      <x:c r="F190" s="28" t="str">
        <x:v>Sudeste</x:v>
      </x:c>
      <x:c r="G190" s="28" t="str">
        <x:v>RápidoSul</x:v>
      </x:c>
      <x:c r="H190" s="28" t="str">
        <x:v>Campinas-Norte</x:v>
      </x:c>
      <x:c r="I190" s="34" t="n">
        <x:v>45394</x:v>
      </x:c>
      <x:c r="J190" s="34" t="n">
        <x:v>45394</x:v>
      </x:c>
      <x:c r="K190" s="32" t="n">
        <x:v>1997</x:v>
      </x:c>
      <x:c r="L190" s="32" t="n">
        <x:v>1997</x:v>
      </x:c>
      <x:c r="M190" s="30" t="n">
        <x:v>183724</x:v>
      </x:c>
      <x:c r="N190" s="28" t="str">
        <x:v>OTIF</x:v>
      </x:c>
      <x:c r="O190" s="28" t="str">
        <x:v>Janela perdida no cliente</x:v>
      </x:c>
      <x:c r="P190" s="30" t="n">
        <x:v>0</x:v>
      </x:c>
    </x:row>
    <x:row r="191">
      <x:c r="A191" s="28" t="str">
        <x:v>PED-48190</x:v>
      </x:c>
      <x:c r="B191" s="34" t="n">
        <x:v>45383</x:v>
      </x:c>
      <x:c r="C191" s="28" t="str">
        <x:v>Grupo Industrial S.A.</x:v>
      </x:c>
      <x:c r="D191" s="28" t="str">
        <x:v>Planta Campinas</x:v>
      </x:c>
      <x:c r="E191" s="28" t="str">
        <x:v>Farma Vida</x:v>
      </x:c>
      <x:c r="F191" s="28" t="str">
        <x:v>Sudeste</x:v>
      </x:c>
      <x:c r="G191" s="28" t="str">
        <x:v>RápidoSul</x:v>
      </x:c>
      <x:c r="H191" s="28" t="str">
        <x:v>Campinas-Norte</x:v>
      </x:c>
      <x:c r="I191" s="34" t="n">
        <x:v>45397</x:v>
      </x:c>
      <x:c r="J191" s="34" t="n">
        <x:v>45402</x:v>
      </x:c>
      <x:c r="K191" s="32" t="n">
        <x:v>2013</x:v>
      </x:c>
      <x:c r="L191" s="32" t="n">
        <x:v>2013</x:v>
      </x:c>
      <x:c r="M191" s="30" t="n">
        <x:v>185196</x:v>
      </x:c>
      <x:c r="N191" s="28" t="str">
        <x:v>Em atraso</x:v>
      </x:c>
      <x:c r="O191" s="28" t="str">
        <x:v>Janela perdida no cliente</x:v>
      </x:c>
      <x:c r="P191" s="30" t="n">
        <x:v>185196</x:v>
      </x:c>
    </x:row>
    <x:row r="192">
      <x:c r="A192" s="28" t="str">
        <x:v>PED-48191</x:v>
      </x:c>
      <x:c r="B192" s="34" t="n">
        <x:v>45383</x:v>
      </x:c>
      <x:c r="C192" s="28" t="str">
        <x:v>Grupo Industrial S.A.</x:v>
      </x:c>
      <x:c r="D192" s="28" t="str">
        <x:v>Planta Campinas</x:v>
      </x:c>
      <x:c r="E192" s="28" t="str">
        <x:v>AutoPeças BR</x:v>
      </x:c>
      <x:c r="F192" s="28" t="str">
        <x:v>Sudeste</x:v>
      </x:c>
      <x:c r="G192" s="28" t="str">
        <x:v>RápidoSul</x:v>
      </x:c>
      <x:c r="H192" s="28" t="str">
        <x:v>Campinas-Norte</x:v>
      </x:c>
      <x:c r="I192" s="34" t="n">
        <x:v>45400</x:v>
      </x:c>
      <x:c r="J192" s="34" t="n">
        <x:v>45400</x:v>
      </x:c>
      <x:c r="K192" s="32" t="n">
        <x:v>1926</x:v>
      </x:c>
      <x:c r="L192" s="32" t="n">
        <x:v>1926</x:v>
      </x:c>
      <x:c r="M192" s="30" t="n">
        <x:v>138672</x:v>
      </x:c>
      <x:c r="N192" s="28" t="str">
        <x:v>OTIF</x:v>
      </x:c>
      <x:c r="O192" s="28" t="str">
        <x:v>Janela perdida no cliente</x:v>
      </x:c>
      <x:c r="P192" s="30" t="n">
        <x:v>0</x:v>
      </x:c>
    </x:row>
    <x:row r="193">
      <x:c r="A193" s="28" t="str">
        <x:v>PED-48192</x:v>
      </x:c>
      <x:c r="B193" s="34" t="n">
        <x:v>45383</x:v>
      </x:c>
      <x:c r="C193" s="28" t="str">
        <x:v>Grupo Industrial S.A.</x:v>
      </x:c>
      <x:c r="D193" s="28" t="str">
        <x:v>Planta Campinas</x:v>
      </x:c>
      <x:c r="E193" s="28" t="str">
        <x:v>Construbem</x:v>
      </x:c>
      <x:c r="F193" s="28" t="str">
        <x:v>Sudeste</x:v>
      </x:c>
      <x:c r="G193" s="28" t="str">
        <x:v>RápidoSul</x:v>
      </x:c>
      <x:c r="H193" s="28" t="str">
        <x:v>Campinas-Norte</x:v>
      </x:c>
      <x:c r="I193" s="34" t="n">
        <x:v>45403</x:v>
      </x:c>
      <x:c r="J193" s="34" t="n">
        <x:v>45403</x:v>
      </x:c>
      <x:c r="K193" s="32" t="n">
        <x:v>1306</x:v>
      </x:c>
      <x:c r="L193" s="32" t="n">
        <x:v>1306</x:v>
      </x:c>
      <x:c r="M193" s="30" t="n">
        <x:v>109704</x:v>
      </x:c>
      <x:c r="N193" s="28" t="str">
        <x:v>OTIF</x:v>
      </x:c>
      <x:c r="O193" s="28" t="str">
        <x:v>Janela perdida no cliente</x:v>
      </x:c>
      <x:c r="P193" s="30" t="n">
        <x:v>0</x:v>
      </x:c>
    </x:row>
    <x:row r="194">
      <x:c r="A194" s="28" t="str">
        <x:v>PED-48193</x:v>
      </x:c>
      <x:c r="B194" s="34" t="n">
        <x:v>45383</x:v>
      </x:c>
      <x:c r="C194" s="28" t="str">
        <x:v>Grupo Industrial S.A.</x:v>
      </x:c>
      <x:c r="D194" s="28" t="str">
        <x:v>Planta Campinas</x:v>
      </x:c>
      <x:c r="E194" s="28" t="str">
        <x:v>Farma Vida</x:v>
      </x:c>
      <x:c r="F194" s="28" t="str">
        <x:v>Sudeste</x:v>
      </x:c>
      <x:c r="G194" s="28" t="str">
        <x:v>NovaLog</x:v>
      </x:c>
      <x:c r="H194" s="28" t="str">
        <x:v>Campinas-Nordeste</x:v>
      </x:c>
      <x:c r="I194" s="34" t="n">
        <x:v>45388</x:v>
      </x:c>
      <x:c r="J194" s="34" t="n">
        <x:v>45390</x:v>
      </x:c>
      <x:c r="K194" s="32" t="n">
        <x:v>952</x:v>
      </x:c>
      <x:c r="L194" s="32" t="n">
        <x:v>952</x:v>
      </x:c>
      <x:c r="M194" s="30" t="n">
        <x:v>68544</x:v>
      </x:c>
      <x:c r="N194" s="28" t="str">
        <x:v>Em atraso</x:v>
      </x:c>
      <x:c r="O194" s="28" t="str">
        <x:v>Atraso transportadora</x:v>
      </x:c>
      <x:c r="P194" s="30" t="n">
        <x:v>68544</x:v>
      </x:c>
    </x:row>
    <x:row r="195">
      <x:c r="A195" s="28" t="str">
        <x:v>PED-48194</x:v>
      </x:c>
      <x:c r="B195" s="34" t="n">
        <x:v>45383</x:v>
      </x:c>
      <x:c r="C195" s="28" t="str">
        <x:v>Grupo Industrial S.A.</x:v>
      </x:c>
      <x:c r="D195" s="28" t="str">
        <x:v>Planta Campinas</x:v>
      </x:c>
      <x:c r="E195" s="28" t="str">
        <x:v>AutoPeças BR</x:v>
      </x:c>
      <x:c r="F195" s="28" t="str">
        <x:v>Sudeste</x:v>
      </x:c>
      <x:c r="G195" s="28" t="str">
        <x:v>NovaLog</x:v>
      </x:c>
      <x:c r="H195" s="28" t="str">
        <x:v>Campinas-Nordeste</x:v>
      </x:c>
      <x:c r="I195" s="34" t="n">
        <x:v>45391</x:v>
      </x:c>
      <x:c r="J195" s="34" t="n">
        <x:v>45391</x:v>
      </x:c>
      <x:c r="K195" s="32" t="n">
        <x:v>1552</x:v>
      </x:c>
      <x:c r="L195" s="32" t="n">
        <x:v>1552</x:v>
      </x:c>
      <x:c r="M195" s="30" t="n">
        <x:v>130368</x:v>
      </x:c>
      <x:c r="N195" s="28" t="str">
        <x:v>OTIF</x:v>
      </x:c>
      <x:c r="O195" s="28" t="str">
        <x:v>Janela perdida no cliente</x:v>
      </x:c>
      <x:c r="P195" s="30" t="n">
        <x:v>0</x:v>
      </x:c>
    </x:row>
    <x:row r="196">
      <x:c r="A196" s="28" t="str">
        <x:v>PED-48195</x:v>
      </x:c>
      <x:c r="B196" s="34" t="n">
        <x:v>45383</x:v>
      </x:c>
      <x:c r="C196" s="28" t="str">
        <x:v>Grupo Industrial S.A.</x:v>
      </x:c>
      <x:c r="D196" s="28" t="str">
        <x:v>Planta Campinas</x:v>
      </x:c>
      <x:c r="E196" s="28" t="str">
        <x:v>Construbem</x:v>
      </x:c>
      <x:c r="F196" s="28" t="str">
        <x:v>Sudeste</x:v>
      </x:c>
      <x:c r="G196" s="28" t="str">
        <x:v>NovaLog</x:v>
      </x:c>
      <x:c r="H196" s="28" t="str">
        <x:v>Campinas-Nordeste</x:v>
      </x:c>
      <x:c r="I196" s="34" t="n">
        <x:v>45394</x:v>
      </x:c>
      <x:c r="J196" s="34" t="n">
        <x:v>45394</x:v>
      </x:c>
      <x:c r="K196" s="32" t="n">
        <x:v>1041</x:v>
      </x:c>
      <x:c r="L196" s="32" t="n">
        <x:v>1041</x:v>
      </x:c>
      <x:c r="M196" s="30" t="n">
        <x:v>87444</x:v>
      </x:c>
      <x:c r="N196" s="28" t="str">
        <x:v>OTIF</x:v>
      </x:c>
      <x:c r="O196" s="28" t="str">
        <x:v>Janela perdida no cliente</x:v>
      </x:c>
      <x:c r="P196" s="30" t="n">
        <x:v>0</x:v>
      </x:c>
    </x:row>
    <x:row r="197">
      <x:c r="A197" s="28" t="str">
        <x:v>PED-48196</x:v>
      </x:c>
      <x:c r="B197" s="34" t="n">
        <x:v>45383</x:v>
      </x:c>
      <x:c r="C197" s="28" t="str">
        <x:v>Grupo Industrial S.A.</x:v>
      </x:c>
      <x:c r="D197" s="28" t="str">
        <x:v>Planta Campinas</x:v>
      </x:c>
      <x:c r="E197" s="28" t="str">
        <x:v>Alimentos SA</x:v>
      </x:c>
      <x:c r="F197" s="28" t="str">
        <x:v>Sudeste</x:v>
      </x:c>
      <x:c r="G197" s="28" t="str">
        <x:v>NovaLog</x:v>
      </x:c>
      <x:c r="H197" s="28" t="str">
        <x:v>Campinas-Nordeste</x:v>
      </x:c>
      <x:c r="I197" s="34" t="n">
        <x:v>45397</x:v>
      </x:c>
      <x:c r="J197" s="34" t="n">
        <x:v>45398</x:v>
      </x:c>
      <x:c r="K197" s="32" t="n">
        <x:v>868</x:v>
      </x:c>
      <x:c r="L197" s="32" t="n">
        <x:v>868</x:v>
      </x:c>
      <x:c r="M197" s="30" t="n">
        <x:v>62496</x:v>
      </x:c>
      <x:c r="N197" s="28" t="str">
        <x:v>Em atraso</x:v>
      </x:c>
      <x:c r="O197" s="28" t="str">
        <x:v>Atraso transportadora</x:v>
      </x:c>
      <x:c r="P197" s="30" t="n">
        <x:v>62496</x:v>
      </x:c>
    </x:row>
    <x:row r="198">
      <x:c r="A198" s="28" t="str">
        <x:v>PED-48197</x:v>
      </x:c>
      <x:c r="B198" s="34" t="n">
        <x:v>45383</x:v>
      </x:c>
      <x:c r="C198" s="28" t="str">
        <x:v>Grupo Industrial S.A.</x:v>
      </x:c>
      <x:c r="D198" s="28" t="str">
        <x:v>Planta Campinas</x:v>
      </x:c>
      <x:c r="E198" s="28" t="str">
        <x:v>Farma Vida</x:v>
      </x:c>
      <x:c r="F198" s="28" t="str">
        <x:v>Sudeste</x:v>
      </x:c>
      <x:c r="G198" s="28" t="str">
        <x:v>NovaLog</x:v>
      </x:c>
      <x:c r="H198" s="28" t="str">
        <x:v>Campinas-Nordeste</x:v>
      </x:c>
      <x:c r="I198" s="34" t="n">
        <x:v>45400</x:v>
      </x:c>
      <x:c r="J198" s="34" t="n">
        <x:v>45400</x:v>
      </x:c>
      <x:c r="K198" s="32" t="n">
        <x:v>1222</x:v>
      </x:c>
      <x:c r="L198" s="32" t="n">
        <x:v>1067</x:v>
      </x:c>
      <x:c r="M198" s="30" t="n">
        <x:v>87984</x:v>
      </x:c>
      <x:c r="N198" s="28" t="str">
        <x:v>Incompleto</x:v>
      </x:c>
      <x:c r="O198" s="28" t="str">
        <x:v>Falta de produto</x:v>
      </x:c>
      <x:c r="P198" s="30" t="n">
        <x:v>87984</x:v>
      </x:c>
    </x:row>
    <x:row r="199">
      <x:c r="A199" s="28" t="str">
        <x:v>PED-48198</x:v>
      </x:c>
      <x:c r="B199" s="34" t="n">
        <x:v>45383</x:v>
      </x:c>
      <x:c r="C199" s="28" t="str">
        <x:v>Grupo Industrial S.A.</x:v>
      </x:c>
      <x:c r="D199" s="28" t="str">
        <x:v>Planta Campinas</x:v>
      </x:c>
      <x:c r="E199" s="28" t="str">
        <x:v>AutoPeças BR</x:v>
      </x:c>
      <x:c r="F199" s="28" t="str">
        <x:v>Sudeste</x:v>
      </x:c>
      <x:c r="G199" s="28" t="str">
        <x:v>NovaLog</x:v>
      </x:c>
      <x:c r="H199" s="28" t="str">
        <x:v>Campinas-Nordeste</x:v>
      </x:c>
      <x:c r="I199" s="34" t="n">
        <x:v>45403</x:v>
      </x:c>
      <x:c r="J199" s="34" t="n">
        <x:v>45403</x:v>
      </x:c>
      <x:c r="K199" s="32" t="n">
        <x:v>1245</x:v>
      </x:c>
      <x:c r="L199" s="32" t="n">
        <x:v>1245</x:v>
      </x:c>
      <x:c r="M199" s="30" t="n">
        <x:v>104580</x:v>
      </x:c>
      <x:c r="N199" s="28" t="str">
        <x:v>OTIF</x:v>
      </x:c>
      <x:c r="O199" s="28" t="str">
        <x:v>Janela perdida no cliente</x:v>
      </x:c>
      <x:c r="P199" s="30" t="n">
        <x:v>0</x:v>
      </x:c>
    </x:row>
    <x:row r="200">
      <x:c r="A200" s="28" t="str">
        <x:v>PED-48199</x:v>
      </x:c>
      <x:c r="B200" s="34" t="n">
        <x:v>45383</x:v>
      </x:c>
      <x:c r="C200" s="28" t="str">
        <x:v>Grupo Industrial S.A.</x:v>
      </x:c>
      <x:c r="D200" s="28" t="str">
        <x:v>Planta Curitiba</x:v>
      </x:c>
      <x:c r="E200" s="28" t="str">
        <x:v>Alimentos SA</x:v>
      </x:c>
      <x:c r="F200" s="28" t="str">
        <x:v>Sul</x:v>
      </x:c>
      <x:c r="G200" s="28" t="str">
        <x:v>TransDados</x:v>
      </x:c>
      <x:c r="H200" s="28" t="str">
        <x:v>Curitiba-Sul</x:v>
      </x:c>
      <x:c r="I200" s="34" t="n">
        <x:v>45388</x:v>
      </x:c>
      <x:c r="J200" s="34" t="n">
        <x:v>45388</x:v>
      </x:c>
      <x:c r="K200" s="32" t="n">
        <x:v>1774</x:v>
      </x:c>
      <x:c r="L200" s="32" t="n">
        <x:v>1774</x:v>
      </x:c>
      <x:c r="M200" s="30" t="n">
        <x:v>127728</x:v>
      </x:c>
      <x:c r="N200" s="28" t="str">
        <x:v>OTIF</x:v>
      </x:c>
      <x:c r="O200" s="28" t="str">
        <x:v>Janela perdida no cliente</x:v>
      </x:c>
      <x:c r="P200" s="30" t="n">
        <x:v>0</x:v>
      </x:c>
    </x:row>
    <x:row r="201">
      <x:c r="A201" s="28" t="str">
        <x:v>PED-48200</x:v>
      </x:c>
      <x:c r="B201" s="34" t="n">
        <x:v>45383</x:v>
      </x:c>
      <x:c r="C201" s="28" t="str">
        <x:v>Grupo Industrial S.A.</x:v>
      </x:c>
      <x:c r="D201" s="28" t="str">
        <x:v>Planta Curitiba</x:v>
      </x:c>
      <x:c r="E201" s="28" t="str">
        <x:v>Farma Vida</x:v>
      </x:c>
      <x:c r="F201" s="28" t="str">
        <x:v>Sul</x:v>
      </x:c>
      <x:c r="G201" s="28" t="str">
        <x:v>TransDados</x:v>
      </x:c>
      <x:c r="H201" s="28" t="str">
        <x:v>Curitiba-Sul</x:v>
      </x:c>
      <x:c r="I201" s="34" t="n">
        <x:v>45391</x:v>
      </x:c>
      <x:c r="J201" s="34" t="n">
        <x:v>45392</x:v>
      </x:c>
      <x:c r="K201" s="32" t="n">
        <x:v>1698</x:v>
      </x:c>
      <x:c r="L201" s="32" t="n">
        <x:v>1698</x:v>
      </x:c>
      <x:c r="M201" s="30" t="n">
        <x:v>122256</x:v>
      </x:c>
      <x:c r="N201" s="28" t="str">
        <x:v>Em atraso</x:v>
      </x:c>
      <x:c r="O201" s="28" t="str">
        <x:v>Atraso transportadora</x:v>
      </x:c>
      <x:c r="P201" s="30" t="n">
        <x:v>122256</x:v>
      </x:c>
    </x:row>
    <x:row r="202">
      <x:c r="A202" s="28" t="str">
        <x:v>PED-48201</x:v>
      </x:c>
      <x:c r="B202" s="34" t="n">
        <x:v>45383</x:v>
      </x:c>
      <x:c r="C202" s="28" t="str">
        <x:v>Grupo Industrial S.A.</x:v>
      </x:c>
      <x:c r="D202" s="28" t="str">
        <x:v>Planta Curitiba</x:v>
      </x:c>
      <x:c r="E202" s="28" t="str">
        <x:v>AutoPeças BR</x:v>
      </x:c>
      <x:c r="F202" s="28" t="str">
        <x:v>Sul</x:v>
      </x:c>
      <x:c r="G202" s="28" t="str">
        <x:v>TransDados</x:v>
      </x:c>
      <x:c r="H202" s="28" t="str">
        <x:v>Curitiba-Sul</x:v>
      </x:c>
      <x:c r="I202" s="34" t="n">
        <x:v>45394</x:v>
      </x:c>
      <x:c r="J202" s="34" t="n">
        <x:v>45396</x:v>
      </x:c>
      <x:c r="K202" s="32" t="n">
        <x:v>964</x:v>
      </x:c>
      <x:c r="L202" s="32" t="n">
        <x:v>964</x:v>
      </x:c>
      <x:c r="M202" s="30" t="n">
        <x:v>69408</x:v>
      </x:c>
      <x:c r="N202" s="28" t="str">
        <x:v>Em atraso</x:v>
      </x:c>
      <x:c r="O202" s="28" t="str">
        <x:v>Atraso transportadora</x:v>
      </x:c>
      <x:c r="P202" s="30" t="n">
        <x:v>69408</x:v>
      </x:c>
    </x:row>
    <x:row r="203">
      <x:c r="A203" s="28" t="str">
        <x:v>PED-48202</x:v>
      </x:c>
      <x:c r="B203" s="34" t="n">
        <x:v>45383</x:v>
      </x:c>
      <x:c r="C203" s="28" t="str">
        <x:v>Grupo Industrial S.A.</x:v>
      </x:c>
      <x:c r="D203" s="28" t="str">
        <x:v>Planta Curitiba</x:v>
      </x:c>
      <x:c r="E203" s="28" t="str">
        <x:v>Construbem</x:v>
      </x:c>
      <x:c r="F203" s="28" t="str">
        <x:v>Sul</x:v>
      </x:c>
      <x:c r="G203" s="28" t="str">
        <x:v>TransDados</x:v>
      </x:c>
      <x:c r="H203" s="28" t="str">
        <x:v>Curitiba-Sul</x:v>
      </x:c>
      <x:c r="I203" s="34" t="n">
        <x:v>45397</x:v>
      </x:c>
      <x:c r="J203" s="34" t="n">
        <x:v>45397</x:v>
      </x:c>
      <x:c r="K203" s="32" t="n">
        <x:v>1257</x:v>
      </x:c>
      <x:c r="L203" s="32" t="n">
        <x:v>1257</x:v>
      </x:c>
      <x:c r="M203" s="30" t="n">
        <x:v>105588</x:v>
      </x:c>
      <x:c r="N203" s="28" t="str">
        <x:v>OTIF</x:v>
      </x:c>
      <x:c r="O203" s="28" t="str">
        <x:v>Janela perdida no cliente</x:v>
      </x:c>
      <x:c r="P203" s="30" t="n">
        <x:v>0</x:v>
      </x:c>
    </x:row>
    <x:row r="204">
      <x:c r="A204" s="28" t="str">
        <x:v>PED-48203</x:v>
      </x:c>
      <x:c r="B204" s="34" t="n">
        <x:v>45383</x:v>
      </x:c>
      <x:c r="C204" s="28" t="str">
        <x:v>Grupo Industrial S.A.</x:v>
      </x:c>
      <x:c r="D204" s="28" t="str">
        <x:v>Planta Curitiba</x:v>
      </x:c>
      <x:c r="E204" s="28" t="str">
        <x:v>Alimentos SA</x:v>
      </x:c>
      <x:c r="F204" s="28" t="str">
        <x:v>Sul</x:v>
      </x:c>
      <x:c r="G204" s="28" t="str">
        <x:v>TransDados</x:v>
      </x:c>
      <x:c r="H204" s="28" t="str">
        <x:v>Curitiba-Sul</x:v>
      </x:c>
      <x:c r="I204" s="34" t="n">
        <x:v>45400</x:v>
      </x:c>
      <x:c r="J204" s="34" t="n">
        <x:v>45402</x:v>
      </x:c>
      <x:c r="K204" s="32" t="n">
        <x:v>1864</x:v>
      </x:c>
      <x:c r="L204" s="32" t="n">
        <x:v>1864</x:v>
      </x:c>
      <x:c r="M204" s="30" t="n">
        <x:v>134208</x:v>
      </x:c>
      <x:c r="N204" s="28" t="str">
        <x:v>Em atraso</x:v>
      </x:c>
      <x:c r="O204" s="28" t="str">
        <x:v>Atraso transportadora</x:v>
      </x:c>
      <x:c r="P204" s="30" t="n">
        <x:v>134208</x:v>
      </x:c>
    </x:row>
    <x:row r="205">
      <x:c r="A205" s="28" t="str">
        <x:v>PED-48204</x:v>
      </x:c>
      <x:c r="B205" s="34" t="n">
        <x:v>45383</x:v>
      </x:c>
      <x:c r="C205" s="28" t="str">
        <x:v>Grupo Industrial S.A.</x:v>
      </x:c>
      <x:c r="D205" s="28" t="str">
        <x:v>Planta Curitiba</x:v>
      </x:c>
      <x:c r="E205" s="28" t="str">
        <x:v>Farma Vida</x:v>
      </x:c>
      <x:c r="F205" s="28" t="str">
        <x:v>Sul</x:v>
      </x:c>
      <x:c r="G205" s="28" t="str">
        <x:v>TransDados</x:v>
      </x:c>
      <x:c r="H205" s="28" t="str">
        <x:v>Curitiba-Sul</x:v>
      </x:c>
      <x:c r="I205" s="34" t="n">
        <x:v>45403</x:v>
      </x:c>
      <x:c r="J205" s="34" t="n">
        <x:v>45405</x:v>
      </x:c>
      <x:c r="K205" s="32" t="n">
        <x:v>1869</x:v>
      </x:c>
      <x:c r="L205" s="32" t="n">
        <x:v>1869</x:v>
      </x:c>
      <x:c r="M205" s="30" t="n">
        <x:v>134568</x:v>
      </x:c>
      <x:c r="N205" s="28" t="str">
        <x:v>Em atraso</x:v>
      </x:c>
      <x:c r="O205" s="28" t="str">
        <x:v>Atraso transportadora</x:v>
      </x:c>
      <x:c r="P205" s="30" t="n">
        <x:v>134568</x:v>
      </x:c>
    </x:row>
    <x:row r="206">
      <x:c r="A206" s="28" t="str">
        <x:v>PED-48205</x:v>
      </x:c>
      <x:c r="B206" s="34" t="n">
        <x:v>45383</x:v>
      </x:c>
      <x:c r="C206" s="28" t="str">
        <x:v>Grupo Industrial S.A.</x:v>
      </x:c>
      <x:c r="D206" s="28" t="str">
        <x:v>Planta Curitiba</x:v>
      </x:c>
      <x:c r="E206" s="28" t="str">
        <x:v>Construbem</x:v>
      </x:c>
      <x:c r="F206" s="28" t="str">
        <x:v>Sul</x:v>
      </x:c>
      <x:c r="G206" s="28" t="str">
        <x:v>RápidoSul</x:v>
      </x:c>
      <x:c r="H206" s="28" t="str">
        <x:v>Curitiba-Sudeste</x:v>
      </x:c>
      <x:c r="I206" s="34" t="n">
        <x:v>45388</x:v>
      </x:c>
      <x:c r="J206" s="34" t="n">
        <x:v>45392</x:v>
      </x:c>
      <x:c r="K206" s="32" t="n">
        <x:v>2011</x:v>
      </x:c>
      <x:c r="L206" s="32" t="n">
        <x:v>2011</x:v>
      </x:c>
      <x:c r="M206" s="30" t="n">
        <x:v>168924</x:v>
      </x:c>
      <x:c r="N206" s="28" t="str">
        <x:v>Em atraso</x:v>
      </x:c>
      <x:c r="O206" s="28" t="str">
        <x:v>Atraso transportadora</x:v>
      </x:c>
      <x:c r="P206" s="30" t="n">
        <x:v>168924</x:v>
      </x:c>
    </x:row>
    <x:row r="207">
      <x:c r="A207" s="28" t="str">
        <x:v>PED-48206</x:v>
      </x:c>
      <x:c r="B207" s="34" t="n">
        <x:v>45383</x:v>
      </x:c>
      <x:c r="C207" s="28" t="str">
        <x:v>Grupo Industrial S.A.</x:v>
      </x:c>
      <x:c r="D207" s="28" t="str">
        <x:v>Planta Curitiba</x:v>
      </x:c>
      <x:c r="E207" s="28" t="str">
        <x:v>Alimentos SA</x:v>
      </x:c>
      <x:c r="F207" s="28" t="str">
        <x:v>Sul</x:v>
      </x:c>
      <x:c r="G207" s="28" t="str">
        <x:v>RápidoSul</x:v>
      </x:c>
      <x:c r="H207" s="28" t="str">
        <x:v>Curitiba-Sudeste</x:v>
      </x:c>
      <x:c r="I207" s="34" t="n">
        <x:v>45391</x:v>
      </x:c>
      <x:c r="J207" s="34" t="n">
        <x:v>45391</x:v>
      </x:c>
      <x:c r="K207" s="32" t="n">
        <x:v>951</x:v>
      </x:c>
      <x:c r="L207" s="32" t="n">
        <x:v>951</x:v>
      </x:c>
      <x:c r="M207" s="30" t="n">
        <x:v>87492</x:v>
      </x:c>
      <x:c r="N207" s="28" t="str">
        <x:v>OTIF</x:v>
      </x:c>
      <x:c r="O207" s="28" t="str">
        <x:v>Janela perdida no cliente</x:v>
      </x:c>
      <x:c r="P207" s="30" t="n">
        <x:v>0</x:v>
      </x:c>
    </x:row>
    <x:row r="208">
      <x:c r="A208" s="28" t="str">
        <x:v>PED-48207</x:v>
      </x:c>
      <x:c r="B208" s="34" t="n">
        <x:v>45383</x:v>
      </x:c>
      <x:c r="C208" s="28" t="str">
        <x:v>Grupo Industrial S.A.</x:v>
      </x:c>
      <x:c r="D208" s="28" t="str">
        <x:v>Planta Curitiba</x:v>
      </x:c>
      <x:c r="E208" s="28" t="str">
        <x:v>Farma Vida</x:v>
      </x:c>
      <x:c r="F208" s="28" t="str">
        <x:v>Sul</x:v>
      </x:c>
      <x:c r="G208" s="28" t="str">
        <x:v>RápidoSul</x:v>
      </x:c>
      <x:c r="H208" s="28" t="str">
        <x:v>Curitiba-Sudeste</x:v>
      </x:c>
      <x:c r="I208" s="34" t="n">
        <x:v>45394</x:v>
      </x:c>
      <x:c r="J208" s="34" t="n">
        <x:v>45394</x:v>
      </x:c>
      <x:c r="K208" s="32" t="n">
        <x:v>1277</x:v>
      </x:c>
      <x:c r="L208" s="32" t="n">
        <x:v>1277</x:v>
      </x:c>
      <x:c r="M208" s="30" t="n">
        <x:v>107268</x:v>
      </x:c>
      <x:c r="N208" s="28" t="str">
        <x:v>OTIF</x:v>
      </x:c>
      <x:c r="O208" s="28" t="str">
        <x:v>Janela perdida no cliente</x:v>
      </x:c>
      <x:c r="P208" s="30" t="n">
        <x:v>0</x:v>
      </x:c>
    </x:row>
    <x:row r="209">
      <x:c r="A209" s="28" t="str">
        <x:v>PED-48208</x:v>
      </x:c>
      <x:c r="B209" s="34" t="n">
        <x:v>45383</x:v>
      </x:c>
      <x:c r="C209" s="28" t="str">
        <x:v>Grupo Industrial S.A.</x:v>
      </x:c>
      <x:c r="D209" s="28" t="str">
        <x:v>Planta Curitiba</x:v>
      </x:c>
      <x:c r="E209" s="28" t="str">
        <x:v>AutoPeças BR</x:v>
      </x:c>
      <x:c r="F209" s="28" t="str">
        <x:v>Sul</x:v>
      </x:c>
      <x:c r="G209" s="28" t="str">
        <x:v>RápidoSul</x:v>
      </x:c>
      <x:c r="H209" s="28" t="str">
        <x:v>Curitiba-Sudeste</x:v>
      </x:c>
      <x:c r="I209" s="34" t="n">
        <x:v>45397</x:v>
      </x:c>
      <x:c r="J209" s="34" t="n">
        <x:v>45397</x:v>
      </x:c>
      <x:c r="K209" s="32" t="n">
        <x:v>1925</x:v>
      </x:c>
      <x:c r="L209" s="32" t="n">
        <x:v>1925</x:v>
      </x:c>
      <x:c r="M209" s="30" t="n">
        <x:v>177100</x:v>
      </x:c>
      <x:c r="N209" s="28" t="str">
        <x:v>OTIF</x:v>
      </x:c>
      <x:c r="O209" s="28" t="str">
        <x:v>Janela perdida no cliente</x:v>
      </x:c>
      <x:c r="P209" s="30" t="n">
        <x:v>0</x:v>
      </x:c>
    </x:row>
    <x:row r="210">
      <x:c r="A210" s="28" t="str">
        <x:v>PED-48209</x:v>
      </x:c>
      <x:c r="B210" s="34" t="n">
        <x:v>45383</x:v>
      </x:c>
      <x:c r="C210" s="28" t="str">
        <x:v>Grupo Industrial S.A.</x:v>
      </x:c>
      <x:c r="D210" s="28" t="str">
        <x:v>Planta Curitiba</x:v>
      </x:c>
      <x:c r="E210" s="28" t="str">
        <x:v>Construbem</x:v>
      </x:c>
      <x:c r="F210" s="28" t="str">
        <x:v>Sul</x:v>
      </x:c>
      <x:c r="G210" s="28" t="str">
        <x:v>RápidoSul</x:v>
      </x:c>
      <x:c r="H210" s="28" t="str">
        <x:v>Curitiba-Sudeste</x:v>
      </x:c>
      <x:c r="I210" s="34" t="n">
        <x:v>45400</x:v>
      </x:c>
      <x:c r="J210" s="34" t="n">
        <x:v>45400</x:v>
      </x:c>
      <x:c r="K210" s="32" t="n">
        <x:v>1610</x:v>
      </x:c>
      <x:c r="L210" s="32" t="n">
        <x:v>1506</x:v>
      </x:c>
      <x:c r="M210" s="30" t="n">
        <x:v>125580</x:v>
      </x:c>
      <x:c r="N210" s="28" t="str">
        <x:v>Incompleto</x:v>
      </x:c>
      <x:c r="O210" s="28" t="str">
        <x:v>Falta de produto</x:v>
      </x:c>
      <x:c r="P210" s="30" t="n">
        <x:v>125580</x:v>
      </x:c>
    </x:row>
    <x:row r="211">
      <x:c r="A211" s="28" t="str">
        <x:v>PED-48210</x:v>
      </x:c>
      <x:c r="B211" s="34" t="n">
        <x:v>45383</x:v>
      </x:c>
      <x:c r="C211" s="28" t="str">
        <x:v>Grupo Industrial S.A.</x:v>
      </x:c>
      <x:c r="D211" s="28" t="str">
        <x:v>Planta Curitiba</x:v>
      </x:c>
      <x:c r="E211" s="28" t="str">
        <x:v>Alimentos SA</x:v>
      </x:c>
      <x:c r="F211" s="28" t="str">
        <x:v>Sul</x:v>
      </x:c>
      <x:c r="G211" s="28" t="str">
        <x:v>RápidoSul</x:v>
      </x:c>
      <x:c r="H211" s="28" t="str">
        <x:v>Curitiba-Sudeste</x:v>
      </x:c>
      <x:c r="I211" s="34" t="n">
        <x:v>45403</x:v>
      </x:c>
      <x:c r="J211" s="34" t="n">
        <x:v>45403</x:v>
      </x:c>
      <x:c r="K211" s="32" t="n">
        <x:v>1033</x:v>
      </x:c>
      <x:c r="L211" s="32" t="n">
        <x:v>1033</x:v>
      </x:c>
      <x:c r="M211" s="30" t="n">
        <x:v>86772</x:v>
      </x:c>
      <x:c r="N211" s="28" t="str">
        <x:v>OTIF</x:v>
      </x:c>
      <x:c r="O211" s="28" t="str">
        <x:v>Janela perdida no cliente</x:v>
      </x:c>
      <x:c r="P211" s="30" t="n">
        <x:v>0</x:v>
      </x:c>
    </x:row>
    <x:row r="212">
      <x:c r="A212" s="28" t="str">
        <x:v>PED-48211</x:v>
      </x:c>
      <x:c r="B212" s="34" t="n">
        <x:v>45383</x:v>
      </x:c>
      <x:c r="C212" s="28" t="str">
        <x:v>Grupo Industrial S.A.</x:v>
      </x:c>
      <x:c r="D212" s="28" t="str">
        <x:v>Planta Curitiba</x:v>
      </x:c>
      <x:c r="E212" s="28" t="str">
        <x:v>AutoPeças BR</x:v>
      </x:c>
      <x:c r="F212" s="28" t="str">
        <x:v>Sul</x:v>
      </x:c>
      <x:c r="G212" s="28" t="str">
        <x:v>NovaLog</x:v>
      </x:c>
      <x:c r="H212" s="28" t="str">
        <x:v>Curitiba-Centro-Oeste</x:v>
      </x:c>
      <x:c r="I212" s="34" t="n">
        <x:v>45388</x:v>
      </x:c>
      <x:c r="J212" s="34" t="n">
        <x:v>45389</x:v>
      </x:c>
      <x:c r="K212" s="32" t="n">
        <x:v>1427</x:v>
      </x:c>
      <x:c r="L212" s="32" t="n">
        <x:v>1427</x:v>
      </x:c>
      <x:c r="M212" s="30" t="n">
        <x:v>119868</x:v>
      </x:c>
      <x:c r="N212" s="28" t="str">
        <x:v>Em atraso</x:v>
      </x:c>
      <x:c r="O212" s="28" t="str">
        <x:v>Janela perdida no cliente</x:v>
      </x:c>
      <x:c r="P212" s="30" t="n">
        <x:v>119868</x:v>
      </x:c>
    </x:row>
    <x:row r="213">
      <x:c r="A213" s="28" t="str">
        <x:v>PED-48212</x:v>
      </x:c>
      <x:c r="B213" s="34" t="n">
        <x:v>45383</x:v>
      </x:c>
      <x:c r="C213" s="28" t="str">
        <x:v>Grupo Industrial S.A.</x:v>
      </x:c>
      <x:c r="D213" s="28" t="str">
        <x:v>Planta Curitiba</x:v>
      </x:c>
      <x:c r="E213" s="28" t="str">
        <x:v>Construbem</x:v>
      </x:c>
      <x:c r="F213" s="28" t="str">
        <x:v>Sul</x:v>
      </x:c>
      <x:c r="G213" s="28" t="str">
        <x:v>NovaLog</x:v>
      </x:c>
      <x:c r="H213" s="28" t="str">
        <x:v>Curitiba-Centro-Oeste</x:v>
      </x:c>
      <x:c r="I213" s="34" t="n">
        <x:v>45391</x:v>
      </x:c>
      <x:c r="J213" s="34" t="n">
        <x:v>45395</x:v>
      </x:c>
      <x:c r="K213" s="32" t="n">
        <x:v>1065</x:v>
      </x:c>
      <x:c r="L213" s="32" t="n">
        <x:v>1065</x:v>
      </x:c>
      <x:c r="M213" s="30" t="n">
        <x:v>89460</x:v>
      </x:c>
      <x:c r="N213" s="28" t="str">
        <x:v>Em atraso</x:v>
      </x:c>
      <x:c r="O213" s="28" t="str">
        <x:v>Atraso transportadora</x:v>
      </x:c>
      <x:c r="P213" s="30" t="n">
        <x:v>89460</x:v>
      </x:c>
    </x:row>
    <x:row r="214">
      <x:c r="A214" s="28" t="str">
        <x:v>PED-48213</x:v>
      </x:c>
      <x:c r="B214" s="34" t="n">
        <x:v>45383</x:v>
      </x:c>
      <x:c r="C214" s="28" t="str">
        <x:v>Grupo Industrial S.A.</x:v>
      </x:c>
      <x:c r="D214" s="28" t="str">
        <x:v>Planta Curitiba</x:v>
      </x:c>
      <x:c r="E214" s="28" t="str">
        <x:v>Alimentos SA</x:v>
      </x:c>
      <x:c r="F214" s="28" t="str">
        <x:v>Sul</x:v>
      </x:c>
      <x:c r="G214" s="28" t="str">
        <x:v>NovaLog</x:v>
      </x:c>
      <x:c r="H214" s="28" t="str">
        <x:v>Curitiba-Centro-Oeste</x:v>
      </x:c>
      <x:c r="I214" s="34" t="n">
        <x:v>45394</x:v>
      </x:c>
      <x:c r="J214" s="34" t="n">
        <x:v>45395</x:v>
      </x:c>
      <x:c r="K214" s="32" t="n">
        <x:v>2160</x:v>
      </x:c>
      <x:c r="L214" s="32" t="n">
        <x:v>1933</x:v>
      </x:c>
      <x:c r="M214" s="30" t="n">
        <x:v>155520</x:v>
      </x:c>
      <x:c r="N214" s="28" t="str">
        <x:v>Em atraso</x:v>
      </x:c>
      <x:c r="O214" s="28" t="str">
        <x:v>Atraso transportadora</x:v>
      </x:c>
      <x:c r="P214" s="30" t="n">
        <x:v>155520</x:v>
      </x:c>
    </x:row>
    <x:row r="215">
      <x:c r="A215" s="28" t="str">
        <x:v>PED-48214</x:v>
      </x:c>
      <x:c r="B215" s="34" t="n">
        <x:v>45383</x:v>
      </x:c>
      <x:c r="C215" s="28" t="str">
        <x:v>Grupo Industrial S.A.</x:v>
      </x:c>
      <x:c r="D215" s="28" t="str">
        <x:v>Planta Curitiba</x:v>
      </x:c>
      <x:c r="E215" s="28" t="str">
        <x:v>Farma Vida</x:v>
      </x:c>
      <x:c r="F215" s="28" t="str">
        <x:v>Sul</x:v>
      </x:c>
      <x:c r="G215" s="28" t="str">
        <x:v>NovaLog</x:v>
      </x:c>
      <x:c r="H215" s="28" t="str">
        <x:v>Curitiba-Centro-Oeste</x:v>
      </x:c>
      <x:c r="I215" s="34" t="n">
        <x:v>45397</x:v>
      </x:c>
      <x:c r="J215" s="34" t="n">
        <x:v>45398</x:v>
      </x:c>
      <x:c r="K215" s="32" t="n">
        <x:v>1180</x:v>
      </x:c>
      <x:c r="L215" s="32" t="n">
        <x:v>1180</x:v>
      </x:c>
      <x:c r="M215" s="30" t="n">
        <x:v>92040</x:v>
      </x:c>
      <x:c r="N215" s="28" t="str">
        <x:v>Em atraso</x:v>
      </x:c>
      <x:c r="O215" s="28" t="str">
        <x:v>Janela perdida no cliente</x:v>
      </x:c>
      <x:c r="P215" s="30" t="n">
        <x:v>92040</x:v>
      </x:c>
    </x:row>
    <x:row r="216">
      <x:c r="A216" s="28" t="str">
        <x:v>PED-48215</x:v>
      </x:c>
      <x:c r="B216" s="34" t="n">
        <x:v>45383</x:v>
      </x:c>
      <x:c r="C216" s="28" t="str">
        <x:v>Grupo Industrial S.A.</x:v>
      </x:c>
      <x:c r="D216" s="28" t="str">
        <x:v>Planta Curitiba</x:v>
      </x:c>
      <x:c r="E216" s="28" t="str">
        <x:v>AutoPeças BR</x:v>
      </x:c>
      <x:c r="F216" s="28" t="str">
        <x:v>Sul</x:v>
      </x:c>
      <x:c r="G216" s="28" t="str">
        <x:v>NovaLog</x:v>
      </x:c>
      <x:c r="H216" s="28" t="str">
        <x:v>Curitiba-Centro-Oeste</x:v>
      </x:c>
      <x:c r="I216" s="34" t="n">
        <x:v>45400</x:v>
      </x:c>
      <x:c r="J216" s="34" t="n">
        <x:v>45402</x:v>
      </x:c>
      <x:c r="K216" s="32" t="n">
        <x:v>1229</x:v>
      </x:c>
      <x:c r="L216" s="32" t="n">
        <x:v>1229</x:v>
      </x:c>
      <x:c r="M216" s="30" t="n">
        <x:v>113068</x:v>
      </x:c>
      <x:c r="N216" s="28" t="str">
        <x:v>Em atraso</x:v>
      </x:c>
      <x:c r="O216" s="28" t="str">
        <x:v>Janela perdida no cliente</x:v>
      </x:c>
      <x:c r="P216" s="30" t="n">
        <x:v>113068</x:v>
      </x:c>
    </x:row>
    <x:row r="217">
      <x:c r="A217" s="28" t="str">
        <x:v>PED-48216</x:v>
      </x:c>
      <x:c r="B217" s="34" t="n">
        <x:v>45383</x:v>
      </x:c>
      <x:c r="C217" s="28" t="str">
        <x:v>Grupo Industrial S.A.</x:v>
      </x:c>
      <x:c r="D217" s="28" t="str">
        <x:v>Planta Curitiba</x:v>
      </x:c>
      <x:c r="E217" s="28" t="str">
        <x:v>Construbem</x:v>
      </x:c>
      <x:c r="F217" s="28" t="str">
        <x:v>Sul</x:v>
      </x:c>
      <x:c r="G217" s="28" t="str">
        <x:v>NovaLog</x:v>
      </x:c>
      <x:c r="H217" s="28" t="str">
        <x:v>Curitiba-Centro-Oeste</x:v>
      </x:c>
      <x:c r="I217" s="34" t="n">
        <x:v>45403</x:v>
      </x:c>
      <x:c r="J217" s="34" t="n">
        <x:v>45403</x:v>
      </x:c>
      <x:c r="K217" s="32" t="n">
        <x:v>1517</x:v>
      </x:c>
      <x:c r="L217" s="32" t="n">
        <x:v>1517</x:v>
      </x:c>
      <x:c r="M217" s="30" t="n">
        <x:v>127428</x:v>
      </x:c>
      <x:c r="N217" s="28" t="str">
        <x:v>OTIF</x:v>
      </x:c>
      <x:c r="O217" s="28" t="str">
        <x:v>Janela perdida no cliente</x:v>
      </x:c>
      <x:c r="P217" s="30" t="n">
        <x:v>0</x:v>
      </x:c>
    </x:row>
    <x:row r="218">
      <x:c r="A218" s="28" t="str">
        <x:v>PED-48217</x:v>
      </x:c>
      <x:c r="B218" s="34" t="n">
        <x:v>45413</x:v>
      </x:c>
      <x:c r="C218" s="28" t="str">
        <x:v>Grupo Industrial S.A.</x:v>
      </x:c>
      <x:c r="D218" s="28" t="str">
        <x:v>Planta São Paulo</x:v>
      </x:c>
      <x:c r="E218" s="28" t="str">
        <x:v>Farma Vida</x:v>
      </x:c>
      <x:c r="F218" s="28" t="str">
        <x:v>Sudeste</x:v>
      </x:c>
      <x:c r="G218" s="28" t="str">
        <x:v>TransDados</x:v>
      </x:c>
      <x:c r="H218" s="28" t="str">
        <x:v>SP-Sudeste</x:v>
      </x:c>
      <x:c r="I218" s="34" t="n">
        <x:v>45418</x:v>
      </x:c>
      <x:c r="J218" s="34" t="n">
        <x:v>45420</x:v>
      </x:c>
      <x:c r="K218" s="32" t="n">
        <x:v>1115</x:v>
      </x:c>
      <x:c r="L218" s="32" t="n">
        <x:v>1115</x:v>
      </x:c>
      <x:c r="M218" s="30" t="n">
        <x:v>102580</x:v>
      </x:c>
      <x:c r="N218" s="28" t="str">
        <x:v>Em atraso</x:v>
      </x:c>
      <x:c r="O218" s="28" t="str">
        <x:v>Janela perdida no cliente</x:v>
      </x:c>
      <x:c r="P218" s="30" t="n">
        <x:v>102580</x:v>
      </x:c>
    </x:row>
    <x:row r="219">
      <x:c r="A219" s="28" t="str">
        <x:v>PED-48218</x:v>
      </x:c>
      <x:c r="B219" s="34" t="n">
        <x:v>45413</x:v>
      </x:c>
      <x:c r="C219" s="28" t="str">
        <x:v>Grupo Industrial S.A.</x:v>
      </x:c>
      <x:c r="D219" s="28" t="str">
        <x:v>Planta São Paulo</x:v>
      </x:c>
      <x:c r="E219" s="28" t="str">
        <x:v>AutoPeças BR</x:v>
      </x:c>
      <x:c r="F219" s="28" t="str">
        <x:v>Sudeste</x:v>
      </x:c>
      <x:c r="G219" s="28" t="str">
        <x:v>TransDados</x:v>
      </x:c>
      <x:c r="H219" s="28" t="str">
        <x:v>SP-Sudeste</x:v>
      </x:c>
      <x:c r="I219" s="34" t="n">
        <x:v>45421</x:v>
      </x:c>
      <x:c r="J219" s="34" t="n">
        <x:v>45423</x:v>
      </x:c>
      <x:c r="K219" s="32" t="n">
        <x:v>1666</x:v>
      </x:c>
      <x:c r="L219" s="32" t="n">
        <x:v>1666</x:v>
      </x:c>
      <x:c r="M219" s="30" t="n">
        <x:v>139944</x:v>
      </x:c>
      <x:c r="N219" s="28" t="str">
        <x:v>Em atraso</x:v>
      </x:c>
      <x:c r="O219" s="28" t="str">
        <x:v>Atraso transportadora</x:v>
      </x:c>
      <x:c r="P219" s="30" t="n">
        <x:v>139944</x:v>
      </x:c>
    </x:row>
    <x:row r="220">
      <x:c r="A220" s="28" t="str">
        <x:v>PED-48219</x:v>
      </x:c>
      <x:c r="B220" s="34" t="n">
        <x:v>45413</x:v>
      </x:c>
      <x:c r="C220" s="28" t="str">
        <x:v>Grupo Industrial S.A.</x:v>
      </x:c>
      <x:c r="D220" s="28" t="str">
        <x:v>Planta São Paulo</x:v>
      </x:c>
      <x:c r="E220" s="28" t="str">
        <x:v>Construbem</x:v>
      </x:c>
      <x:c r="F220" s="28" t="str">
        <x:v>Sudeste</x:v>
      </x:c>
      <x:c r="G220" s="28" t="str">
        <x:v>TransDados</x:v>
      </x:c>
      <x:c r="H220" s="28" t="str">
        <x:v>SP-Sudeste</x:v>
      </x:c>
      <x:c r="I220" s="34" t="n">
        <x:v>45424</x:v>
      </x:c>
      <x:c r="J220" s="34" t="n">
        <x:v>45426</x:v>
      </x:c>
      <x:c r="K220" s="32" t="n">
        <x:v>1519</x:v>
      </x:c>
      <x:c r="L220" s="32" t="n">
        <x:v>1519</x:v>
      </x:c>
      <x:c r="M220" s="30" t="n">
        <x:v>109368</x:v>
      </x:c>
      <x:c r="N220" s="28" t="str">
        <x:v>Em atraso</x:v>
      </x:c>
      <x:c r="O220" s="28" t="str">
        <x:v>Atraso transportadora</x:v>
      </x:c>
      <x:c r="P220" s="30" t="n">
        <x:v>109368</x:v>
      </x:c>
    </x:row>
    <x:row r="221">
      <x:c r="A221" s="28" t="str">
        <x:v>PED-48220</x:v>
      </x:c>
      <x:c r="B221" s="34" t="n">
        <x:v>45413</x:v>
      </x:c>
      <x:c r="C221" s="28" t="str">
        <x:v>Grupo Industrial S.A.</x:v>
      </x:c>
      <x:c r="D221" s="28" t="str">
        <x:v>Planta São Paulo</x:v>
      </x:c>
      <x:c r="E221" s="28" t="str">
        <x:v>Alimentos SA</x:v>
      </x:c>
      <x:c r="F221" s="28" t="str">
        <x:v>Sudeste</x:v>
      </x:c>
      <x:c r="G221" s="28" t="str">
        <x:v>TransDados</x:v>
      </x:c>
      <x:c r="H221" s="28" t="str">
        <x:v>SP-Sudeste</x:v>
      </x:c>
      <x:c r="I221" s="34" t="n">
        <x:v>45427</x:v>
      </x:c>
      <x:c r="J221" s="34" t="n">
        <x:v>45431</x:v>
      </x:c>
      <x:c r="K221" s="32" t="n">
        <x:v>1756</x:v>
      </x:c>
      <x:c r="L221" s="32" t="n">
        <x:v>1756</x:v>
      </x:c>
      <x:c r="M221" s="30" t="n">
        <x:v>136968</x:v>
      </x:c>
      <x:c r="N221" s="28" t="str">
        <x:v>Em atraso</x:v>
      </x:c>
      <x:c r="O221" s="28" t="str">
        <x:v>Atraso transportadora</x:v>
      </x:c>
      <x:c r="P221" s="30" t="n">
        <x:v>136968</x:v>
      </x:c>
    </x:row>
    <x:row r="222">
      <x:c r="A222" s="28" t="str">
        <x:v>PED-48221</x:v>
      </x:c>
      <x:c r="B222" s="34" t="n">
        <x:v>45413</x:v>
      </x:c>
      <x:c r="C222" s="28" t="str">
        <x:v>Grupo Industrial S.A.</x:v>
      </x:c>
      <x:c r="D222" s="28" t="str">
        <x:v>Planta São Paulo</x:v>
      </x:c>
      <x:c r="E222" s="28" t="str">
        <x:v>Farma Vida</x:v>
      </x:c>
      <x:c r="F222" s="28" t="str">
        <x:v>Sudeste</x:v>
      </x:c>
      <x:c r="G222" s="28" t="str">
        <x:v>TransDados</x:v>
      </x:c>
      <x:c r="H222" s="28" t="str">
        <x:v>SP-Sudeste</x:v>
      </x:c>
      <x:c r="I222" s="34" t="n">
        <x:v>45430</x:v>
      </x:c>
      <x:c r="J222" s="34" t="n">
        <x:v>45434</x:v>
      </x:c>
      <x:c r="K222" s="32" t="n">
        <x:v>1879</x:v>
      </x:c>
      <x:c r="L222" s="32" t="n">
        <x:v>1879</x:v>
      </x:c>
      <x:c r="M222" s="30" t="n">
        <x:v>135288</x:v>
      </x:c>
      <x:c r="N222" s="28" t="str">
        <x:v>Em atraso</x:v>
      </x:c>
      <x:c r="O222" s="28" t="str">
        <x:v>Atraso transportadora</x:v>
      </x:c>
      <x:c r="P222" s="30" t="n">
        <x:v>135288</x:v>
      </x:c>
    </x:row>
    <x:row r="223">
      <x:c r="A223" s="28" t="str">
        <x:v>PED-48222</x:v>
      </x:c>
      <x:c r="B223" s="34" t="n">
        <x:v>45413</x:v>
      </x:c>
      <x:c r="C223" s="28" t="str">
        <x:v>Grupo Industrial S.A.</x:v>
      </x:c>
      <x:c r="D223" s="28" t="str">
        <x:v>Planta São Paulo</x:v>
      </x:c>
      <x:c r="E223" s="28" t="str">
        <x:v>AutoPeças BR</x:v>
      </x:c>
      <x:c r="F223" s="28" t="str">
        <x:v>Sudeste</x:v>
      </x:c>
      <x:c r="G223" s="28" t="str">
        <x:v>TransDados</x:v>
      </x:c>
      <x:c r="H223" s="28" t="str">
        <x:v>SP-Sudeste</x:v>
      </x:c>
      <x:c r="I223" s="34" t="n">
        <x:v>45433</x:v>
      </x:c>
      <x:c r="J223" s="34" t="n">
        <x:v>45437</x:v>
      </x:c>
      <x:c r="K223" s="32" t="n">
        <x:v>875</x:v>
      </x:c>
      <x:c r="L223" s="32" t="n">
        <x:v>875</x:v>
      </x:c>
      <x:c r="M223" s="30" t="n">
        <x:v>73500</x:v>
      </x:c>
      <x:c r="N223" s="28" t="str">
        <x:v>Em atraso</x:v>
      </x:c>
      <x:c r="O223" s="28" t="str">
        <x:v>Atraso transportadora</x:v>
      </x:c>
      <x:c r="P223" s="30" t="n">
        <x:v>73500</x:v>
      </x:c>
    </x:row>
    <x:row r="224">
      <x:c r="A224" s="28" t="str">
        <x:v>PED-48223</x:v>
      </x:c>
      <x:c r="B224" s="34" t="n">
        <x:v>45413</x:v>
      </x:c>
      <x:c r="C224" s="28" t="str">
        <x:v>Grupo Industrial S.A.</x:v>
      </x:c>
      <x:c r="D224" s="28" t="str">
        <x:v>Planta São Paulo</x:v>
      </x:c>
      <x:c r="E224" s="28" t="str">
        <x:v>Alimentos SA</x:v>
      </x:c>
      <x:c r="F224" s="28" t="str">
        <x:v>Sudeste</x:v>
      </x:c>
      <x:c r="G224" s="28" t="str">
        <x:v>RápidoSul</x:v>
      </x:c>
      <x:c r="H224" s="28" t="str">
        <x:v>SP-Centro-Oeste</x:v>
      </x:c>
      <x:c r="I224" s="34" t="n">
        <x:v>45418</x:v>
      </x:c>
      <x:c r="J224" s="34" t="n">
        <x:v>45418</x:v>
      </x:c>
      <x:c r="K224" s="32" t="n">
        <x:v>723</x:v>
      </x:c>
      <x:c r="L224" s="32" t="n">
        <x:v>723</x:v>
      </x:c>
      <x:c r="M224" s="30" t="n">
        <x:v>60732</x:v>
      </x:c>
      <x:c r="N224" s="28" t="str">
        <x:v>OTIF</x:v>
      </x:c>
      <x:c r="O224" s="28" t="str">
        <x:v>Janela perdida no cliente</x:v>
      </x:c>
      <x:c r="P224" s="30" t="n">
        <x:v>0</x:v>
      </x:c>
    </x:row>
    <x:row r="225">
      <x:c r="A225" s="28" t="str">
        <x:v>PED-48224</x:v>
      </x:c>
      <x:c r="B225" s="34" t="n">
        <x:v>45413</x:v>
      </x:c>
      <x:c r="C225" s="28" t="str">
        <x:v>Grupo Industrial S.A.</x:v>
      </x:c>
      <x:c r="D225" s="28" t="str">
        <x:v>Planta São Paulo</x:v>
      </x:c>
      <x:c r="E225" s="28" t="str">
        <x:v>Farma Vida</x:v>
      </x:c>
      <x:c r="F225" s="28" t="str">
        <x:v>Sudeste</x:v>
      </x:c>
      <x:c r="G225" s="28" t="str">
        <x:v>RápidoSul</x:v>
      </x:c>
      <x:c r="H225" s="28" t="str">
        <x:v>SP-Centro-Oeste</x:v>
      </x:c>
      <x:c r="I225" s="34" t="n">
        <x:v>45421</x:v>
      </x:c>
      <x:c r="J225" s="34" t="n">
        <x:v>45422</x:v>
      </x:c>
      <x:c r="K225" s="32" t="n">
        <x:v>1836</x:v>
      </x:c>
      <x:c r="L225" s="32" t="n">
        <x:v>1836</x:v>
      </x:c>
      <x:c r="M225" s="30" t="n">
        <x:v>143208</x:v>
      </x:c>
      <x:c r="N225" s="28" t="str">
        <x:v>Em atraso</x:v>
      </x:c>
      <x:c r="O225" s="28" t="str">
        <x:v>Janela perdida no cliente</x:v>
      </x:c>
      <x:c r="P225" s="30" t="n">
        <x:v>143208</x:v>
      </x:c>
    </x:row>
    <x:row r="226">
      <x:c r="A226" s="28" t="str">
        <x:v>PED-48225</x:v>
      </x:c>
      <x:c r="B226" s="34" t="n">
        <x:v>45413</x:v>
      </x:c>
      <x:c r="C226" s="28" t="str">
        <x:v>Grupo Industrial S.A.</x:v>
      </x:c>
      <x:c r="D226" s="28" t="str">
        <x:v>Planta São Paulo</x:v>
      </x:c>
      <x:c r="E226" s="28" t="str">
        <x:v>AutoPeças BR</x:v>
      </x:c>
      <x:c r="F226" s="28" t="str">
        <x:v>Sudeste</x:v>
      </x:c>
      <x:c r="G226" s="28" t="str">
        <x:v>RápidoSul</x:v>
      </x:c>
      <x:c r="H226" s="28" t="str">
        <x:v>SP-Centro-Oeste</x:v>
      </x:c>
      <x:c r="I226" s="34" t="n">
        <x:v>45424</x:v>
      </x:c>
      <x:c r="J226" s="34" t="n">
        <x:v>45424</x:v>
      </x:c>
      <x:c r="K226" s="32" t="n">
        <x:v>2023</x:v>
      </x:c>
      <x:c r="L226" s="32" t="n">
        <x:v>2023</x:v>
      </x:c>
      <x:c r="M226" s="30" t="n">
        <x:v>157794</x:v>
      </x:c>
      <x:c r="N226" s="28" t="str">
        <x:v>OTIF</x:v>
      </x:c>
      <x:c r="O226" s="28" t="str">
        <x:v>Janela perdida no cliente</x:v>
      </x:c>
      <x:c r="P226" s="30" t="n">
        <x:v>0</x:v>
      </x:c>
    </x:row>
    <x:row r="227">
      <x:c r="A227" s="28" t="str">
        <x:v>PED-48226</x:v>
      </x:c>
      <x:c r="B227" s="34" t="n">
        <x:v>45413</x:v>
      </x:c>
      <x:c r="C227" s="28" t="str">
        <x:v>Grupo Industrial S.A.</x:v>
      </x:c>
      <x:c r="D227" s="28" t="str">
        <x:v>Planta São Paulo</x:v>
      </x:c>
      <x:c r="E227" s="28" t="str">
        <x:v>Construbem</x:v>
      </x:c>
      <x:c r="F227" s="28" t="str">
        <x:v>Sudeste</x:v>
      </x:c>
      <x:c r="G227" s="28" t="str">
        <x:v>RápidoSul</x:v>
      </x:c>
      <x:c r="H227" s="28" t="str">
        <x:v>SP-Centro-Oeste</x:v>
      </x:c>
      <x:c r="I227" s="34" t="n">
        <x:v>45427</x:v>
      </x:c>
      <x:c r="J227" s="34" t="n">
        <x:v>45429</x:v>
      </x:c>
      <x:c r="K227" s="32" t="n">
        <x:v>1612</x:v>
      </x:c>
      <x:c r="L227" s="32" t="n">
        <x:v>1557</x:v>
      </x:c>
      <x:c r="M227" s="30" t="n">
        <x:v>125736</x:v>
      </x:c>
      <x:c r="N227" s="28" t="str">
        <x:v>Em atraso</x:v>
      </x:c>
      <x:c r="O227" s="28" t="str">
        <x:v>Atraso transportadora</x:v>
      </x:c>
      <x:c r="P227" s="30" t="n">
        <x:v>125736</x:v>
      </x:c>
    </x:row>
    <x:row r="228">
      <x:c r="A228" s="28" t="str">
        <x:v>PED-48227</x:v>
      </x:c>
      <x:c r="B228" s="34" t="n">
        <x:v>45413</x:v>
      </x:c>
      <x:c r="C228" s="28" t="str">
        <x:v>Grupo Industrial S.A.</x:v>
      </x:c>
      <x:c r="D228" s="28" t="str">
        <x:v>Planta São Paulo</x:v>
      </x:c>
      <x:c r="E228" s="28" t="str">
        <x:v>Alimentos SA</x:v>
      </x:c>
      <x:c r="F228" s="28" t="str">
        <x:v>Sudeste</x:v>
      </x:c>
      <x:c r="G228" s="28" t="str">
        <x:v>RápidoSul</x:v>
      </x:c>
      <x:c r="H228" s="28" t="str">
        <x:v>SP-Centro-Oeste</x:v>
      </x:c>
      <x:c r="I228" s="34" t="n">
        <x:v>45430</x:v>
      </x:c>
      <x:c r="J228" s="34" t="n">
        <x:v>45434</x:v>
      </x:c>
      <x:c r="K228" s="32" t="n">
        <x:v>1315</x:v>
      </x:c>
      <x:c r="L228" s="32" t="n">
        <x:v>1315</x:v>
      </x:c>
      <x:c r="M228" s="30" t="n">
        <x:v>94680</x:v>
      </x:c>
      <x:c r="N228" s="28" t="str">
        <x:v>Em atraso</x:v>
      </x:c>
      <x:c r="O228" s="28" t="str">
        <x:v>Atraso transportadora</x:v>
      </x:c>
      <x:c r="P228" s="30" t="n">
        <x:v>94680</x:v>
      </x:c>
    </x:row>
    <x:row r="229">
      <x:c r="A229" s="28" t="str">
        <x:v>PED-48228</x:v>
      </x:c>
      <x:c r="B229" s="34" t="n">
        <x:v>45413</x:v>
      </x:c>
      <x:c r="C229" s="28" t="str">
        <x:v>Grupo Industrial S.A.</x:v>
      </x:c>
      <x:c r="D229" s="28" t="str">
        <x:v>Planta São Paulo</x:v>
      </x:c>
      <x:c r="E229" s="28" t="str">
        <x:v>Farma Vida</x:v>
      </x:c>
      <x:c r="F229" s="28" t="str">
        <x:v>Sudeste</x:v>
      </x:c>
      <x:c r="G229" s="28" t="str">
        <x:v>RápidoSul</x:v>
      </x:c>
      <x:c r="H229" s="28" t="str">
        <x:v>SP-Centro-Oeste</x:v>
      </x:c>
      <x:c r="I229" s="34" t="n">
        <x:v>45433</x:v>
      </x:c>
      <x:c r="J229" s="34" t="n">
        <x:v>45434</x:v>
      </x:c>
      <x:c r="K229" s="32" t="n">
        <x:v>817</x:v>
      </x:c>
      <x:c r="L229" s="32" t="n">
        <x:v>766</x:v>
      </x:c>
      <x:c r="M229" s="30" t="n">
        <x:v>63726</x:v>
      </x:c>
      <x:c r="N229" s="28" t="str">
        <x:v>Em atraso</x:v>
      </x:c>
      <x:c r="O229" s="28" t="str">
        <x:v>Atraso transportadora</x:v>
      </x:c>
      <x:c r="P229" s="30" t="n">
        <x:v>63726</x:v>
      </x:c>
    </x:row>
    <x:row r="230">
      <x:c r="A230" s="28" t="str">
        <x:v>PED-48229</x:v>
      </x:c>
      <x:c r="B230" s="34" t="n">
        <x:v>45413</x:v>
      </x:c>
      <x:c r="C230" s="28" t="str">
        <x:v>Grupo Industrial S.A.</x:v>
      </x:c>
      <x:c r="D230" s="28" t="str">
        <x:v>Planta São Paulo</x:v>
      </x:c>
      <x:c r="E230" s="28" t="str">
        <x:v>Construbem</x:v>
      </x:c>
      <x:c r="F230" s="28" t="str">
        <x:v>Sudeste</x:v>
      </x:c>
      <x:c r="G230" s="28" t="str">
        <x:v>NovaLog</x:v>
      </x:c>
      <x:c r="H230" s="28" t="str">
        <x:v>SP-Nordeste</x:v>
      </x:c>
      <x:c r="I230" s="34" t="n">
        <x:v>45418</x:v>
      </x:c>
      <x:c r="J230" s="34" t="n">
        <x:v>45419</x:v>
      </x:c>
      <x:c r="K230" s="32" t="n">
        <x:v>1571</x:v>
      </x:c>
      <x:c r="L230" s="32" t="n">
        <x:v>1571</x:v>
      </x:c>
      <x:c r="M230" s="30" t="n">
        <x:v>122538</x:v>
      </x:c>
      <x:c r="N230" s="28" t="str">
        <x:v>Em atraso</x:v>
      </x:c>
      <x:c r="O230" s="28" t="str">
        <x:v>Atraso transportadora</x:v>
      </x:c>
      <x:c r="P230" s="30" t="n">
        <x:v>122538</x:v>
      </x:c>
    </x:row>
    <x:row r="231">
      <x:c r="A231" s="28" t="str">
        <x:v>PED-48230</x:v>
      </x:c>
      <x:c r="B231" s="34" t="n">
        <x:v>45413</x:v>
      </x:c>
      <x:c r="C231" s="28" t="str">
        <x:v>Grupo Industrial S.A.</x:v>
      </x:c>
      <x:c r="D231" s="28" t="str">
        <x:v>Planta São Paulo</x:v>
      </x:c>
      <x:c r="E231" s="28" t="str">
        <x:v>Alimentos SA</x:v>
      </x:c>
      <x:c r="F231" s="28" t="str">
        <x:v>Sudeste</x:v>
      </x:c>
      <x:c r="G231" s="28" t="str">
        <x:v>NovaLog</x:v>
      </x:c>
      <x:c r="H231" s="28" t="str">
        <x:v>SP-Nordeste</x:v>
      </x:c>
      <x:c r="I231" s="34" t="n">
        <x:v>45421</x:v>
      </x:c>
      <x:c r="J231" s="34" t="n">
        <x:v>45421</x:v>
      </x:c>
      <x:c r="K231" s="32" t="n">
        <x:v>1563</x:v>
      </x:c>
      <x:c r="L231" s="32" t="n">
        <x:v>1563</x:v>
      </x:c>
      <x:c r="M231" s="30" t="n">
        <x:v>121914</x:v>
      </x:c>
      <x:c r="N231" s="28" t="str">
        <x:v>OTIF</x:v>
      </x:c>
      <x:c r="O231" s="28" t="str">
        <x:v>Janela perdida no cliente</x:v>
      </x:c>
      <x:c r="P231" s="30" t="n">
        <x:v>0</x:v>
      </x:c>
    </x:row>
    <x:row r="232">
      <x:c r="A232" s="28" t="str">
        <x:v>PED-48231</x:v>
      </x:c>
      <x:c r="B232" s="34" t="n">
        <x:v>45413</x:v>
      </x:c>
      <x:c r="C232" s="28" t="str">
        <x:v>Grupo Industrial S.A.</x:v>
      </x:c>
      <x:c r="D232" s="28" t="str">
        <x:v>Planta São Paulo</x:v>
      </x:c>
      <x:c r="E232" s="28" t="str">
        <x:v>Farma Vida</x:v>
      </x:c>
      <x:c r="F232" s="28" t="str">
        <x:v>Sudeste</x:v>
      </x:c>
      <x:c r="G232" s="28" t="str">
        <x:v>NovaLog</x:v>
      </x:c>
      <x:c r="H232" s="28" t="str">
        <x:v>SP-Nordeste</x:v>
      </x:c>
      <x:c r="I232" s="34" t="n">
        <x:v>45424</x:v>
      </x:c>
      <x:c r="J232" s="34" t="n">
        <x:v>45424</x:v>
      </x:c>
      <x:c r="K232" s="32" t="n">
        <x:v>1651</x:v>
      </x:c>
      <x:c r="L232" s="32" t="n">
        <x:v>1651</x:v>
      </x:c>
      <x:c r="M232" s="30" t="n">
        <x:v>151892</x:v>
      </x:c>
      <x:c r="N232" s="28" t="str">
        <x:v>OTIF</x:v>
      </x:c>
      <x:c r="O232" s="28" t="str">
        <x:v>Janela perdida no cliente</x:v>
      </x:c>
      <x:c r="P232" s="30" t="n">
        <x:v>0</x:v>
      </x:c>
    </x:row>
    <x:row r="233">
      <x:c r="A233" s="28" t="str">
        <x:v>PED-48232</x:v>
      </x:c>
      <x:c r="B233" s="34" t="n">
        <x:v>45413</x:v>
      </x:c>
      <x:c r="C233" s="28" t="str">
        <x:v>Grupo Industrial S.A.</x:v>
      </x:c>
      <x:c r="D233" s="28" t="str">
        <x:v>Planta São Paulo</x:v>
      </x:c>
      <x:c r="E233" s="28" t="str">
        <x:v>AutoPeças BR</x:v>
      </x:c>
      <x:c r="F233" s="28" t="str">
        <x:v>Sudeste</x:v>
      </x:c>
      <x:c r="G233" s="28" t="str">
        <x:v>NovaLog</x:v>
      </x:c>
      <x:c r="H233" s="28" t="str">
        <x:v>SP-Nordeste</x:v>
      </x:c>
      <x:c r="I233" s="34" t="n">
        <x:v>45427</x:v>
      </x:c>
      <x:c r="J233" s="34" t="n">
        <x:v>45427</x:v>
      </x:c>
      <x:c r="K233" s="32" t="n">
        <x:v>1502</x:v>
      </x:c>
      <x:c r="L233" s="32" t="n">
        <x:v>1502</x:v>
      </x:c>
      <x:c r="M233" s="30" t="n">
        <x:v>108144</x:v>
      </x:c>
      <x:c r="N233" s="28" t="str">
        <x:v>OTIF</x:v>
      </x:c>
      <x:c r="O233" s="28" t="str">
        <x:v>Janela perdida no cliente</x:v>
      </x:c>
      <x:c r="P233" s="30" t="n">
        <x:v>0</x:v>
      </x:c>
    </x:row>
    <x:row r="234">
      <x:c r="A234" s="28" t="str">
        <x:v>PED-48233</x:v>
      </x:c>
      <x:c r="B234" s="34" t="n">
        <x:v>45413</x:v>
      </x:c>
      <x:c r="C234" s="28" t="str">
        <x:v>Grupo Industrial S.A.</x:v>
      </x:c>
      <x:c r="D234" s="28" t="str">
        <x:v>Planta São Paulo</x:v>
      </x:c>
      <x:c r="E234" s="28" t="str">
        <x:v>Construbem</x:v>
      </x:c>
      <x:c r="F234" s="28" t="str">
        <x:v>Sudeste</x:v>
      </x:c>
      <x:c r="G234" s="28" t="str">
        <x:v>NovaLog</x:v>
      </x:c>
      <x:c r="H234" s="28" t="str">
        <x:v>SP-Nordeste</x:v>
      </x:c>
      <x:c r="I234" s="34" t="n">
        <x:v>45430</x:v>
      </x:c>
      <x:c r="J234" s="34" t="n">
        <x:v>45430</x:v>
      </x:c>
      <x:c r="K234" s="32" t="n">
        <x:v>788</x:v>
      </x:c>
      <x:c r="L234" s="32" t="n">
        <x:v>788</x:v>
      </x:c>
      <x:c r="M234" s="30" t="n">
        <x:v>56736</x:v>
      </x:c>
      <x:c r="N234" s="28" t="str">
        <x:v>OTIF</x:v>
      </x:c>
      <x:c r="O234" s="28" t="str">
        <x:v>Janela perdida no cliente</x:v>
      </x:c>
      <x:c r="P234" s="30" t="n">
        <x:v>0</x:v>
      </x:c>
    </x:row>
    <x:row r="235">
      <x:c r="A235" s="28" t="str">
        <x:v>PED-48234</x:v>
      </x:c>
      <x:c r="B235" s="34" t="n">
        <x:v>45413</x:v>
      </x:c>
      <x:c r="C235" s="28" t="str">
        <x:v>Grupo Industrial S.A.</x:v>
      </x:c>
      <x:c r="D235" s="28" t="str">
        <x:v>Planta São Paulo</x:v>
      </x:c>
      <x:c r="E235" s="28" t="str">
        <x:v>Alimentos SA</x:v>
      </x:c>
      <x:c r="F235" s="28" t="str">
        <x:v>Sudeste</x:v>
      </x:c>
      <x:c r="G235" s="28" t="str">
        <x:v>NovaLog</x:v>
      </x:c>
      <x:c r="H235" s="28" t="str">
        <x:v>SP-Nordeste</x:v>
      </x:c>
      <x:c r="I235" s="34" t="n">
        <x:v>45433</x:v>
      </x:c>
      <x:c r="J235" s="34" t="n">
        <x:v>45433</x:v>
      </x:c>
      <x:c r="K235" s="32" t="n">
        <x:v>2119</x:v>
      </x:c>
      <x:c r="L235" s="32" t="n">
        <x:v>2119</x:v>
      </x:c>
      <x:c r="M235" s="30" t="n">
        <x:v>165282</x:v>
      </x:c>
      <x:c r="N235" s="28" t="str">
        <x:v>OTIF</x:v>
      </x:c>
      <x:c r="O235" s="28" t="str">
        <x:v>Janela perdida no cliente</x:v>
      </x:c>
      <x:c r="P235" s="30" t="n">
        <x:v>0</x:v>
      </x:c>
    </x:row>
    <x:row r="236">
      <x:c r="A236" s="28" t="str">
        <x:v>PED-48235</x:v>
      </x:c>
      <x:c r="B236" s="34" t="n">
        <x:v>45413</x:v>
      </x:c>
      <x:c r="C236" s="28" t="str">
        <x:v>Grupo Industrial S.A.</x:v>
      </x:c>
      <x:c r="D236" s="28" t="str">
        <x:v>Planta Campinas</x:v>
      </x:c>
      <x:c r="E236" s="28" t="str">
        <x:v>AutoPeças BR</x:v>
      </x:c>
      <x:c r="F236" s="28" t="str">
        <x:v>Sudeste</x:v>
      </x:c>
      <x:c r="G236" s="28" t="str">
        <x:v>TransDados</x:v>
      </x:c>
      <x:c r="H236" s="28" t="str">
        <x:v>Campinas-Sudeste</x:v>
      </x:c>
      <x:c r="I236" s="34" t="n">
        <x:v>45418</x:v>
      </x:c>
      <x:c r="J236" s="34" t="n">
        <x:v>45419</x:v>
      </x:c>
      <x:c r="K236" s="32" t="n">
        <x:v>897</x:v>
      </x:c>
      <x:c r="L236" s="32" t="n">
        <x:v>774</x:v>
      </x:c>
      <x:c r="M236" s="30" t="n">
        <x:v>64584</x:v>
      </x:c>
      <x:c r="N236" s="28" t="str">
        <x:v>Em atraso</x:v>
      </x:c>
      <x:c r="O236" s="28" t="str">
        <x:v>Atraso transportadora</x:v>
      </x:c>
      <x:c r="P236" s="30" t="n">
        <x:v>64584</x:v>
      </x:c>
    </x:row>
    <x:row r="237">
      <x:c r="A237" s="28" t="str">
        <x:v>PED-48236</x:v>
      </x:c>
      <x:c r="B237" s="34" t="n">
        <x:v>45413</x:v>
      </x:c>
      <x:c r="C237" s="28" t="str">
        <x:v>Grupo Industrial S.A.</x:v>
      </x:c>
      <x:c r="D237" s="28" t="str">
        <x:v>Planta Campinas</x:v>
      </x:c>
      <x:c r="E237" s="28" t="str">
        <x:v>Construbem</x:v>
      </x:c>
      <x:c r="F237" s="28" t="str">
        <x:v>Sudeste</x:v>
      </x:c>
      <x:c r="G237" s="28" t="str">
        <x:v>TransDados</x:v>
      </x:c>
      <x:c r="H237" s="28" t="str">
        <x:v>Campinas-Sudeste</x:v>
      </x:c>
      <x:c r="I237" s="34" t="n">
        <x:v>45421</x:v>
      </x:c>
      <x:c r="J237" s="34" t="n">
        <x:v>45421</x:v>
      </x:c>
      <x:c r="K237" s="32" t="n">
        <x:v>1639</x:v>
      </x:c>
      <x:c r="L237" s="32" t="n">
        <x:v>1639</x:v>
      </x:c>
      <x:c r="M237" s="30" t="n">
        <x:v>127842</x:v>
      </x:c>
      <x:c r="N237" s="28" t="str">
        <x:v>OTIF</x:v>
      </x:c>
      <x:c r="O237" s="28" t="str">
        <x:v>Janela perdida no cliente</x:v>
      </x:c>
      <x:c r="P237" s="30" t="n">
        <x:v>0</x:v>
      </x:c>
    </x:row>
    <x:row r="238">
      <x:c r="A238" s="28" t="str">
        <x:v>PED-48237</x:v>
      </x:c>
      <x:c r="B238" s="34" t="n">
        <x:v>45413</x:v>
      </x:c>
      <x:c r="C238" s="28" t="str">
        <x:v>Grupo Industrial S.A.</x:v>
      </x:c>
      <x:c r="D238" s="28" t="str">
        <x:v>Planta Campinas</x:v>
      </x:c>
      <x:c r="E238" s="28" t="str">
        <x:v>Alimentos SA</x:v>
      </x:c>
      <x:c r="F238" s="28" t="str">
        <x:v>Sudeste</x:v>
      </x:c>
      <x:c r="G238" s="28" t="str">
        <x:v>TransDados</x:v>
      </x:c>
      <x:c r="H238" s="28" t="str">
        <x:v>Campinas-Sudeste</x:v>
      </x:c>
      <x:c r="I238" s="34" t="n">
        <x:v>45424</x:v>
      </x:c>
      <x:c r="J238" s="34" t="n">
        <x:v>45424</x:v>
      </x:c>
      <x:c r="K238" s="32" t="n">
        <x:v>1337</x:v>
      </x:c>
      <x:c r="L238" s="32" t="n">
        <x:v>1337</x:v>
      </x:c>
      <x:c r="M238" s="30" t="n">
        <x:v>96264</x:v>
      </x:c>
      <x:c r="N238" s="28" t="str">
        <x:v>OTIF</x:v>
      </x:c>
      <x:c r="O238" s="28" t="str">
        <x:v>Janela perdida no cliente</x:v>
      </x:c>
      <x:c r="P238" s="30" t="n">
        <x:v>0</x:v>
      </x:c>
    </x:row>
    <x:row r="239">
      <x:c r="A239" s="28" t="str">
        <x:v>PED-48238</x:v>
      </x:c>
      <x:c r="B239" s="34" t="n">
        <x:v>45413</x:v>
      </x:c>
      <x:c r="C239" s="28" t="str">
        <x:v>Grupo Industrial S.A.</x:v>
      </x:c>
      <x:c r="D239" s="28" t="str">
        <x:v>Planta Campinas</x:v>
      </x:c>
      <x:c r="E239" s="28" t="str">
        <x:v>Farma Vida</x:v>
      </x:c>
      <x:c r="F239" s="28" t="str">
        <x:v>Sudeste</x:v>
      </x:c>
      <x:c r="G239" s="28" t="str">
        <x:v>TransDados</x:v>
      </x:c>
      <x:c r="H239" s="28" t="str">
        <x:v>Campinas-Sudeste</x:v>
      </x:c>
      <x:c r="I239" s="34" t="n">
        <x:v>45427</x:v>
      </x:c>
      <x:c r="J239" s="34" t="n">
        <x:v>45428</x:v>
      </x:c>
      <x:c r="K239" s="32" t="n">
        <x:v>1456</x:v>
      </x:c>
      <x:c r="L239" s="32" t="n">
        <x:v>1456</x:v>
      </x:c>
      <x:c r="M239" s="30" t="n">
        <x:v>104832</x:v>
      </x:c>
      <x:c r="N239" s="28" t="str">
        <x:v>Em atraso</x:v>
      </x:c>
      <x:c r="O239" s="28" t="str">
        <x:v>Atraso transportadora</x:v>
      </x:c>
      <x:c r="P239" s="30" t="n">
        <x:v>104832</x:v>
      </x:c>
    </x:row>
    <x:row r="240">
      <x:c r="A240" s="28" t="str">
        <x:v>PED-48239</x:v>
      </x:c>
      <x:c r="B240" s="34" t="n">
        <x:v>45413</x:v>
      </x:c>
      <x:c r="C240" s="28" t="str">
        <x:v>Grupo Industrial S.A.</x:v>
      </x:c>
      <x:c r="D240" s="28" t="str">
        <x:v>Planta Campinas</x:v>
      </x:c>
      <x:c r="E240" s="28" t="str">
        <x:v>AutoPeças BR</x:v>
      </x:c>
      <x:c r="F240" s="28" t="str">
        <x:v>Sudeste</x:v>
      </x:c>
      <x:c r="G240" s="28" t="str">
        <x:v>TransDados</x:v>
      </x:c>
      <x:c r="H240" s="28" t="str">
        <x:v>Campinas-Sudeste</x:v>
      </x:c>
      <x:c r="I240" s="34" t="n">
        <x:v>45430</x:v>
      </x:c>
      <x:c r="J240" s="34" t="n">
        <x:v>45434</x:v>
      </x:c>
      <x:c r="K240" s="32" t="n">
        <x:v>1265</x:v>
      </x:c>
      <x:c r="L240" s="32" t="n">
        <x:v>1265</x:v>
      </x:c>
      <x:c r="M240" s="30" t="n">
        <x:v>116380</x:v>
      </x:c>
      <x:c r="N240" s="28" t="str">
        <x:v>Em atraso</x:v>
      </x:c>
      <x:c r="O240" s="28" t="str">
        <x:v>Atraso transportadora</x:v>
      </x:c>
      <x:c r="P240" s="30" t="n">
        <x:v>116380</x:v>
      </x:c>
    </x:row>
    <x:row r="241">
      <x:c r="A241" s="28" t="str">
        <x:v>PED-48240</x:v>
      </x:c>
      <x:c r="B241" s="34" t="n">
        <x:v>45413</x:v>
      </x:c>
      <x:c r="C241" s="28" t="str">
        <x:v>Grupo Industrial S.A.</x:v>
      </x:c>
      <x:c r="D241" s="28" t="str">
        <x:v>Planta Campinas</x:v>
      </x:c>
      <x:c r="E241" s="28" t="str">
        <x:v>Construbem</x:v>
      </x:c>
      <x:c r="F241" s="28" t="str">
        <x:v>Sudeste</x:v>
      </x:c>
      <x:c r="G241" s="28" t="str">
        <x:v>TransDados</x:v>
      </x:c>
      <x:c r="H241" s="28" t="str">
        <x:v>Campinas-Sudeste</x:v>
      </x:c>
      <x:c r="I241" s="34" t="n">
        <x:v>45433</x:v>
      </x:c>
      <x:c r="J241" s="34" t="n">
        <x:v>45434</x:v>
      </x:c>
      <x:c r="K241" s="32" t="n">
        <x:v>1859</x:v>
      </x:c>
      <x:c r="L241" s="32" t="n">
        <x:v>1859</x:v>
      </x:c>
      <x:c r="M241" s="30" t="n">
        <x:v>156156</x:v>
      </x:c>
      <x:c r="N241" s="28" t="str">
        <x:v>Em atraso</x:v>
      </x:c>
      <x:c r="O241" s="28" t="str">
        <x:v>Janela perdida no cliente</x:v>
      </x:c>
      <x:c r="P241" s="30" t="n">
        <x:v>156156</x:v>
      </x:c>
    </x:row>
    <x:row r="242">
      <x:c r="A242" s="28" t="str">
        <x:v>PED-48241</x:v>
      </x:c>
      <x:c r="B242" s="34" t="n">
        <x:v>45413</x:v>
      </x:c>
      <x:c r="C242" s="28" t="str">
        <x:v>Grupo Industrial S.A.</x:v>
      </x:c>
      <x:c r="D242" s="28" t="str">
        <x:v>Planta Campinas</x:v>
      </x:c>
      <x:c r="E242" s="28" t="str">
        <x:v>Farma Vida</x:v>
      </x:c>
      <x:c r="F242" s="28" t="str">
        <x:v>Sudeste</x:v>
      </x:c>
      <x:c r="G242" s="28" t="str">
        <x:v>RápidoSul</x:v>
      </x:c>
      <x:c r="H242" s="28" t="str">
        <x:v>Campinas-Norte</x:v>
      </x:c>
      <x:c r="I242" s="34" t="n">
        <x:v>45418</x:v>
      </x:c>
      <x:c r="J242" s="34" t="n">
        <x:v>45419</x:v>
      </x:c>
      <x:c r="K242" s="32" t="n">
        <x:v>1002</x:v>
      </x:c>
      <x:c r="L242" s="32" t="n">
        <x:v>1002</x:v>
      </x:c>
      <x:c r="M242" s="30" t="n">
        <x:v>92184</x:v>
      </x:c>
      <x:c r="N242" s="28" t="str">
        <x:v>Em atraso</x:v>
      </x:c>
      <x:c r="O242" s="28" t="str">
        <x:v>Janela perdida no cliente</x:v>
      </x:c>
      <x:c r="P242" s="30" t="n">
        <x:v>92184</x:v>
      </x:c>
    </x:row>
    <x:row r="243">
      <x:c r="A243" s="28" t="str">
        <x:v>PED-48242</x:v>
      </x:c>
      <x:c r="B243" s="34" t="n">
        <x:v>45413</x:v>
      </x:c>
      <x:c r="C243" s="28" t="str">
        <x:v>Grupo Industrial S.A.</x:v>
      </x:c>
      <x:c r="D243" s="28" t="str">
        <x:v>Planta Campinas</x:v>
      </x:c>
      <x:c r="E243" s="28" t="str">
        <x:v>AutoPeças BR</x:v>
      </x:c>
      <x:c r="F243" s="28" t="str">
        <x:v>Sudeste</x:v>
      </x:c>
      <x:c r="G243" s="28" t="str">
        <x:v>RápidoSul</x:v>
      </x:c>
      <x:c r="H243" s="28" t="str">
        <x:v>Campinas-Norte</x:v>
      </x:c>
      <x:c r="I243" s="34" t="n">
        <x:v>45421</x:v>
      </x:c>
      <x:c r="J243" s="34" t="n">
        <x:v>45421</x:v>
      </x:c>
      <x:c r="K243" s="32" t="n">
        <x:v>1253</x:v>
      </x:c>
      <x:c r="L243" s="32" t="n">
        <x:v>1253</x:v>
      </x:c>
      <x:c r="M243" s="30" t="n">
        <x:v>90216</x:v>
      </x:c>
      <x:c r="N243" s="28" t="str">
        <x:v>OTIF</x:v>
      </x:c>
      <x:c r="O243" s="28" t="str">
        <x:v>Janela perdida no cliente</x:v>
      </x:c>
      <x:c r="P243" s="30" t="n">
        <x:v>0</x:v>
      </x:c>
    </x:row>
    <x:row r="244">
      <x:c r="A244" s="28" t="str">
        <x:v>PED-48243</x:v>
      </x:c>
      <x:c r="B244" s="34" t="n">
        <x:v>45413</x:v>
      </x:c>
      <x:c r="C244" s="28" t="str">
        <x:v>Grupo Industrial S.A.</x:v>
      </x:c>
      <x:c r="D244" s="28" t="str">
        <x:v>Planta Campinas</x:v>
      </x:c>
      <x:c r="E244" s="28" t="str">
        <x:v>Construbem</x:v>
      </x:c>
      <x:c r="F244" s="28" t="str">
        <x:v>Sudeste</x:v>
      </x:c>
      <x:c r="G244" s="28" t="str">
        <x:v>RápidoSul</x:v>
      </x:c>
      <x:c r="H244" s="28" t="str">
        <x:v>Campinas-Norte</x:v>
      </x:c>
      <x:c r="I244" s="34" t="n">
        <x:v>45424</x:v>
      </x:c>
      <x:c r="J244" s="34" t="n">
        <x:v>45428</x:v>
      </x:c>
      <x:c r="K244" s="32" t="n">
        <x:v>1597</x:v>
      </x:c>
      <x:c r="L244" s="32" t="n">
        <x:v>1597</x:v>
      </x:c>
      <x:c r="M244" s="30" t="n">
        <x:v>134148</x:v>
      </x:c>
      <x:c r="N244" s="28" t="str">
        <x:v>Em atraso</x:v>
      </x:c>
      <x:c r="O244" s="28" t="str">
        <x:v>Janela perdida no cliente</x:v>
      </x:c>
      <x:c r="P244" s="30" t="n">
        <x:v>134148</x:v>
      </x:c>
    </x:row>
    <x:row r="245">
      <x:c r="A245" s="28" t="str">
        <x:v>PED-48244</x:v>
      </x:c>
      <x:c r="B245" s="34" t="n">
        <x:v>45413</x:v>
      </x:c>
      <x:c r="C245" s="28" t="str">
        <x:v>Grupo Industrial S.A.</x:v>
      </x:c>
      <x:c r="D245" s="28" t="str">
        <x:v>Planta Campinas</x:v>
      </x:c>
      <x:c r="E245" s="28" t="str">
        <x:v>Alimentos SA</x:v>
      </x:c>
      <x:c r="F245" s="28" t="str">
        <x:v>Sudeste</x:v>
      </x:c>
      <x:c r="G245" s="28" t="str">
        <x:v>RápidoSul</x:v>
      </x:c>
      <x:c r="H245" s="28" t="str">
        <x:v>Campinas-Norte</x:v>
      </x:c>
      <x:c r="I245" s="34" t="n">
        <x:v>45427</x:v>
      </x:c>
      <x:c r="J245" s="34" t="n">
        <x:v>45430</x:v>
      </x:c>
      <x:c r="K245" s="32" t="n">
        <x:v>1320</x:v>
      </x:c>
      <x:c r="L245" s="32" t="n">
        <x:v>1320</x:v>
      </x:c>
      <x:c r="M245" s="30" t="n">
        <x:v>102960</x:v>
      </x:c>
      <x:c r="N245" s="28" t="str">
        <x:v>Em atraso</x:v>
      </x:c>
      <x:c r="O245" s="28" t="str">
        <x:v>Atraso transportadora</x:v>
      </x:c>
      <x:c r="P245" s="30" t="n">
        <x:v>102960</x:v>
      </x:c>
    </x:row>
    <x:row r="246">
      <x:c r="A246" s="28" t="str">
        <x:v>PED-48245</x:v>
      </x:c>
      <x:c r="B246" s="34" t="n">
        <x:v>45413</x:v>
      </x:c>
      <x:c r="C246" s="28" t="str">
        <x:v>Grupo Industrial S.A.</x:v>
      </x:c>
      <x:c r="D246" s="28" t="str">
        <x:v>Planta Campinas</x:v>
      </x:c>
      <x:c r="E246" s="28" t="str">
        <x:v>Farma Vida</x:v>
      </x:c>
      <x:c r="F246" s="28" t="str">
        <x:v>Sudeste</x:v>
      </x:c>
      <x:c r="G246" s="28" t="str">
        <x:v>RápidoSul</x:v>
      </x:c>
      <x:c r="H246" s="28" t="str">
        <x:v>Campinas-Norte</x:v>
      </x:c>
      <x:c r="I246" s="34" t="n">
        <x:v>45430</x:v>
      </x:c>
      <x:c r="J246" s="34" t="n">
        <x:v>45430</x:v>
      </x:c>
      <x:c r="K246" s="32" t="n">
        <x:v>1800</x:v>
      </x:c>
      <x:c r="L246" s="32" t="n">
        <x:v>1800</x:v>
      </x:c>
      <x:c r="M246" s="30" t="n">
        <x:v>140400</x:v>
      </x:c>
      <x:c r="N246" s="28" t="str">
        <x:v>OTIF</x:v>
      </x:c>
      <x:c r="O246" s="28" t="str">
        <x:v>Janela perdida no cliente</x:v>
      </x:c>
      <x:c r="P246" s="30" t="n">
        <x:v>0</x:v>
      </x:c>
    </x:row>
    <x:row r="247">
      <x:c r="A247" s="28" t="str">
        <x:v>PED-48246</x:v>
      </x:c>
      <x:c r="B247" s="34" t="n">
        <x:v>45413</x:v>
      </x:c>
      <x:c r="C247" s="28" t="str">
        <x:v>Grupo Industrial S.A.</x:v>
      </x:c>
      <x:c r="D247" s="28" t="str">
        <x:v>Planta Campinas</x:v>
      </x:c>
      <x:c r="E247" s="28" t="str">
        <x:v>AutoPeças BR</x:v>
      </x:c>
      <x:c r="F247" s="28" t="str">
        <x:v>Sudeste</x:v>
      </x:c>
      <x:c r="G247" s="28" t="str">
        <x:v>RápidoSul</x:v>
      </x:c>
      <x:c r="H247" s="28" t="str">
        <x:v>Campinas-Norte</x:v>
      </x:c>
      <x:c r="I247" s="34" t="n">
        <x:v>45433</x:v>
      </x:c>
      <x:c r="J247" s="34" t="n">
        <x:v>45433</x:v>
      </x:c>
      <x:c r="K247" s="32" t="n">
        <x:v>1473</x:v>
      </x:c>
      <x:c r="L247" s="32" t="n">
        <x:v>1473</x:v>
      </x:c>
      <x:c r="M247" s="30" t="n">
        <x:v>106056</x:v>
      </x:c>
      <x:c r="N247" s="28" t="str">
        <x:v>OTIF</x:v>
      </x:c>
      <x:c r="O247" s="28" t="str">
        <x:v>Janela perdida no cliente</x:v>
      </x:c>
      <x:c r="P247" s="30" t="n">
        <x:v>0</x:v>
      </x:c>
    </x:row>
    <x:row r="248">
      <x:c r="A248" s="28" t="str">
        <x:v>PED-48247</x:v>
      </x:c>
      <x:c r="B248" s="34" t="n">
        <x:v>45413</x:v>
      </x:c>
      <x:c r="C248" s="28" t="str">
        <x:v>Grupo Industrial S.A.</x:v>
      </x:c>
      <x:c r="D248" s="28" t="str">
        <x:v>Planta Campinas</x:v>
      </x:c>
      <x:c r="E248" s="28" t="str">
        <x:v>Alimentos SA</x:v>
      </x:c>
      <x:c r="F248" s="28" t="str">
        <x:v>Sudeste</x:v>
      </x:c>
      <x:c r="G248" s="28" t="str">
        <x:v>NovaLog</x:v>
      </x:c>
      <x:c r="H248" s="28" t="str">
        <x:v>Campinas-Nordeste</x:v>
      </x:c>
      <x:c r="I248" s="34" t="n">
        <x:v>45418</x:v>
      </x:c>
      <x:c r="J248" s="34" t="n">
        <x:v>45420</x:v>
      </x:c>
      <x:c r="K248" s="32" t="n">
        <x:v>2016</x:v>
      </x:c>
      <x:c r="L248" s="32" t="n">
        <x:v>2016</x:v>
      </x:c>
      <x:c r="M248" s="30" t="n">
        <x:v>185472</x:v>
      </x:c>
      <x:c r="N248" s="28" t="str">
        <x:v>Em atraso</x:v>
      </x:c>
      <x:c r="O248" s="28" t="str">
        <x:v>Janela perdida no cliente</x:v>
      </x:c>
      <x:c r="P248" s="30" t="n">
        <x:v>185472</x:v>
      </x:c>
    </x:row>
    <x:row r="249">
      <x:c r="A249" s="28" t="str">
        <x:v>PED-48248</x:v>
      </x:c>
      <x:c r="B249" s="34" t="n">
        <x:v>45413</x:v>
      </x:c>
      <x:c r="C249" s="28" t="str">
        <x:v>Grupo Industrial S.A.</x:v>
      </x:c>
      <x:c r="D249" s="28" t="str">
        <x:v>Planta Campinas</x:v>
      </x:c>
      <x:c r="E249" s="28" t="str">
        <x:v>Farma Vida</x:v>
      </x:c>
      <x:c r="F249" s="28" t="str">
        <x:v>Sudeste</x:v>
      </x:c>
      <x:c r="G249" s="28" t="str">
        <x:v>NovaLog</x:v>
      </x:c>
      <x:c r="H249" s="28" t="str">
        <x:v>Campinas-Nordeste</x:v>
      </x:c>
      <x:c r="I249" s="34" t="n">
        <x:v>45421</x:v>
      </x:c>
      <x:c r="J249" s="34" t="n">
        <x:v>45421</x:v>
      </x:c>
      <x:c r="K249" s="32" t="n">
        <x:v>806</x:v>
      </x:c>
      <x:c r="L249" s="32" t="n">
        <x:v>806</x:v>
      </x:c>
      <x:c r="M249" s="30" t="n">
        <x:v>74152</x:v>
      </x:c>
      <x:c r="N249" s="28" t="str">
        <x:v>OTIF</x:v>
      </x:c>
      <x:c r="O249" s="28" t="str">
        <x:v>Janela perdida no cliente</x:v>
      </x:c>
      <x:c r="P249" s="30" t="n">
        <x:v>0</x:v>
      </x:c>
    </x:row>
    <x:row r="250">
      <x:c r="A250" s="28" t="str">
        <x:v>PED-48249</x:v>
      </x:c>
      <x:c r="B250" s="34" t="n">
        <x:v>45413</x:v>
      </x:c>
      <x:c r="C250" s="28" t="str">
        <x:v>Grupo Industrial S.A.</x:v>
      </x:c>
      <x:c r="D250" s="28" t="str">
        <x:v>Planta Campinas</x:v>
      </x:c>
      <x:c r="E250" s="28" t="str">
        <x:v>AutoPeças BR</x:v>
      </x:c>
      <x:c r="F250" s="28" t="str">
        <x:v>Sudeste</x:v>
      </x:c>
      <x:c r="G250" s="28" t="str">
        <x:v>NovaLog</x:v>
      </x:c>
      <x:c r="H250" s="28" t="str">
        <x:v>Campinas-Nordeste</x:v>
      </x:c>
      <x:c r="I250" s="34" t="n">
        <x:v>45424</x:v>
      </x:c>
      <x:c r="J250" s="34" t="n">
        <x:v>45424</x:v>
      </x:c>
      <x:c r="K250" s="32" t="n">
        <x:v>1246</x:v>
      </x:c>
      <x:c r="L250" s="32" t="n">
        <x:v>1246</x:v>
      </x:c>
      <x:c r="M250" s="30" t="n">
        <x:v>97188</x:v>
      </x:c>
      <x:c r="N250" s="28" t="str">
        <x:v>OTIF</x:v>
      </x:c>
      <x:c r="O250" s="28" t="str">
        <x:v>Janela perdida no cliente</x:v>
      </x:c>
      <x:c r="P250" s="30" t="n">
        <x:v>0</x:v>
      </x:c>
    </x:row>
    <x:row r="251">
      <x:c r="A251" s="28" t="str">
        <x:v>PED-48250</x:v>
      </x:c>
      <x:c r="B251" s="34" t="n">
        <x:v>45413</x:v>
      </x:c>
      <x:c r="C251" s="28" t="str">
        <x:v>Grupo Industrial S.A.</x:v>
      </x:c>
      <x:c r="D251" s="28" t="str">
        <x:v>Planta Campinas</x:v>
      </x:c>
      <x:c r="E251" s="28" t="str">
        <x:v>Construbem</x:v>
      </x:c>
      <x:c r="F251" s="28" t="str">
        <x:v>Sudeste</x:v>
      </x:c>
      <x:c r="G251" s="28" t="str">
        <x:v>NovaLog</x:v>
      </x:c>
      <x:c r="H251" s="28" t="str">
        <x:v>Campinas-Nordeste</x:v>
      </x:c>
      <x:c r="I251" s="34" t="n">
        <x:v>45427</x:v>
      </x:c>
      <x:c r="J251" s="34" t="n">
        <x:v>45432</x:v>
      </x:c>
      <x:c r="K251" s="32" t="n">
        <x:v>1582</x:v>
      </x:c>
      <x:c r="L251" s="32" t="n">
        <x:v>1582</x:v>
      </x:c>
      <x:c r="M251" s="30" t="n">
        <x:v>145544</x:v>
      </x:c>
      <x:c r="N251" s="28" t="str">
        <x:v>Em atraso</x:v>
      </x:c>
      <x:c r="O251" s="28" t="str">
        <x:v>Atraso transportadora</x:v>
      </x:c>
      <x:c r="P251" s="30" t="n">
        <x:v>145544</x:v>
      </x:c>
    </x:row>
    <x:row r="252">
      <x:c r="A252" s="28" t="str">
        <x:v>PED-48251</x:v>
      </x:c>
      <x:c r="B252" s="34" t="n">
        <x:v>45413</x:v>
      </x:c>
      <x:c r="C252" s="28" t="str">
        <x:v>Grupo Industrial S.A.</x:v>
      </x:c>
      <x:c r="D252" s="28" t="str">
        <x:v>Planta Campinas</x:v>
      </x:c>
      <x:c r="E252" s="28" t="str">
        <x:v>Alimentos SA</x:v>
      </x:c>
      <x:c r="F252" s="28" t="str">
        <x:v>Sudeste</x:v>
      </x:c>
      <x:c r="G252" s="28" t="str">
        <x:v>NovaLog</x:v>
      </x:c>
      <x:c r="H252" s="28" t="str">
        <x:v>Campinas-Nordeste</x:v>
      </x:c>
      <x:c r="I252" s="34" t="n">
        <x:v>45430</x:v>
      </x:c>
      <x:c r="J252" s="34" t="n">
        <x:v>45434</x:v>
      </x:c>
      <x:c r="K252" s="32" t="n">
        <x:v>1197</x:v>
      </x:c>
      <x:c r="L252" s="32" t="n">
        <x:v>1197</x:v>
      </x:c>
      <x:c r="M252" s="30" t="n">
        <x:v>100548</x:v>
      </x:c>
      <x:c r="N252" s="28" t="str">
        <x:v>Em atraso</x:v>
      </x:c>
      <x:c r="O252" s="28" t="str">
        <x:v>Atraso transportadora</x:v>
      </x:c>
      <x:c r="P252" s="30" t="n">
        <x:v>100548</x:v>
      </x:c>
    </x:row>
    <x:row r="253">
      <x:c r="A253" s="28" t="str">
        <x:v>PED-48252</x:v>
      </x:c>
      <x:c r="B253" s="34" t="n">
        <x:v>45413</x:v>
      </x:c>
      <x:c r="C253" s="28" t="str">
        <x:v>Grupo Industrial S.A.</x:v>
      </x:c>
      <x:c r="D253" s="28" t="str">
        <x:v>Planta Campinas</x:v>
      </x:c>
      <x:c r="E253" s="28" t="str">
        <x:v>Farma Vida</x:v>
      </x:c>
      <x:c r="F253" s="28" t="str">
        <x:v>Sudeste</x:v>
      </x:c>
      <x:c r="G253" s="28" t="str">
        <x:v>NovaLog</x:v>
      </x:c>
      <x:c r="H253" s="28" t="str">
        <x:v>Campinas-Nordeste</x:v>
      </x:c>
      <x:c r="I253" s="34" t="n">
        <x:v>45433</x:v>
      </x:c>
      <x:c r="J253" s="34" t="n">
        <x:v>45434</x:v>
      </x:c>
      <x:c r="K253" s="32" t="n">
        <x:v>1831</x:v>
      </x:c>
      <x:c r="L253" s="32" t="n">
        <x:v>1831</x:v>
      </x:c>
      <x:c r="M253" s="30" t="n">
        <x:v>131832</x:v>
      </x:c>
      <x:c r="N253" s="28" t="str">
        <x:v>Em atraso</x:v>
      </x:c>
      <x:c r="O253" s="28" t="str">
        <x:v>Atraso transportadora</x:v>
      </x:c>
      <x:c r="P253" s="30" t="n">
        <x:v>131832</x:v>
      </x:c>
    </x:row>
    <x:row r="254">
      <x:c r="A254" s="28" t="str">
        <x:v>PED-48253</x:v>
      </x:c>
      <x:c r="B254" s="34" t="n">
        <x:v>45413</x:v>
      </x:c>
      <x:c r="C254" s="28" t="str">
        <x:v>Grupo Industrial S.A.</x:v>
      </x:c>
      <x:c r="D254" s="28" t="str">
        <x:v>Planta Curitiba</x:v>
      </x:c>
      <x:c r="E254" s="28" t="str">
        <x:v>Construbem</x:v>
      </x:c>
      <x:c r="F254" s="28" t="str">
        <x:v>Sul</x:v>
      </x:c>
      <x:c r="G254" s="28" t="str">
        <x:v>TransDados</x:v>
      </x:c>
      <x:c r="H254" s="28" t="str">
        <x:v>Curitiba-Sul</x:v>
      </x:c>
      <x:c r="I254" s="34" t="n">
        <x:v>45418</x:v>
      </x:c>
      <x:c r="J254" s="34" t="n">
        <x:v>45422</x:v>
      </x:c>
      <x:c r="K254" s="32" t="n">
        <x:v>1882</x:v>
      </x:c>
      <x:c r="L254" s="32" t="n">
        <x:v>1882</x:v>
      </x:c>
      <x:c r="M254" s="30" t="n">
        <x:v>135504</x:v>
      </x:c>
      <x:c r="N254" s="28" t="str">
        <x:v>Em atraso</x:v>
      </x:c>
      <x:c r="O254" s="28" t="str">
        <x:v>Janela perdida no cliente</x:v>
      </x:c>
      <x:c r="P254" s="30" t="n">
        <x:v>135504</x:v>
      </x:c>
    </x:row>
    <x:row r="255">
      <x:c r="A255" s="28" t="str">
        <x:v>PED-48254</x:v>
      </x:c>
      <x:c r="B255" s="34" t="n">
        <x:v>45413</x:v>
      </x:c>
      <x:c r="C255" s="28" t="str">
        <x:v>Grupo Industrial S.A.</x:v>
      </x:c>
      <x:c r="D255" s="28" t="str">
        <x:v>Planta Curitiba</x:v>
      </x:c>
      <x:c r="E255" s="28" t="str">
        <x:v>Alimentos SA</x:v>
      </x:c>
      <x:c r="F255" s="28" t="str">
        <x:v>Sul</x:v>
      </x:c>
      <x:c r="G255" s="28" t="str">
        <x:v>TransDados</x:v>
      </x:c>
      <x:c r="H255" s="28" t="str">
        <x:v>Curitiba-Sul</x:v>
      </x:c>
      <x:c r="I255" s="34" t="n">
        <x:v>45421</x:v>
      </x:c>
      <x:c r="J255" s="34" t="n">
        <x:v>45425</x:v>
      </x:c>
      <x:c r="K255" s="32" t="n">
        <x:v>1189</x:v>
      </x:c>
      <x:c r="L255" s="32" t="n">
        <x:v>1189</x:v>
      </x:c>
      <x:c r="M255" s="30" t="n">
        <x:v>109388</x:v>
      </x:c>
      <x:c r="N255" s="28" t="str">
        <x:v>Em atraso</x:v>
      </x:c>
      <x:c r="O255" s="28" t="str">
        <x:v>Atraso transportadora</x:v>
      </x:c>
      <x:c r="P255" s="30" t="n">
        <x:v>109388</x:v>
      </x:c>
    </x:row>
    <x:row r="256">
      <x:c r="A256" s="28" t="str">
        <x:v>PED-48255</x:v>
      </x:c>
      <x:c r="B256" s="34" t="n">
        <x:v>45413</x:v>
      </x:c>
      <x:c r="C256" s="28" t="str">
        <x:v>Grupo Industrial S.A.</x:v>
      </x:c>
      <x:c r="D256" s="28" t="str">
        <x:v>Planta Curitiba</x:v>
      </x:c>
      <x:c r="E256" s="28" t="str">
        <x:v>Farma Vida</x:v>
      </x:c>
      <x:c r="F256" s="28" t="str">
        <x:v>Sul</x:v>
      </x:c>
      <x:c r="G256" s="28" t="str">
        <x:v>TransDados</x:v>
      </x:c>
      <x:c r="H256" s="28" t="str">
        <x:v>Curitiba-Sul</x:v>
      </x:c>
      <x:c r="I256" s="34" t="n">
        <x:v>45424</x:v>
      </x:c>
      <x:c r="J256" s="34" t="n">
        <x:v>45424</x:v>
      </x:c>
      <x:c r="K256" s="32" t="n">
        <x:v>2081</x:v>
      </x:c>
      <x:c r="L256" s="32" t="n">
        <x:v>2081</x:v>
      </x:c>
      <x:c r="M256" s="30" t="n">
        <x:v>174804</x:v>
      </x:c>
      <x:c r="N256" s="28" t="str">
        <x:v>OTIF</x:v>
      </x:c>
      <x:c r="O256" s="28" t="str">
        <x:v>Janela perdida no cliente</x:v>
      </x:c>
      <x:c r="P256" s="30" t="n">
        <x:v>0</x:v>
      </x:c>
    </x:row>
    <x:row r="257">
      <x:c r="A257" s="28" t="str">
        <x:v>PED-48256</x:v>
      </x:c>
      <x:c r="B257" s="34" t="n">
        <x:v>45413</x:v>
      </x:c>
      <x:c r="C257" s="28" t="str">
        <x:v>Grupo Industrial S.A.</x:v>
      </x:c>
      <x:c r="D257" s="28" t="str">
        <x:v>Planta Curitiba</x:v>
      </x:c>
      <x:c r="E257" s="28" t="str">
        <x:v>AutoPeças BR</x:v>
      </x:c>
      <x:c r="F257" s="28" t="str">
        <x:v>Sul</x:v>
      </x:c>
      <x:c r="G257" s="28" t="str">
        <x:v>TransDados</x:v>
      </x:c>
      <x:c r="H257" s="28" t="str">
        <x:v>Curitiba-Sul</x:v>
      </x:c>
      <x:c r="I257" s="34" t="n">
        <x:v>45427</x:v>
      </x:c>
      <x:c r="J257" s="34" t="n">
        <x:v>45429</x:v>
      </x:c>
      <x:c r="K257" s="32" t="n">
        <x:v>1528</x:v>
      </x:c>
      <x:c r="L257" s="32" t="n">
        <x:v>1528</x:v>
      </x:c>
      <x:c r="M257" s="30" t="n">
        <x:v>110016</x:v>
      </x:c>
      <x:c r="N257" s="28" t="str">
        <x:v>Em atraso</x:v>
      </x:c>
      <x:c r="O257" s="28" t="str">
        <x:v>Atraso transportadora</x:v>
      </x:c>
      <x:c r="P257" s="30" t="n">
        <x:v>110016</x:v>
      </x:c>
    </x:row>
    <x:row r="258">
      <x:c r="A258" s="28" t="str">
        <x:v>PED-48257</x:v>
      </x:c>
      <x:c r="B258" s="34" t="n">
        <x:v>45413</x:v>
      </x:c>
      <x:c r="C258" s="28" t="str">
        <x:v>Grupo Industrial S.A.</x:v>
      </x:c>
      <x:c r="D258" s="28" t="str">
        <x:v>Planta Curitiba</x:v>
      </x:c>
      <x:c r="E258" s="28" t="str">
        <x:v>Construbem</x:v>
      </x:c>
      <x:c r="F258" s="28" t="str">
        <x:v>Sul</x:v>
      </x:c>
      <x:c r="G258" s="28" t="str">
        <x:v>TransDados</x:v>
      </x:c>
      <x:c r="H258" s="28" t="str">
        <x:v>Curitiba-Sul</x:v>
      </x:c>
      <x:c r="I258" s="34" t="n">
        <x:v>45430</x:v>
      </x:c>
      <x:c r="J258" s="34" t="n">
        <x:v>45430</x:v>
      </x:c>
      <x:c r="K258" s="32" t="n">
        <x:v>1722</x:v>
      </x:c>
      <x:c r="L258" s="32" t="n">
        <x:v>1722</x:v>
      </x:c>
      <x:c r="M258" s="30" t="n">
        <x:v>134316</x:v>
      </x:c>
      <x:c r="N258" s="28" t="str">
        <x:v>OTIF</x:v>
      </x:c>
      <x:c r="O258" s="28" t="str">
        <x:v>Janela perdida no cliente</x:v>
      </x:c>
      <x:c r="P258" s="30" t="n">
        <x:v>0</x:v>
      </x:c>
    </x:row>
    <x:row r="259">
      <x:c r="A259" s="28" t="str">
        <x:v>PED-48258</x:v>
      </x:c>
      <x:c r="B259" s="34" t="n">
        <x:v>45413</x:v>
      </x:c>
      <x:c r="C259" s="28" t="str">
        <x:v>Grupo Industrial S.A.</x:v>
      </x:c>
      <x:c r="D259" s="28" t="str">
        <x:v>Planta Curitiba</x:v>
      </x:c>
      <x:c r="E259" s="28" t="str">
        <x:v>Alimentos SA</x:v>
      </x:c>
      <x:c r="F259" s="28" t="str">
        <x:v>Sul</x:v>
      </x:c>
      <x:c r="G259" s="28" t="str">
        <x:v>TransDados</x:v>
      </x:c>
      <x:c r="H259" s="28" t="str">
        <x:v>Curitiba-Sul</x:v>
      </x:c>
      <x:c r="I259" s="34" t="n">
        <x:v>45433</x:v>
      </x:c>
      <x:c r="J259" s="34" t="n">
        <x:v>45433</x:v>
      </x:c>
      <x:c r="K259" s="32" t="n">
        <x:v>1144</x:v>
      </x:c>
      <x:c r="L259" s="32" t="n">
        <x:v>1144</x:v>
      </x:c>
      <x:c r="M259" s="30" t="n">
        <x:v>105248</x:v>
      </x:c>
      <x:c r="N259" s="28" t="str">
        <x:v>OTIF</x:v>
      </x:c>
      <x:c r="O259" s="28" t="str">
        <x:v>Janela perdida no cliente</x:v>
      </x:c>
      <x:c r="P259" s="30" t="n">
        <x:v>0</x:v>
      </x:c>
    </x:row>
    <x:row r="260">
      <x:c r="A260" s="28" t="str">
        <x:v>PED-48259</x:v>
      </x:c>
      <x:c r="B260" s="34" t="n">
        <x:v>45413</x:v>
      </x:c>
      <x:c r="C260" s="28" t="str">
        <x:v>Grupo Industrial S.A.</x:v>
      </x:c>
      <x:c r="D260" s="28" t="str">
        <x:v>Planta Curitiba</x:v>
      </x:c>
      <x:c r="E260" s="28" t="str">
        <x:v>AutoPeças BR</x:v>
      </x:c>
      <x:c r="F260" s="28" t="str">
        <x:v>Sul</x:v>
      </x:c>
      <x:c r="G260" s="28" t="str">
        <x:v>RápidoSul</x:v>
      </x:c>
      <x:c r="H260" s="28" t="str">
        <x:v>Curitiba-Sudeste</x:v>
      </x:c>
      <x:c r="I260" s="34" t="n">
        <x:v>45418</x:v>
      </x:c>
      <x:c r="J260" s="34" t="n">
        <x:v>45422</x:v>
      </x:c>
      <x:c r="K260" s="32" t="n">
        <x:v>1410</x:v>
      </x:c>
      <x:c r="L260" s="32" t="n">
        <x:v>1410</x:v>
      </x:c>
      <x:c r="M260" s="30" t="n">
        <x:v>129720</x:v>
      </x:c>
      <x:c r="N260" s="28" t="str">
        <x:v>Em atraso</x:v>
      </x:c>
      <x:c r="O260" s="28" t="str">
        <x:v>Atraso transportadora</x:v>
      </x:c>
      <x:c r="P260" s="30" t="n">
        <x:v>129720</x:v>
      </x:c>
    </x:row>
    <x:row r="261">
      <x:c r="A261" s="28" t="str">
        <x:v>PED-48260</x:v>
      </x:c>
      <x:c r="B261" s="34" t="n">
        <x:v>45413</x:v>
      </x:c>
      <x:c r="C261" s="28" t="str">
        <x:v>Grupo Industrial S.A.</x:v>
      </x:c>
      <x:c r="D261" s="28" t="str">
        <x:v>Planta Curitiba</x:v>
      </x:c>
      <x:c r="E261" s="28" t="str">
        <x:v>Construbem</x:v>
      </x:c>
      <x:c r="F261" s="28" t="str">
        <x:v>Sul</x:v>
      </x:c>
      <x:c r="G261" s="28" t="str">
        <x:v>RápidoSul</x:v>
      </x:c>
      <x:c r="H261" s="28" t="str">
        <x:v>Curitiba-Sudeste</x:v>
      </x:c>
      <x:c r="I261" s="34" t="n">
        <x:v>45421</x:v>
      </x:c>
      <x:c r="J261" s="34" t="n">
        <x:v>45421</x:v>
      </x:c>
      <x:c r="K261" s="32" t="n">
        <x:v>1648</x:v>
      </x:c>
      <x:c r="L261" s="32" t="n">
        <x:v>1648</x:v>
      </x:c>
      <x:c r="M261" s="30" t="n">
        <x:v>138432</x:v>
      </x:c>
      <x:c r="N261" s="28" t="str">
        <x:v>OTIF</x:v>
      </x:c>
      <x:c r="O261" s="28" t="str">
        <x:v>Janela perdida no cliente</x:v>
      </x:c>
      <x:c r="P261" s="30" t="n">
        <x:v>0</x:v>
      </x:c>
    </x:row>
    <x:row r="262">
      <x:c r="A262" s="28" t="str">
        <x:v>PED-48261</x:v>
      </x:c>
      <x:c r="B262" s="34" t="n">
        <x:v>45413</x:v>
      </x:c>
      <x:c r="C262" s="28" t="str">
        <x:v>Grupo Industrial S.A.</x:v>
      </x:c>
      <x:c r="D262" s="28" t="str">
        <x:v>Planta Curitiba</x:v>
      </x:c>
      <x:c r="E262" s="28" t="str">
        <x:v>Alimentos SA</x:v>
      </x:c>
      <x:c r="F262" s="28" t="str">
        <x:v>Sul</x:v>
      </x:c>
      <x:c r="G262" s="28" t="str">
        <x:v>RápidoSul</x:v>
      </x:c>
      <x:c r="H262" s="28" t="str">
        <x:v>Curitiba-Sudeste</x:v>
      </x:c>
      <x:c r="I262" s="34" t="n">
        <x:v>45424</x:v>
      </x:c>
      <x:c r="J262" s="34" t="n">
        <x:v>45424</x:v>
      </x:c>
      <x:c r="K262" s="32" t="n">
        <x:v>999</x:v>
      </x:c>
      <x:c r="L262" s="32" t="n">
        <x:v>999</x:v>
      </x:c>
      <x:c r="M262" s="30" t="n">
        <x:v>91908</x:v>
      </x:c>
      <x:c r="N262" s="28" t="str">
        <x:v>OTIF</x:v>
      </x:c>
      <x:c r="O262" s="28" t="str">
        <x:v>Janela perdida no cliente</x:v>
      </x:c>
      <x:c r="P262" s="30" t="n">
        <x:v>0</x:v>
      </x:c>
    </x:row>
    <x:row r="263">
      <x:c r="A263" s="28" t="str">
        <x:v>PED-48262</x:v>
      </x:c>
      <x:c r="B263" s="34" t="n">
        <x:v>45413</x:v>
      </x:c>
      <x:c r="C263" s="28" t="str">
        <x:v>Grupo Industrial S.A.</x:v>
      </x:c>
      <x:c r="D263" s="28" t="str">
        <x:v>Planta Curitiba</x:v>
      </x:c>
      <x:c r="E263" s="28" t="str">
        <x:v>Farma Vida</x:v>
      </x:c>
      <x:c r="F263" s="28" t="str">
        <x:v>Sul</x:v>
      </x:c>
      <x:c r="G263" s="28" t="str">
        <x:v>RápidoSul</x:v>
      </x:c>
      <x:c r="H263" s="28" t="str">
        <x:v>Curitiba-Sudeste</x:v>
      </x:c>
      <x:c r="I263" s="34" t="n">
        <x:v>45427</x:v>
      </x:c>
      <x:c r="J263" s="34" t="n">
        <x:v>45427</x:v>
      </x:c>
      <x:c r="K263" s="32" t="n">
        <x:v>1760</x:v>
      </x:c>
      <x:c r="L263" s="32" t="n">
        <x:v>1760</x:v>
      </x:c>
      <x:c r="M263" s="30" t="n">
        <x:v>147840</x:v>
      </x:c>
      <x:c r="N263" s="28" t="str">
        <x:v>OTIF</x:v>
      </x:c>
      <x:c r="O263" s="28" t="str">
        <x:v>Janela perdida no cliente</x:v>
      </x:c>
      <x:c r="P263" s="30" t="n">
        <x:v>0</x:v>
      </x:c>
    </x:row>
    <x:row r="264">
      <x:c r="A264" s="28" t="str">
        <x:v>PED-48263</x:v>
      </x:c>
      <x:c r="B264" s="34" t="n">
        <x:v>45413</x:v>
      </x:c>
      <x:c r="C264" s="28" t="str">
        <x:v>Grupo Industrial S.A.</x:v>
      </x:c>
      <x:c r="D264" s="28" t="str">
        <x:v>Planta Curitiba</x:v>
      </x:c>
      <x:c r="E264" s="28" t="str">
        <x:v>AutoPeças BR</x:v>
      </x:c>
      <x:c r="F264" s="28" t="str">
        <x:v>Sul</x:v>
      </x:c>
      <x:c r="G264" s="28" t="str">
        <x:v>RápidoSul</x:v>
      </x:c>
      <x:c r="H264" s="28" t="str">
        <x:v>Curitiba-Sudeste</x:v>
      </x:c>
      <x:c r="I264" s="34" t="n">
        <x:v>45430</x:v>
      </x:c>
      <x:c r="J264" s="34" t="n">
        <x:v>45430</x:v>
      </x:c>
      <x:c r="K264" s="32" t="n">
        <x:v>725</x:v>
      </x:c>
      <x:c r="L264" s="32" t="n">
        <x:v>725</x:v>
      </x:c>
      <x:c r="M264" s="30" t="n">
        <x:v>56550</x:v>
      </x:c>
      <x:c r="N264" s="28" t="str">
        <x:v>OTIF</x:v>
      </x:c>
      <x:c r="O264" s="28" t="str">
        <x:v>Janela perdida no cliente</x:v>
      </x:c>
      <x:c r="P264" s="30" t="n">
        <x:v>0</x:v>
      </x:c>
    </x:row>
    <x:row r="265">
      <x:c r="A265" s="28" t="str">
        <x:v>PED-48264</x:v>
      </x:c>
      <x:c r="B265" s="34" t="n">
        <x:v>45413</x:v>
      </x:c>
      <x:c r="C265" s="28" t="str">
        <x:v>Grupo Industrial S.A.</x:v>
      </x:c>
      <x:c r="D265" s="28" t="str">
        <x:v>Planta Curitiba</x:v>
      </x:c>
      <x:c r="E265" s="28" t="str">
        <x:v>Construbem</x:v>
      </x:c>
      <x:c r="F265" s="28" t="str">
        <x:v>Sul</x:v>
      </x:c>
      <x:c r="G265" s="28" t="str">
        <x:v>RápidoSul</x:v>
      </x:c>
      <x:c r="H265" s="28" t="str">
        <x:v>Curitiba-Sudeste</x:v>
      </x:c>
      <x:c r="I265" s="34" t="n">
        <x:v>45433</x:v>
      </x:c>
      <x:c r="J265" s="34" t="n">
        <x:v>45433</x:v>
      </x:c>
      <x:c r="K265" s="32" t="n">
        <x:v>1859</x:v>
      </x:c>
      <x:c r="L265" s="32" t="n">
        <x:v>1859</x:v>
      </x:c>
      <x:c r="M265" s="30" t="n">
        <x:v>145002</x:v>
      </x:c>
      <x:c r="N265" s="28" t="str">
        <x:v>OTIF</x:v>
      </x:c>
      <x:c r="O265" s="28" t="str">
        <x:v>Janela perdida no cliente</x:v>
      </x:c>
      <x:c r="P265" s="30" t="n">
        <x:v>0</x:v>
      </x:c>
    </x:row>
    <x:row r="266">
      <x:c r="A266" s="28" t="str">
        <x:v>PED-48265</x:v>
      </x:c>
      <x:c r="B266" s="34" t="n">
        <x:v>45413</x:v>
      </x:c>
      <x:c r="C266" s="28" t="str">
        <x:v>Grupo Industrial S.A.</x:v>
      </x:c>
      <x:c r="D266" s="28" t="str">
        <x:v>Planta Curitiba</x:v>
      </x:c>
      <x:c r="E266" s="28" t="str">
        <x:v>Farma Vida</x:v>
      </x:c>
      <x:c r="F266" s="28" t="str">
        <x:v>Sul</x:v>
      </x:c>
      <x:c r="G266" s="28" t="str">
        <x:v>NovaLog</x:v>
      </x:c>
      <x:c r="H266" s="28" t="str">
        <x:v>Curitiba-Centro-Oeste</x:v>
      </x:c>
      <x:c r="I266" s="34" t="n">
        <x:v>45418</x:v>
      </x:c>
      <x:c r="J266" s="34" t="n">
        <x:v>45419</x:v>
      </x:c>
      <x:c r="K266" s="32" t="n">
        <x:v>1861</x:v>
      </x:c>
      <x:c r="L266" s="32" t="n">
        <x:v>1548</x:v>
      </x:c>
      <x:c r="M266" s="30" t="n">
        <x:v>171212</x:v>
      </x:c>
      <x:c r="N266" s="28" t="str">
        <x:v>Em atraso</x:v>
      </x:c>
      <x:c r="O266" s="28" t="str">
        <x:v>Atraso transportadora</x:v>
      </x:c>
      <x:c r="P266" s="30" t="n">
        <x:v>171212</x:v>
      </x:c>
    </x:row>
    <x:row r="267">
      <x:c r="A267" s="28" t="str">
        <x:v>PED-48266</x:v>
      </x:c>
      <x:c r="B267" s="34" t="n">
        <x:v>45413</x:v>
      </x:c>
      <x:c r="C267" s="28" t="str">
        <x:v>Grupo Industrial S.A.</x:v>
      </x:c>
      <x:c r="D267" s="28" t="str">
        <x:v>Planta Curitiba</x:v>
      </x:c>
      <x:c r="E267" s="28" t="str">
        <x:v>AutoPeças BR</x:v>
      </x:c>
      <x:c r="F267" s="28" t="str">
        <x:v>Sul</x:v>
      </x:c>
      <x:c r="G267" s="28" t="str">
        <x:v>NovaLog</x:v>
      </x:c>
      <x:c r="H267" s="28" t="str">
        <x:v>Curitiba-Centro-Oeste</x:v>
      </x:c>
      <x:c r="I267" s="34" t="n">
        <x:v>45421</x:v>
      </x:c>
      <x:c r="J267" s="34" t="n">
        <x:v>45423</x:v>
      </x:c>
      <x:c r="K267" s="32" t="n">
        <x:v>1646</x:v>
      </x:c>
      <x:c r="L267" s="32" t="n">
        <x:v>1646</x:v>
      </x:c>
      <x:c r="M267" s="30" t="n">
        <x:v>138264</x:v>
      </x:c>
      <x:c r="N267" s="28" t="str">
        <x:v>Em atraso</x:v>
      </x:c>
      <x:c r="O267" s="28" t="str">
        <x:v>Atraso transportadora</x:v>
      </x:c>
      <x:c r="P267" s="30" t="n">
        <x:v>138264</x:v>
      </x:c>
    </x:row>
    <x:row r="268">
      <x:c r="A268" s="28" t="str">
        <x:v>PED-48267</x:v>
      </x:c>
      <x:c r="B268" s="34" t="n">
        <x:v>45413</x:v>
      </x:c>
      <x:c r="C268" s="28" t="str">
        <x:v>Grupo Industrial S.A.</x:v>
      </x:c>
      <x:c r="D268" s="28" t="str">
        <x:v>Planta Curitiba</x:v>
      </x:c>
      <x:c r="E268" s="28" t="str">
        <x:v>Construbem</x:v>
      </x:c>
      <x:c r="F268" s="28" t="str">
        <x:v>Sul</x:v>
      </x:c>
      <x:c r="G268" s="28" t="str">
        <x:v>NovaLog</x:v>
      </x:c>
      <x:c r="H268" s="28" t="str">
        <x:v>Curitiba-Centro-Oeste</x:v>
      </x:c>
      <x:c r="I268" s="34" t="n">
        <x:v>45424</x:v>
      </x:c>
      <x:c r="J268" s="34" t="n">
        <x:v>45424</x:v>
      </x:c>
      <x:c r="K268" s="32" t="n">
        <x:v>2033</x:v>
      </x:c>
      <x:c r="L268" s="32" t="n">
        <x:v>2033</x:v>
      </x:c>
      <x:c r="M268" s="30" t="n">
        <x:v>158574</x:v>
      </x:c>
      <x:c r="N268" s="28" t="str">
        <x:v>OTIF</x:v>
      </x:c>
      <x:c r="O268" s="28" t="str">
        <x:v>Janela perdida no cliente</x:v>
      </x:c>
      <x:c r="P268" s="30" t="n">
        <x:v>0</x:v>
      </x:c>
    </x:row>
    <x:row r="269">
      <x:c r="A269" s="28" t="str">
        <x:v>PED-48268</x:v>
      </x:c>
      <x:c r="B269" s="34" t="n">
        <x:v>45413</x:v>
      </x:c>
      <x:c r="C269" s="28" t="str">
        <x:v>Grupo Industrial S.A.</x:v>
      </x:c>
      <x:c r="D269" s="28" t="str">
        <x:v>Planta Curitiba</x:v>
      </x:c>
      <x:c r="E269" s="28" t="str">
        <x:v>Alimentos SA</x:v>
      </x:c>
      <x:c r="F269" s="28" t="str">
        <x:v>Sul</x:v>
      </x:c>
      <x:c r="G269" s="28" t="str">
        <x:v>NovaLog</x:v>
      </x:c>
      <x:c r="H269" s="28" t="str">
        <x:v>Curitiba-Centro-Oeste</x:v>
      </x:c>
      <x:c r="I269" s="34" t="n">
        <x:v>45427</x:v>
      </x:c>
      <x:c r="J269" s="34" t="n">
        <x:v>45427</x:v>
      </x:c>
      <x:c r="K269" s="32" t="n">
        <x:v>1175</x:v>
      </x:c>
      <x:c r="L269" s="32" t="n">
        <x:v>965</x:v>
      </x:c>
      <x:c r="M269" s="30" t="n">
        <x:v>84600</x:v>
      </x:c>
      <x:c r="N269" s="28" t="str">
        <x:v>Incompleto</x:v>
      </x:c>
      <x:c r="O269" s="28" t="str">
        <x:v>Falta de produto</x:v>
      </x:c>
      <x:c r="P269" s="30" t="n">
        <x:v>84600</x:v>
      </x:c>
    </x:row>
    <x:row r="270">
      <x:c r="A270" s="28" t="str">
        <x:v>PED-48269</x:v>
      </x:c>
      <x:c r="B270" s="34" t="n">
        <x:v>45413</x:v>
      </x:c>
      <x:c r="C270" s="28" t="str">
        <x:v>Grupo Industrial S.A.</x:v>
      </x:c>
      <x:c r="D270" s="28" t="str">
        <x:v>Planta Curitiba</x:v>
      </x:c>
      <x:c r="E270" s="28" t="str">
        <x:v>Farma Vida</x:v>
      </x:c>
      <x:c r="F270" s="28" t="str">
        <x:v>Sul</x:v>
      </x:c>
      <x:c r="G270" s="28" t="str">
        <x:v>NovaLog</x:v>
      </x:c>
      <x:c r="H270" s="28" t="str">
        <x:v>Curitiba-Centro-Oeste</x:v>
      </x:c>
      <x:c r="I270" s="34" t="n">
        <x:v>45430</x:v>
      </x:c>
      <x:c r="J270" s="34" t="n">
        <x:v>45430</x:v>
      </x:c>
      <x:c r="K270" s="32" t="n">
        <x:v>1939</x:v>
      </x:c>
      <x:c r="L270" s="32" t="n">
        <x:v>1939</x:v>
      </x:c>
      <x:c r="M270" s="30" t="n">
        <x:v>162876</x:v>
      </x:c>
      <x:c r="N270" s="28" t="str">
        <x:v>OTIF</x:v>
      </x:c>
      <x:c r="O270" s="28" t="str">
        <x:v>Janela perdida no cliente</x:v>
      </x:c>
      <x:c r="P270" s="30" t="n">
        <x:v>0</x:v>
      </x:c>
    </x:row>
    <x:row r="271">
      <x:c r="A271" s="28" t="str">
        <x:v>PED-48270</x:v>
      </x:c>
      <x:c r="B271" s="34" t="n">
        <x:v>45413</x:v>
      </x:c>
      <x:c r="C271" s="28" t="str">
        <x:v>Grupo Industrial S.A.</x:v>
      </x:c>
      <x:c r="D271" s="28" t="str">
        <x:v>Planta Curitiba</x:v>
      </x:c>
      <x:c r="E271" s="28" t="str">
        <x:v>AutoPeças BR</x:v>
      </x:c>
      <x:c r="F271" s="28" t="str">
        <x:v>Sul</x:v>
      </x:c>
      <x:c r="G271" s="28" t="str">
        <x:v>NovaLog</x:v>
      </x:c>
      <x:c r="H271" s="28" t="str">
        <x:v>Curitiba-Centro-Oeste</x:v>
      </x:c>
      <x:c r="I271" s="34" t="n">
        <x:v>45433</x:v>
      </x:c>
      <x:c r="J271" s="34" t="n">
        <x:v>45435</x:v>
      </x:c>
      <x:c r="K271" s="32" t="n">
        <x:v>1147</x:v>
      </x:c>
      <x:c r="L271" s="32" t="n">
        <x:v>1147</x:v>
      </x:c>
      <x:c r="M271" s="30" t="n">
        <x:v>96348</x:v>
      </x:c>
      <x:c r="N271" s="28" t="str">
        <x:v>Em atraso</x:v>
      </x:c>
      <x:c r="O271" s="28" t="str">
        <x:v>Atraso transportadora</x:v>
      </x:c>
      <x:c r="P271" s="30" t="n">
        <x:v>96348</x:v>
      </x:c>
    </x:row>
    <x:row r="272">
      <x:c r="A272" s="28" t="str">
        <x:v>PED-48271</x:v>
      </x:c>
      <x:c r="B272" s="34" t="n">
        <x:v>45444</x:v>
      </x:c>
      <x:c r="C272" s="28" t="str">
        <x:v>Grupo Industrial S.A.</x:v>
      </x:c>
      <x:c r="D272" s="28" t="str">
        <x:v>Planta São Paulo</x:v>
      </x:c>
      <x:c r="E272" s="28" t="str">
        <x:v>Alimentos SA</x:v>
      </x:c>
      <x:c r="F272" s="28" t="str">
        <x:v>Sudeste</x:v>
      </x:c>
      <x:c r="G272" s="28" t="str">
        <x:v>TransDados</x:v>
      </x:c>
      <x:c r="H272" s="28" t="str">
        <x:v>SP-Sudeste</x:v>
      </x:c>
      <x:c r="I272" s="34" t="n">
        <x:v>45449</x:v>
      </x:c>
      <x:c r="J272" s="34" t="n">
        <x:v>45451</x:v>
      </x:c>
      <x:c r="K272" s="32" t="n">
        <x:v>1257</x:v>
      </x:c>
      <x:c r="L272" s="32" t="n">
        <x:v>1257</x:v>
      </x:c>
      <x:c r="M272" s="30" t="n">
        <x:v>115644</x:v>
      </x:c>
      <x:c r="N272" s="28" t="str">
        <x:v>Em atraso</x:v>
      </x:c>
      <x:c r="O272" s="28" t="str">
        <x:v>Atraso transportadora</x:v>
      </x:c>
      <x:c r="P272" s="30" t="n">
        <x:v>115644</x:v>
      </x:c>
    </x:row>
    <x:row r="273">
      <x:c r="A273" s="28" t="str">
        <x:v>PED-48272</x:v>
      </x:c>
      <x:c r="B273" s="34" t="n">
        <x:v>45444</x:v>
      </x:c>
      <x:c r="C273" s="28" t="str">
        <x:v>Grupo Industrial S.A.</x:v>
      </x:c>
      <x:c r="D273" s="28" t="str">
        <x:v>Planta São Paulo</x:v>
      </x:c>
      <x:c r="E273" s="28" t="str">
        <x:v>Farma Vida</x:v>
      </x:c>
      <x:c r="F273" s="28" t="str">
        <x:v>Sudeste</x:v>
      </x:c>
      <x:c r="G273" s="28" t="str">
        <x:v>TransDados</x:v>
      </x:c>
      <x:c r="H273" s="28" t="str">
        <x:v>SP-Sudeste</x:v>
      </x:c>
      <x:c r="I273" s="34" t="n">
        <x:v>45452</x:v>
      </x:c>
      <x:c r="J273" s="34" t="n">
        <x:v>45452</x:v>
      </x:c>
      <x:c r="K273" s="32" t="n">
        <x:v>1736</x:v>
      </x:c>
      <x:c r="L273" s="32" t="n">
        <x:v>1736</x:v>
      </x:c>
      <x:c r="M273" s="30" t="n">
        <x:v>145824</x:v>
      </x:c>
      <x:c r="N273" s="28" t="str">
        <x:v>OTIF</x:v>
      </x:c>
      <x:c r="O273" s="28" t="str">
        <x:v>Janela perdida no cliente</x:v>
      </x:c>
      <x:c r="P273" s="30" t="n">
        <x:v>0</x:v>
      </x:c>
    </x:row>
    <x:row r="274">
      <x:c r="A274" s="28" t="str">
        <x:v>PED-48273</x:v>
      </x:c>
      <x:c r="B274" s="34" t="n">
        <x:v>45444</x:v>
      </x:c>
      <x:c r="C274" s="28" t="str">
        <x:v>Grupo Industrial S.A.</x:v>
      </x:c>
      <x:c r="D274" s="28" t="str">
        <x:v>Planta São Paulo</x:v>
      </x:c>
      <x:c r="E274" s="28" t="str">
        <x:v>AutoPeças BR</x:v>
      </x:c>
      <x:c r="F274" s="28" t="str">
        <x:v>Sudeste</x:v>
      </x:c>
      <x:c r="G274" s="28" t="str">
        <x:v>TransDados</x:v>
      </x:c>
      <x:c r="H274" s="28" t="str">
        <x:v>SP-Sudeste</x:v>
      </x:c>
      <x:c r="I274" s="34" t="n">
        <x:v>45455</x:v>
      </x:c>
      <x:c r="J274" s="34" t="n">
        <x:v>45456</x:v>
      </x:c>
      <x:c r="K274" s="32" t="n">
        <x:v>995</x:v>
      </x:c>
      <x:c r="L274" s="32" t="n">
        <x:v>995</x:v>
      </x:c>
      <x:c r="M274" s="30" t="n">
        <x:v>71640</x:v>
      </x:c>
      <x:c r="N274" s="28" t="str">
        <x:v>Em atraso</x:v>
      </x:c>
      <x:c r="O274" s="28" t="str">
        <x:v>Janela perdida no cliente</x:v>
      </x:c>
      <x:c r="P274" s="30" t="n">
        <x:v>71640</x:v>
      </x:c>
    </x:row>
    <x:row r="275">
      <x:c r="A275" s="28" t="str">
        <x:v>PED-48274</x:v>
      </x:c>
      <x:c r="B275" s="34" t="n">
        <x:v>45444</x:v>
      </x:c>
      <x:c r="C275" s="28" t="str">
        <x:v>Grupo Industrial S.A.</x:v>
      </x:c>
      <x:c r="D275" s="28" t="str">
        <x:v>Planta São Paulo</x:v>
      </x:c>
      <x:c r="E275" s="28" t="str">
        <x:v>Construbem</x:v>
      </x:c>
      <x:c r="F275" s="28" t="str">
        <x:v>Sudeste</x:v>
      </x:c>
      <x:c r="G275" s="28" t="str">
        <x:v>TransDados</x:v>
      </x:c>
      <x:c r="H275" s="28" t="str">
        <x:v>SP-Sudeste</x:v>
      </x:c>
      <x:c r="I275" s="34" t="n">
        <x:v>45458</x:v>
      </x:c>
      <x:c r="J275" s="34" t="n">
        <x:v>45458</x:v>
      </x:c>
      <x:c r="K275" s="32" t="n">
        <x:v>1078</x:v>
      </x:c>
      <x:c r="L275" s="32" t="n">
        <x:v>1078</x:v>
      </x:c>
      <x:c r="M275" s="30" t="n">
        <x:v>99176</x:v>
      </x:c>
      <x:c r="N275" s="28" t="str">
        <x:v>OTIF</x:v>
      </x:c>
      <x:c r="O275" s="28" t="str">
        <x:v>Janela perdida no cliente</x:v>
      </x:c>
      <x:c r="P275" s="30" t="n">
        <x:v>0</x:v>
      </x:c>
    </x:row>
    <x:row r="276">
      <x:c r="A276" s="28" t="str">
        <x:v>PED-48275</x:v>
      </x:c>
      <x:c r="B276" s="34" t="n">
        <x:v>45444</x:v>
      </x:c>
      <x:c r="C276" s="28" t="str">
        <x:v>Grupo Industrial S.A.</x:v>
      </x:c>
      <x:c r="D276" s="28" t="str">
        <x:v>Planta São Paulo</x:v>
      </x:c>
      <x:c r="E276" s="28" t="str">
        <x:v>Alimentos SA</x:v>
      </x:c>
      <x:c r="F276" s="28" t="str">
        <x:v>Sudeste</x:v>
      </x:c>
      <x:c r="G276" s="28" t="str">
        <x:v>TransDados</x:v>
      </x:c>
      <x:c r="H276" s="28" t="str">
        <x:v>SP-Sudeste</x:v>
      </x:c>
      <x:c r="I276" s="34" t="n">
        <x:v>45461</x:v>
      </x:c>
      <x:c r="J276" s="34" t="n">
        <x:v>45461</x:v>
      </x:c>
      <x:c r="K276" s="32" t="n">
        <x:v>1396</x:v>
      </x:c>
      <x:c r="L276" s="32" t="n">
        <x:v>1396</x:v>
      </x:c>
      <x:c r="M276" s="30" t="n">
        <x:v>100512</x:v>
      </x:c>
      <x:c r="N276" s="28" t="str">
        <x:v>OTIF</x:v>
      </x:c>
      <x:c r="O276" s="28" t="str">
        <x:v>Janela perdida no cliente</x:v>
      </x:c>
      <x:c r="P276" s="30" t="n">
        <x:v>0</x:v>
      </x:c>
    </x:row>
    <x:row r="277">
      <x:c r="A277" s="28" t="str">
        <x:v>PED-48276</x:v>
      </x:c>
      <x:c r="B277" s="34" t="n">
        <x:v>45444</x:v>
      </x:c>
      <x:c r="C277" s="28" t="str">
        <x:v>Grupo Industrial S.A.</x:v>
      </x:c>
      <x:c r="D277" s="28" t="str">
        <x:v>Planta São Paulo</x:v>
      </x:c>
      <x:c r="E277" s="28" t="str">
        <x:v>Farma Vida</x:v>
      </x:c>
      <x:c r="F277" s="28" t="str">
        <x:v>Sudeste</x:v>
      </x:c>
      <x:c r="G277" s="28" t="str">
        <x:v>TransDados</x:v>
      </x:c>
      <x:c r="H277" s="28" t="str">
        <x:v>SP-Sudeste</x:v>
      </x:c>
      <x:c r="I277" s="34" t="n">
        <x:v>45464</x:v>
      </x:c>
      <x:c r="J277" s="34" t="n">
        <x:v>45465</x:v>
      </x:c>
      <x:c r="K277" s="32" t="n">
        <x:v>1360</x:v>
      </x:c>
      <x:c r="L277" s="32" t="n">
        <x:v>1360</x:v>
      </x:c>
      <x:c r="M277" s="30" t="n">
        <x:v>114240</x:v>
      </x:c>
      <x:c r="N277" s="28" t="str">
        <x:v>Em atraso</x:v>
      </x:c>
      <x:c r="O277" s="28" t="str">
        <x:v>Atraso transportadora</x:v>
      </x:c>
      <x:c r="P277" s="30" t="n">
        <x:v>114240</x:v>
      </x:c>
    </x:row>
    <x:row r="278">
      <x:c r="A278" s="28" t="str">
        <x:v>PED-48277</x:v>
      </x:c>
      <x:c r="B278" s="34" t="n">
        <x:v>45444</x:v>
      </x:c>
      <x:c r="C278" s="28" t="str">
        <x:v>Grupo Industrial S.A.</x:v>
      </x:c>
      <x:c r="D278" s="28" t="str">
        <x:v>Planta São Paulo</x:v>
      </x:c>
      <x:c r="E278" s="28" t="str">
        <x:v>Construbem</x:v>
      </x:c>
      <x:c r="F278" s="28" t="str">
        <x:v>Sudeste</x:v>
      </x:c>
      <x:c r="G278" s="28" t="str">
        <x:v>RápidoSul</x:v>
      </x:c>
      <x:c r="H278" s="28" t="str">
        <x:v>SP-Centro-Oeste</x:v>
      </x:c>
      <x:c r="I278" s="34" t="n">
        <x:v>45449</x:v>
      </x:c>
      <x:c r="J278" s="34" t="n">
        <x:v>45453</x:v>
      </x:c>
      <x:c r="K278" s="32" t="n">
        <x:v>1691</x:v>
      </x:c>
      <x:c r="L278" s="32" t="n">
        <x:v>1691</x:v>
      </x:c>
      <x:c r="M278" s="30" t="n">
        <x:v>142044</x:v>
      </x:c>
      <x:c r="N278" s="28" t="str">
        <x:v>Em atraso</x:v>
      </x:c>
      <x:c r="O278" s="28" t="str">
        <x:v>Atraso transportadora</x:v>
      </x:c>
      <x:c r="P278" s="30" t="n">
        <x:v>142044</x:v>
      </x:c>
    </x:row>
    <x:row r="279">
      <x:c r="A279" s="28" t="str">
        <x:v>PED-48278</x:v>
      </x:c>
      <x:c r="B279" s="34" t="n">
        <x:v>45444</x:v>
      </x:c>
      <x:c r="C279" s="28" t="str">
        <x:v>Grupo Industrial S.A.</x:v>
      </x:c>
      <x:c r="D279" s="28" t="str">
        <x:v>Planta São Paulo</x:v>
      </x:c>
      <x:c r="E279" s="28" t="str">
        <x:v>Alimentos SA</x:v>
      </x:c>
      <x:c r="F279" s="28" t="str">
        <x:v>Sudeste</x:v>
      </x:c>
      <x:c r="G279" s="28" t="str">
        <x:v>RápidoSul</x:v>
      </x:c>
      <x:c r="H279" s="28" t="str">
        <x:v>SP-Centro-Oeste</x:v>
      </x:c>
      <x:c r="I279" s="34" t="n">
        <x:v>45452</x:v>
      </x:c>
      <x:c r="J279" s="34" t="n">
        <x:v>45454</x:v>
      </x:c>
      <x:c r="K279" s="32" t="n">
        <x:v>1324</x:v>
      </x:c>
      <x:c r="L279" s="32" t="n">
        <x:v>1324</x:v>
      </x:c>
      <x:c r="M279" s="30" t="n">
        <x:v>121808</x:v>
      </x:c>
      <x:c r="N279" s="28" t="str">
        <x:v>Em atraso</x:v>
      </x:c>
      <x:c r="O279" s="28" t="str">
        <x:v>Atraso transportadora</x:v>
      </x:c>
      <x:c r="P279" s="30" t="n">
        <x:v>121808</x:v>
      </x:c>
    </x:row>
    <x:row r="280">
      <x:c r="A280" s="28" t="str">
        <x:v>PED-48279</x:v>
      </x:c>
      <x:c r="B280" s="34" t="n">
        <x:v>45444</x:v>
      </x:c>
      <x:c r="C280" s="28" t="str">
        <x:v>Grupo Industrial S.A.</x:v>
      </x:c>
      <x:c r="D280" s="28" t="str">
        <x:v>Planta São Paulo</x:v>
      </x:c>
      <x:c r="E280" s="28" t="str">
        <x:v>Farma Vida</x:v>
      </x:c>
      <x:c r="F280" s="28" t="str">
        <x:v>Sudeste</x:v>
      </x:c>
      <x:c r="G280" s="28" t="str">
        <x:v>RápidoSul</x:v>
      </x:c>
      <x:c r="H280" s="28" t="str">
        <x:v>SP-Centro-Oeste</x:v>
      </x:c>
      <x:c r="I280" s="34" t="n">
        <x:v>45455</x:v>
      </x:c>
      <x:c r="J280" s="34" t="n">
        <x:v>45459</x:v>
      </x:c>
      <x:c r="K280" s="32" t="n">
        <x:v>2156</x:v>
      </x:c>
      <x:c r="L280" s="32" t="n">
        <x:v>2156</x:v>
      </x:c>
      <x:c r="M280" s="30" t="n">
        <x:v>198352</x:v>
      </x:c>
      <x:c r="N280" s="28" t="str">
        <x:v>Em atraso</x:v>
      </x:c>
      <x:c r="O280" s="28" t="str">
        <x:v>Atraso transportadora</x:v>
      </x:c>
      <x:c r="P280" s="30" t="n">
        <x:v>198352</x:v>
      </x:c>
    </x:row>
    <x:row r="281">
      <x:c r="A281" s="28" t="str">
        <x:v>PED-48280</x:v>
      </x:c>
      <x:c r="B281" s="34" t="n">
        <x:v>45444</x:v>
      </x:c>
      <x:c r="C281" s="28" t="str">
        <x:v>Grupo Industrial S.A.</x:v>
      </x:c>
      <x:c r="D281" s="28" t="str">
        <x:v>Planta São Paulo</x:v>
      </x:c>
      <x:c r="E281" s="28" t="str">
        <x:v>AutoPeças BR</x:v>
      </x:c>
      <x:c r="F281" s="28" t="str">
        <x:v>Sudeste</x:v>
      </x:c>
      <x:c r="G281" s="28" t="str">
        <x:v>RápidoSul</x:v>
      </x:c>
      <x:c r="H281" s="28" t="str">
        <x:v>SP-Centro-Oeste</x:v>
      </x:c>
      <x:c r="I281" s="34" t="n">
        <x:v>45458</x:v>
      </x:c>
      <x:c r="J281" s="34" t="n">
        <x:v>45458</x:v>
      </x:c>
      <x:c r="K281" s="32" t="n">
        <x:v>2159</x:v>
      </x:c>
      <x:c r="L281" s="32" t="n">
        <x:v>2159</x:v>
      </x:c>
      <x:c r="M281" s="30" t="n">
        <x:v>181356</x:v>
      </x:c>
      <x:c r="N281" s="28" t="str">
        <x:v>OTIF</x:v>
      </x:c>
      <x:c r="O281" s="28" t="str">
        <x:v>Janela perdida no cliente</x:v>
      </x:c>
      <x:c r="P281" s="30" t="n">
        <x:v>0</x:v>
      </x:c>
    </x:row>
    <x:row r="282">
      <x:c r="A282" s="28" t="str">
        <x:v>PED-48281</x:v>
      </x:c>
      <x:c r="B282" s="34" t="n">
        <x:v>45444</x:v>
      </x:c>
      <x:c r="C282" s="28" t="str">
        <x:v>Grupo Industrial S.A.</x:v>
      </x:c>
      <x:c r="D282" s="28" t="str">
        <x:v>Planta São Paulo</x:v>
      </x:c>
      <x:c r="E282" s="28" t="str">
        <x:v>Construbem</x:v>
      </x:c>
      <x:c r="F282" s="28" t="str">
        <x:v>Sudeste</x:v>
      </x:c>
      <x:c r="G282" s="28" t="str">
        <x:v>RápidoSul</x:v>
      </x:c>
      <x:c r="H282" s="28" t="str">
        <x:v>SP-Centro-Oeste</x:v>
      </x:c>
      <x:c r="I282" s="34" t="n">
        <x:v>45461</x:v>
      </x:c>
      <x:c r="J282" s="34" t="n">
        <x:v>45461</x:v>
      </x:c>
      <x:c r="K282" s="32" t="n">
        <x:v>1367</x:v>
      </x:c>
      <x:c r="L282" s="32" t="n">
        <x:v>1367</x:v>
      </x:c>
      <x:c r="M282" s="30" t="n">
        <x:v>106626</x:v>
      </x:c>
      <x:c r="N282" s="28" t="str">
        <x:v>OTIF</x:v>
      </x:c>
      <x:c r="O282" s="28" t="str">
        <x:v>Janela perdida no cliente</x:v>
      </x:c>
      <x:c r="P282" s="30" t="n">
        <x:v>0</x:v>
      </x:c>
    </x:row>
    <x:row r="283">
      <x:c r="A283" s="28" t="str">
        <x:v>PED-48282</x:v>
      </x:c>
      <x:c r="B283" s="34" t="n">
        <x:v>45444</x:v>
      </x:c>
      <x:c r="C283" s="28" t="str">
        <x:v>Grupo Industrial S.A.</x:v>
      </x:c>
      <x:c r="D283" s="28" t="str">
        <x:v>Planta São Paulo</x:v>
      </x:c>
      <x:c r="E283" s="28" t="str">
        <x:v>Alimentos SA</x:v>
      </x:c>
      <x:c r="F283" s="28" t="str">
        <x:v>Sudeste</x:v>
      </x:c>
      <x:c r="G283" s="28" t="str">
        <x:v>RápidoSul</x:v>
      </x:c>
      <x:c r="H283" s="28" t="str">
        <x:v>SP-Centro-Oeste</x:v>
      </x:c>
      <x:c r="I283" s="34" t="n">
        <x:v>45464</x:v>
      </x:c>
      <x:c r="J283" s="34" t="n">
        <x:v>45466</x:v>
      </x:c>
      <x:c r="K283" s="32" t="n">
        <x:v>1406</x:v>
      </x:c>
      <x:c r="L283" s="32" t="n">
        <x:v>1406</x:v>
      </x:c>
      <x:c r="M283" s="30" t="n">
        <x:v>109668</x:v>
      </x:c>
      <x:c r="N283" s="28" t="str">
        <x:v>Em atraso</x:v>
      </x:c>
      <x:c r="O283" s="28" t="str">
        <x:v>Janela perdida no cliente</x:v>
      </x:c>
      <x:c r="P283" s="30" t="n">
        <x:v>109668</x:v>
      </x:c>
    </x:row>
    <x:row r="284">
      <x:c r="A284" s="28" t="str">
        <x:v>PED-48283</x:v>
      </x:c>
      <x:c r="B284" s="34" t="n">
        <x:v>45444</x:v>
      </x:c>
      <x:c r="C284" s="28" t="str">
        <x:v>Grupo Industrial S.A.</x:v>
      </x:c>
      <x:c r="D284" s="28" t="str">
        <x:v>Planta São Paulo</x:v>
      </x:c>
      <x:c r="E284" s="28" t="str">
        <x:v>AutoPeças BR</x:v>
      </x:c>
      <x:c r="F284" s="28" t="str">
        <x:v>Sudeste</x:v>
      </x:c>
      <x:c r="G284" s="28" t="str">
        <x:v>NovaLog</x:v>
      </x:c>
      <x:c r="H284" s="28" t="str">
        <x:v>SP-Nordeste</x:v>
      </x:c>
      <x:c r="I284" s="34" t="n">
        <x:v>45449</x:v>
      </x:c>
      <x:c r="J284" s="34" t="n">
        <x:v>45450</x:v>
      </x:c>
      <x:c r="K284" s="32" t="n">
        <x:v>1369</x:v>
      </x:c>
      <x:c r="L284" s="32" t="n">
        <x:v>1149</x:v>
      </x:c>
      <x:c r="M284" s="30" t="n">
        <x:v>106782</x:v>
      </x:c>
      <x:c r="N284" s="28" t="str">
        <x:v>Em atraso</x:v>
      </x:c>
      <x:c r="O284" s="28" t="str">
        <x:v>Falta de produto</x:v>
      </x:c>
      <x:c r="P284" s="30" t="n">
        <x:v>106782</x:v>
      </x:c>
    </x:row>
    <x:row r="285">
      <x:c r="A285" s="28" t="str">
        <x:v>PED-48284</x:v>
      </x:c>
      <x:c r="B285" s="34" t="n">
        <x:v>45444</x:v>
      </x:c>
      <x:c r="C285" s="28" t="str">
        <x:v>Grupo Industrial S.A.</x:v>
      </x:c>
      <x:c r="D285" s="28" t="str">
        <x:v>Planta São Paulo</x:v>
      </x:c>
      <x:c r="E285" s="28" t="str">
        <x:v>Construbem</x:v>
      </x:c>
      <x:c r="F285" s="28" t="str">
        <x:v>Sudeste</x:v>
      </x:c>
      <x:c r="G285" s="28" t="str">
        <x:v>NovaLog</x:v>
      </x:c>
      <x:c r="H285" s="28" t="str">
        <x:v>SP-Nordeste</x:v>
      </x:c>
      <x:c r="I285" s="34" t="n">
        <x:v>45452</x:v>
      </x:c>
      <x:c r="J285" s="34" t="n">
        <x:v>45452</x:v>
      </x:c>
      <x:c r="K285" s="32" t="n">
        <x:v>1925</x:v>
      </x:c>
      <x:c r="L285" s="32" t="n">
        <x:v>1925</x:v>
      </x:c>
      <x:c r="M285" s="30" t="n">
        <x:v>150150</x:v>
      </x:c>
      <x:c r="N285" s="28" t="str">
        <x:v>OTIF</x:v>
      </x:c>
      <x:c r="O285" s="28" t="str">
        <x:v>Janela perdida no cliente</x:v>
      </x:c>
      <x:c r="P285" s="30" t="n">
        <x:v>0</x:v>
      </x:c>
    </x:row>
    <x:row r="286">
      <x:c r="A286" s="28" t="str">
        <x:v>PED-48285</x:v>
      </x:c>
      <x:c r="B286" s="34" t="n">
        <x:v>45444</x:v>
      </x:c>
      <x:c r="C286" s="28" t="str">
        <x:v>Grupo Industrial S.A.</x:v>
      </x:c>
      <x:c r="D286" s="28" t="str">
        <x:v>Planta São Paulo</x:v>
      </x:c>
      <x:c r="E286" s="28" t="str">
        <x:v>Alimentos SA</x:v>
      </x:c>
      <x:c r="F286" s="28" t="str">
        <x:v>Sudeste</x:v>
      </x:c>
      <x:c r="G286" s="28" t="str">
        <x:v>NovaLog</x:v>
      </x:c>
      <x:c r="H286" s="28" t="str">
        <x:v>SP-Nordeste</x:v>
      </x:c>
      <x:c r="I286" s="34" t="n">
        <x:v>45455</x:v>
      </x:c>
      <x:c r="J286" s="34" t="n">
        <x:v>45455</x:v>
      </x:c>
      <x:c r="K286" s="32" t="n">
        <x:v>1252</x:v>
      </x:c>
      <x:c r="L286" s="32" t="n">
        <x:v>1252</x:v>
      </x:c>
      <x:c r="M286" s="30" t="n">
        <x:v>105168</x:v>
      </x:c>
      <x:c r="N286" s="28" t="str">
        <x:v>OTIF</x:v>
      </x:c>
      <x:c r="O286" s="28" t="str">
        <x:v>Janela perdida no cliente</x:v>
      </x:c>
      <x:c r="P286" s="30" t="n">
        <x:v>0</x:v>
      </x:c>
    </x:row>
    <x:row r="287">
      <x:c r="A287" s="28" t="str">
        <x:v>PED-48286</x:v>
      </x:c>
      <x:c r="B287" s="34" t="n">
        <x:v>45444</x:v>
      </x:c>
      <x:c r="C287" s="28" t="str">
        <x:v>Grupo Industrial S.A.</x:v>
      </x:c>
      <x:c r="D287" s="28" t="str">
        <x:v>Planta São Paulo</x:v>
      </x:c>
      <x:c r="E287" s="28" t="str">
        <x:v>Farma Vida</x:v>
      </x:c>
      <x:c r="F287" s="28" t="str">
        <x:v>Sudeste</x:v>
      </x:c>
      <x:c r="G287" s="28" t="str">
        <x:v>NovaLog</x:v>
      </x:c>
      <x:c r="H287" s="28" t="str">
        <x:v>SP-Nordeste</x:v>
      </x:c>
      <x:c r="I287" s="34" t="n">
        <x:v>45458</x:v>
      </x:c>
      <x:c r="J287" s="34" t="n">
        <x:v>45460</x:v>
      </x:c>
      <x:c r="K287" s="32" t="n">
        <x:v>1509</x:v>
      </x:c>
      <x:c r="L287" s="32" t="n">
        <x:v>1509</x:v>
      </x:c>
      <x:c r="M287" s="30" t="n">
        <x:v>126756</x:v>
      </x:c>
      <x:c r="N287" s="28" t="str">
        <x:v>Em atraso</x:v>
      </x:c>
      <x:c r="O287" s="28" t="str">
        <x:v>Atraso transportadora</x:v>
      </x:c>
      <x:c r="P287" s="30" t="n">
        <x:v>126756</x:v>
      </x:c>
    </x:row>
    <x:row r="288">
      <x:c r="A288" s="28" t="str">
        <x:v>PED-48287</x:v>
      </x:c>
      <x:c r="B288" s="34" t="n">
        <x:v>45444</x:v>
      </x:c>
      <x:c r="C288" s="28" t="str">
        <x:v>Grupo Industrial S.A.</x:v>
      </x:c>
      <x:c r="D288" s="28" t="str">
        <x:v>Planta São Paulo</x:v>
      </x:c>
      <x:c r="E288" s="28" t="str">
        <x:v>AutoPeças BR</x:v>
      </x:c>
      <x:c r="F288" s="28" t="str">
        <x:v>Sudeste</x:v>
      </x:c>
      <x:c r="G288" s="28" t="str">
        <x:v>NovaLog</x:v>
      </x:c>
      <x:c r="H288" s="28" t="str">
        <x:v>SP-Nordeste</x:v>
      </x:c>
      <x:c r="I288" s="34" t="n">
        <x:v>45461</x:v>
      </x:c>
      <x:c r="J288" s="34" t="n">
        <x:v>45461</x:v>
      </x:c>
      <x:c r="K288" s="32" t="n">
        <x:v>1892</x:v>
      </x:c>
      <x:c r="L288" s="32" t="n">
        <x:v>1892</x:v>
      </x:c>
      <x:c r="M288" s="30" t="n">
        <x:v>158928</x:v>
      </x:c>
      <x:c r="N288" s="28" t="str">
        <x:v>OTIF</x:v>
      </x:c>
      <x:c r="O288" s="28" t="str">
        <x:v>Janela perdida no cliente</x:v>
      </x:c>
      <x:c r="P288" s="30" t="n">
        <x:v>0</x:v>
      </x:c>
    </x:row>
    <x:row r="289">
      <x:c r="A289" s="28" t="str">
        <x:v>PED-48288</x:v>
      </x:c>
      <x:c r="B289" s="34" t="n">
        <x:v>45444</x:v>
      </x:c>
      <x:c r="C289" s="28" t="str">
        <x:v>Grupo Industrial S.A.</x:v>
      </x:c>
      <x:c r="D289" s="28" t="str">
        <x:v>Planta São Paulo</x:v>
      </x:c>
      <x:c r="E289" s="28" t="str">
        <x:v>Construbem</x:v>
      </x:c>
      <x:c r="F289" s="28" t="str">
        <x:v>Sudeste</x:v>
      </x:c>
      <x:c r="G289" s="28" t="str">
        <x:v>NovaLog</x:v>
      </x:c>
      <x:c r="H289" s="28" t="str">
        <x:v>SP-Nordeste</x:v>
      </x:c>
      <x:c r="I289" s="34" t="n">
        <x:v>45464</x:v>
      </x:c>
      <x:c r="J289" s="34" t="n">
        <x:v>45464</x:v>
      </x:c>
      <x:c r="K289" s="32" t="n">
        <x:v>761</x:v>
      </x:c>
      <x:c r="L289" s="32" t="n">
        <x:v>705</x:v>
      </x:c>
      <x:c r="M289" s="30" t="n">
        <x:v>54792</x:v>
      </x:c>
      <x:c r="N289" s="28" t="str">
        <x:v>Incompleto</x:v>
      </x:c>
      <x:c r="O289" s="28" t="str">
        <x:v>Falta de produto</x:v>
      </x:c>
      <x:c r="P289" s="30" t="n">
        <x:v>54792</x:v>
      </x:c>
    </x:row>
    <x:row r="290">
      <x:c r="A290" s="28" t="str">
        <x:v>PED-48289</x:v>
      </x:c>
      <x:c r="B290" s="34" t="n">
        <x:v>45444</x:v>
      </x:c>
      <x:c r="C290" s="28" t="str">
        <x:v>Grupo Industrial S.A.</x:v>
      </x:c>
      <x:c r="D290" s="28" t="str">
        <x:v>Planta Campinas</x:v>
      </x:c>
      <x:c r="E290" s="28" t="str">
        <x:v>Farma Vida</x:v>
      </x:c>
      <x:c r="F290" s="28" t="str">
        <x:v>Sudeste</x:v>
      </x:c>
      <x:c r="G290" s="28" t="str">
        <x:v>TransDados</x:v>
      </x:c>
      <x:c r="H290" s="28" t="str">
        <x:v>Campinas-Sudeste</x:v>
      </x:c>
      <x:c r="I290" s="34" t="n">
        <x:v>45449</x:v>
      </x:c>
      <x:c r="J290" s="34" t="n">
        <x:v>45450</x:v>
      </x:c>
      <x:c r="K290" s="32" t="n">
        <x:v>1778</x:v>
      </x:c>
      <x:c r="L290" s="32" t="n">
        <x:v>1778</x:v>
      </x:c>
      <x:c r="M290" s="30" t="n">
        <x:v>138684</x:v>
      </x:c>
      <x:c r="N290" s="28" t="str">
        <x:v>Em atraso</x:v>
      </x:c>
      <x:c r="O290" s="28" t="str">
        <x:v>Janela perdida no cliente</x:v>
      </x:c>
      <x:c r="P290" s="30" t="n">
        <x:v>138684</x:v>
      </x:c>
    </x:row>
    <x:row r="291">
      <x:c r="A291" s="28" t="str">
        <x:v>PED-48290</x:v>
      </x:c>
      <x:c r="B291" s="34" t="n">
        <x:v>45444</x:v>
      </x:c>
      <x:c r="C291" s="28" t="str">
        <x:v>Grupo Industrial S.A.</x:v>
      </x:c>
      <x:c r="D291" s="28" t="str">
        <x:v>Planta Campinas</x:v>
      </x:c>
      <x:c r="E291" s="28" t="str">
        <x:v>AutoPeças BR</x:v>
      </x:c>
      <x:c r="F291" s="28" t="str">
        <x:v>Sudeste</x:v>
      </x:c>
      <x:c r="G291" s="28" t="str">
        <x:v>TransDados</x:v>
      </x:c>
      <x:c r="H291" s="28" t="str">
        <x:v>Campinas-Sudeste</x:v>
      </x:c>
      <x:c r="I291" s="34" t="n">
        <x:v>45452</x:v>
      </x:c>
      <x:c r="J291" s="34" t="n">
        <x:v>45453</x:v>
      </x:c>
      <x:c r="K291" s="32" t="n">
        <x:v>1513</x:v>
      </x:c>
      <x:c r="L291" s="32" t="n">
        <x:v>1276</x:v>
      </x:c>
      <x:c r="M291" s="30" t="n">
        <x:v>108936</x:v>
      </x:c>
      <x:c r="N291" s="28" t="str">
        <x:v>Em atraso</x:v>
      </x:c>
      <x:c r="O291" s="28" t="str">
        <x:v>Falta de produto</x:v>
      </x:c>
      <x:c r="P291" s="30" t="n">
        <x:v>108936</x:v>
      </x:c>
    </x:row>
    <x:row r="292">
      <x:c r="A292" s="28" t="str">
        <x:v>PED-48291</x:v>
      </x:c>
      <x:c r="B292" s="34" t="n">
        <x:v>45444</x:v>
      </x:c>
      <x:c r="C292" s="28" t="str">
        <x:v>Grupo Industrial S.A.</x:v>
      </x:c>
      <x:c r="D292" s="28" t="str">
        <x:v>Planta Campinas</x:v>
      </x:c>
      <x:c r="E292" s="28" t="str">
        <x:v>Construbem</x:v>
      </x:c>
      <x:c r="F292" s="28" t="str">
        <x:v>Sudeste</x:v>
      </x:c>
      <x:c r="G292" s="28" t="str">
        <x:v>TransDados</x:v>
      </x:c>
      <x:c r="H292" s="28" t="str">
        <x:v>Campinas-Sudeste</x:v>
      </x:c>
      <x:c r="I292" s="34" t="n">
        <x:v>45455</x:v>
      </x:c>
      <x:c r="J292" s="34" t="n">
        <x:v>45459</x:v>
      </x:c>
      <x:c r="K292" s="32" t="n">
        <x:v>742</x:v>
      </x:c>
      <x:c r="L292" s="32" t="n">
        <x:v>742</x:v>
      </x:c>
      <x:c r="M292" s="30" t="n">
        <x:v>68264</x:v>
      </x:c>
      <x:c r="N292" s="28" t="str">
        <x:v>Em atraso</x:v>
      </x:c>
      <x:c r="O292" s="28" t="str">
        <x:v>Atraso transportadora</x:v>
      </x:c>
      <x:c r="P292" s="30" t="n">
        <x:v>68264</x:v>
      </x:c>
    </x:row>
    <x:row r="293">
      <x:c r="A293" s="28" t="str">
        <x:v>PED-48292</x:v>
      </x:c>
      <x:c r="B293" s="34" t="n">
        <x:v>45444</x:v>
      </x:c>
      <x:c r="C293" s="28" t="str">
        <x:v>Grupo Industrial S.A.</x:v>
      </x:c>
      <x:c r="D293" s="28" t="str">
        <x:v>Planta Campinas</x:v>
      </x:c>
      <x:c r="E293" s="28" t="str">
        <x:v>Alimentos SA</x:v>
      </x:c>
      <x:c r="F293" s="28" t="str">
        <x:v>Sudeste</x:v>
      </x:c>
      <x:c r="G293" s="28" t="str">
        <x:v>TransDados</x:v>
      </x:c>
      <x:c r="H293" s="28" t="str">
        <x:v>Campinas-Sudeste</x:v>
      </x:c>
      <x:c r="I293" s="34" t="n">
        <x:v>45458</x:v>
      </x:c>
      <x:c r="J293" s="34" t="n">
        <x:v>45459</x:v>
      </x:c>
      <x:c r="K293" s="32" t="n">
        <x:v>1514</x:v>
      </x:c>
      <x:c r="L293" s="32" t="n">
        <x:v>1514</x:v>
      </x:c>
      <x:c r="M293" s="30" t="n">
        <x:v>127176</x:v>
      </x:c>
      <x:c r="N293" s="28" t="str">
        <x:v>Em atraso</x:v>
      </x:c>
      <x:c r="O293" s="28" t="str">
        <x:v>Janela perdida no cliente</x:v>
      </x:c>
      <x:c r="P293" s="30" t="n">
        <x:v>127176</x:v>
      </x:c>
    </x:row>
    <x:row r="294">
      <x:c r="A294" s="28" t="str">
        <x:v>PED-48293</x:v>
      </x:c>
      <x:c r="B294" s="34" t="n">
        <x:v>45444</x:v>
      </x:c>
      <x:c r="C294" s="28" t="str">
        <x:v>Grupo Industrial S.A.</x:v>
      </x:c>
      <x:c r="D294" s="28" t="str">
        <x:v>Planta Campinas</x:v>
      </x:c>
      <x:c r="E294" s="28" t="str">
        <x:v>Farma Vida</x:v>
      </x:c>
      <x:c r="F294" s="28" t="str">
        <x:v>Sudeste</x:v>
      </x:c>
      <x:c r="G294" s="28" t="str">
        <x:v>TransDados</x:v>
      </x:c>
      <x:c r="H294" s="28" t="str">
        <x:v>Campinas-Sudeste</x:v>
      </x:c>
      <x:c r="I294" s="34" t="n">
        <x:v>45461</x:v>
      </x:c>
      <x:c r="J294" s="34" t="n">
        <x:v>45461</x:v>
      </x:c>
      <x:c r="K294" s="32" t="n">
        <x:v>2060</x:v>
      </x:c>
      <x:c r="L294" s="32" t="n">
        <x:v>2060</x:v>
      </x:c>
      <x:c r="M294" s="30" t="n">
        <x:v>148320</x:v>
      </x:c>
      <x:c r="N294" s="28" t="str">
        <x:v>OTIF</x:v>
      </x:c>
      <x:c r="O294" s="28" t="str">
        <x:v>Janela perdida no cliente</x:v>
      </x:c>
      <x:c r="P294" s="30" t="n">
        <x:v>0</x:v>
      </x:c>
    </x:row>
    <x:row r="295">
      <x:c r="A295" s="28" t="str">
        <x:v>PED-48294</x:v>
      </x:c>
      <x:c r="B295" s="34" t="n">
        <x:v>45444</x:v>
      </x:c>
      <x:c r="C295" s="28" t="str">
        <x:v>Grupo Industrial S.A.</x:v>
      </x:c>
      <x:c r="D295" s="28" t="str">
        <x:v>Planta Campinas</x:v>
      </x:c>
      <x:c r="E295" s="28" t="str">
        <x:v>AutoPeças BR</x:v>
      </x:c>
      <x:c r="F295" s="28" t="str">
        <x:v>Sudeste</x:v>
      </x:c>
      <x:c r="G295" s="28" t="str">
        <x:v>TransDados</x:v>
      </x:c>
      <x:c r="H295" s="28" t="str">
        <x:v>Campinas-Sudeste</x:v>
      </x:c>
      <x:c r="I295" s="34" t="n">
        <x:v>45464</x:v>
      </x:c>
      <x:c r="J295" s="34" t="n">
        <x:v>45464</x:v>
      </x:c>
      <x:c r="K295" s="32" t="n">
        <x:v>1603</x:v>
      </x:c>
      <x:c r="L295" s="32" t="n">
        <x:v>1603</x:v>
      </x:c>
      <x:c r="M295" s="30" t="n">
        <x:v>115416</x:v>
      </x:c>
      <x:c r="N295" s="28" t="str">
        <x:v>OTIF</x:v>
      </x:c>
      <x:c r="O295" s="28" t="str">
        <x:v>Janela perdida no cliente</x:v>
      </x:c>
      <x:c r="P295" s="30" t="n">
        <x:v>0</x:v>
      </x:c>
    </x:row>
    <x:row r="296">
      <x:c r="A296" s="28" t="str">
        <x:v>PED-48295</x:v>
      </x:c>
      <x:c r="B296" s="34" t="n">
        <x:v>45444</x:v>
      </x:c>
      <x:c r="C296" s="28" t="str">
        <x:v>Grupo Industrial S.A.</x:v>
      </x:c>
      <x:c r="D296" s="28" t="str">
        <x:v>Planta Campinas</x:v>
      </x:c>
      <x:c r="E296" s="28" t="str">
        <x:v>Alimentos SA</x:v>
      </x:c>
      <x:c r="F296" s="28" t="str">
        <x:v>Sudeste</x:v>
      </x:c>
      <x:c r="G296" s="28" t="str">
        <x:v>RápidoSul</x:v>
      </x:c>
      <x:c r="H296" s="28" t="str">
        <x:v>Campinas-Norte</x:v>
      </x:c>
      <x:c r="I296" s="34" t="n">
        <x:v>45449</x:v>
      </x:c>
      <x:c r="J296" s="34" t="n">
        <x:v>45451</x:v>
      </x:c>
      <x:c r="K296" s="32" t="n">
        <x:v>1942</x:v>
      </x:c>
      <x:c r="L296" s="32" t="n">
        <x:v>1942</x:v>
      </x:c>
      <x:c r="M296" s="30" t="n">
        <x:v>163128</x:v>
      </x:c>
      <x:c r="N296" s="28" t="str">
        <x:v>Em atraso</x:v>
      </x:c>
      <x:c r="O296" s="28" t="str">
        <x:v>Janela perdida no cliente</x:v>
      </x:c>
      <x:c r="P296" s="30" t="n">
        <x:v>163128</x:v>
      </x:c>
    </x:row>
    <x:row r="297">
      <x:c r="A297" s="28" t="str">
        <x:v>PED-48296</x:v>
      </x:c>
      <x:c r="B297" s="34" t="n">
        <x:v>45444</x:v>
      </x:c>
      <x:c r="C297" s="28" t="str">
        <x:v>Grupo Industrial S.A.</x:v>
      </x:c>
      <x:c r="D297" s="28" t="str">
        <x:v>Planta Campinas</x:v>
      </x:c>
      <x:c r="E297" s="28" t="str">
        <x:v>Farma Vida</x:v>
      </x:c>
      <x:c r="F297" s="28" t="str">
        <x:v>Sudeste</x:v>
      </x:c>
      <x:c r="G297" s="28" t="str">
        <x:v>RápidoSul</x:v>
      </x:c>
      <x:c r="H297" s="28" t="str">
        <x:v>Campinas-Norte</x:v>
      </x:c>
      <x:c r="I297" s="34" t="n">
        <x:v>45452</x:v>
      </x:c>
      <x:c r="J297" s="34" t="n">
        <x:v>45454</x:v>
      </x:c>
      <x:c r="K297" s="32" t="n">
        <x:v>2150</x:v>
      </x:c>
      <x:c r="L297" s="32" t="n">
        <x:v>2150</x:v>
      </x:c>
      <x:c r="M297" s="30" t="n">
        <x:v>197800</x:v>
      </x:c>
      <x:c r="N297" s="28" t="str">
        <x:v>Em atraso</x:v>
      </x:c>
      <x:c r="O297" s="28" t="str">
        <x:v>Atraso transportadora</x:v>
      </x:c>
      <x:c r="P297" s="30" t="n">
        <x:v>197800</x:v>
      </x:c>
    </x:row>
    <x:row r="298">
      <x:c r="A298" s="28" t="str">
        <x:v>PED-48297</x:v>
      </x:c>
      <x:c r="B298" s="34" t="n">
        <x:v>45444</x:v>
      </x:c>
      <x:c r="C298" s="28" t="str">
        <x:v>Grupo Industrial S.A.</x:v>
      </x:c>
      <x:c r="D298" s="28" t="str">
        <x:v>Planta Campinas</x:v>
      </x:c>
      <x:c r="E298" s="28" t="str">
        <x:v>AutoPeças BR</x:v>
      </x:c>
      <x:c r="F298" s="28" t="str">
        <x:v>Sudeste</x:v>
      </x:c>
      <x:c r="G298" s="28" t="str">
        <x:v>RápidoSul</x:v>
      </x:c>
      <x:c r="H298" s="28" t="str">
        <x:v>Campinas-Norte</x:v>
      </x:c>
      <x:c r="I298" s="34" t="n">
        <x:v>45455</x:v>
      </x:c>
      <x:c r="J298" s="34" t="n">
        <x:v>45457</x:v>
      </x:c>
      <x:c r="K298" s="32" t="n">
        <x:v>2165</x:v>
      </x:c>
      <x:c r="L298" s="32" t="n">
        <x:v>2165</x:v>
      </x:c>
      <x:c r="M298" s="30" t="n">
        <x:v>168870</x:v>
      </x:c>
      <x:c r="N298" s="28" t="str">
        <x:v>Em atraso</x:v>
      </x:c>
      <x:c r="O298" s="28" t="str">
        <x:v>Janela perdida no cliente</x:v>
      </x:c>
      <x:c r="P298" s="30" t="n">
        <x:v>168870</x:v>
      </x:c>
    </x:row>
    <x:row r="299">
      <x:c r="A299" s="28" t="str">
        <x:v>PED-48298</x:v>
      </x:c>
      <x:c r="B299" s="34" t="n">
        <x:v>45444</x:v>
      </x:c>
      <x:c r="C299" s="28" t="str">
        <x:v>Grupo Industrial S.A.</x:v>
      </x:c>
      <x:c r="D299" s="28" t="str">
        <x:v>Planta Campinas</x:v>
      </x:c>
      <x:c r="E299" s="28" t="str">
        <x:v>Construbem</x:v>
      </x:c>
      <x:c r="F299" s="28" t="str">
        <x:v>Sudeste</x:v>
      </x:c>
      <x:c r="G299" s="28" t="str">
        <x:v>RápidoSul</x:v>
      </x:c>
      <x:c r="H299" s="28" t="str">
        <x:v>Campinas-Norte</x:v>
      </x:c>
      <x:c r="I299" s="34" t="n">
        <x:v>45458</x:v>
      </x:c>
      <x:c r="J299" s="34" t="n">
        <x:v>45459</x:v>
      </x:c>
      <x:c r="K299" s="32" t="n">
        <x:v>954</x:v>
      </x:c>
      <x:c r="L299" s="32" t="n">
        <x:v>954</x:v>
      </x:c>
      <x:c r="M299" s="30" t="n">
        <x:v>74412</x:v>
      </x:c>
      <x:c r="N299" s="28" t="str">
        <x:v>Em atraso</x:v>
      </x:c>
      <x:c r="O299" s="28" t="str">
        <x:v>Atraso transportadora</x:v>
      </x:c>
      <x:c r="P299" s="30" t="n">
        <x:v>74412</x:v>
      </x:c>
    </x:row>
    <x:row r="300">
      <x:c r="A300" s="28" t="str">
        <x:v>PED-48299</x:v>
      </x:c>
      <x:c r="B300" s="34" t="n">
        <x:v>45444</x:v>
      </x:c>
      <x:c r="C300" s="28" t="str">
        <x:v>Grupo Industrial S.A.</x:v>
      </x:c>
      <x:c r="D300" s="28" t="str">
        <x:v>Planta Campinas</x:v>
      </x:c>
      <x:c r="E300" s="28" t="str">
        <x:v>Alimentos SA</x:v>
      </x:c>
      <x:c r="F300" s="28" t="str">
        <x:v>Sudeste</x:v>
      </x:c>
      <x:c r="G300" s="28" t="str">
        <x:v>RápidoSul</x:v>
      </x:c>
      <x:c r="H300" s="28" t="str">
        <x:v>Campinas-Norte</x:v>
      </x:c>
      <x:c r="I300" s="34" t="n">
        <x:v>45461</x:v>
      </x:c>
      <x:c r="J300" s="34" t="n">
        <x:v>45462</x:v>
      </x:c>
      <x:c r="K300" s="32" t="n">
        <x:v>1132</x:v>
      </x:c>
      <x:c r="L300" s="32" t="n">
        <x:v>1132</x:v>
      </x:c>
      <x:c r="M300" s="30" t="n">
        <x:v>81504</x:v>
      </x:c>
      <x:c r="N300" s="28" t="str">
        <x:v>Em atraso</x:v>
      </x:c>
      <x:c r="O300" s="28" t="str">
        <x:v>Atraso transportadora</x:v>
      </x:c>
      <x:c r="P300" s="30" t="n">
        <x:v>81504</x:v>
      </x:c>
    </x:row>
    <x:row r="301">
      <x:c r="A301" s="28" t="str">
        <x:v>PED-48300</x:v>
      </x:c>
      <x:c r="B301" s="34" t="n">
        <x:v>45444</x:v>
      </x:c>
      <x:c r="C301" s="28" t="str">
        <x:v>Grupo Industrial S.A.</x:v>
      </x:c>
      <x:c r="D301" s="28" t="str">
        <x:v>Planta Campinas</x:v>
      </x:c>
      <x:c r="E301" s="28" t="str">
        <x:v>Farma Vida</x:v>
      </x:c>
      <x:c r="F301" s="28" t="str">
        <x:v>Sudeste</x:v>
      </x:c>
      <x:c r="G301" s="28" t="str">
        <x:v>RápidoSul</x:v>
      </x:c>
      <x:c r="H301" s="28" t="str">
        <x:v>Campinas-Norte</x:v>
      </x:c>
      <x:c r="I301" s="34" t="n">
        <x:v>45464</x:v>
      </x:c>
      <x:c r="J301" s="34" t="n">
        <x:v>45465</x:v>
      </x:c>
      <x:c r="K301" s="32" t="n">
        <x:v>1412</x:v>
      </x:c>
      <x:c r="L301" s="32" t="n">
        <x:v>1412</x:v>
      </x:c>
      <x:c r="M301" s="30" t="n">
        <x:v>110136</x:v>
      </x:c>
      <x:c r="N301" s="28" t="str">
        <x:v>Em atraso</x:v>
      </x:c>
      <x:c r="O301" s="28" t="str">
        <x:v>Atraso transportadora</x:v>
      </x:c>
      <x:c r="P301" s="30" t="n">
        <x:v>110136</x:v>
      </x:c>
    </x:row>
    <x:row r="302">
      <x:c r="A302" s="28" t="str">
        <x:v>PED-48301</x:v>
      </x:c>
      <x:c r="B302" s="34" t="n">
        <x:v>45444</x:v>
      </x:c>
      <x:c r="C302" s="28" t="str">
        <x:v>Grupo Industrial S.A.</x:v>
      </x:c>
      <x:c r="D302" s="28" t="str">
        <x:v>Planta Campinas</x:v>
      </x:c>
      <x:c r="E302" s="28" t="str">
        <x:v>Construbem</x:v>
      </x:c>
      <x:c r="F302" s="28" t="str">
        <x:v>Sudeste</x:v>
      </x:c>
      <x:c r="G302" s="28" t="str">
        <x:v>NovaLog</x:v>
      </x:c>
      <x:c r="H302" s="28" t="str">
        <x:v>Campinas-Nordeste</x:v>
      </x:c>
      <x:c r="I302" s="34" t="n">
        <x:v>45449</x:v>
      </x:c>
      <x:c r="J302" s="34" t="n">
        <x:v>45450</x:v>
      </x:c>
      <x:c r="K302" s="32" t="n">
        <x:v>1095</x:v>
      </x:c>
      <x:c r="L302" s="32" t="n">
        <x:v>1095</x:v>
      </x:c>
      <x:c r="M302" s="30" t="n">
        <x:v>91980</x:v>
      </x:c>
      <x:c r="N302" s="28" t="str">
        <x:v>Em atraso</x:v>
      </x:c>
      <x:c r="O302" s="28" t="str">
        <x:v>Atraso transportadora</x:v>
      </x:c>
      <x:c r="P302" s="30" t="n">
        <x:v>91980</x:v>
      </x:c>
    </x:row>
    <x:row r="303">
      <x:c r="A303" s="28" t="str">
        <x:v>PED-48302</x:v>
      </x:c>
      <x:c r="B303" s="34" t="n">
        <x:v>45444</x:v>
      </x:c>
      <x:c r="C303" s="28" t="str">
        <x:v>Grupo Industrial S.A.</x:v>
      </x:c>
      <x:c r="D303" s="28" t="str">
        <x:v>Planta Campinas</x:v>
      </x:c>
      <x:c r="E303" s="28" t="str">
        <x:v>Alimentos SA</x:v>
      </x:c>
      <x:c r="F303" s="28" t="str">
        <x:v>Sudeste</x:v>
      </x:c>
      <x:c r="G303" s="28" t="str">
        <x:v>NovaLog</x:v>
      </x:c>
      <x:c r="H303" s="28" t="str">
        <x:v>Campinas-Nordeste</x:v>
      </x:c>
      <x:c r="I303" s="34" t="n">
        <x:v>45452</x:v>
      </x:c>
      <x:c r="J303" s="34" t="n">
        <x:v>45456</x:v>
      </x:c>
      <x:c r="K303" s="32" t="n">
        <x:v>1627</x:v>
      </x:c>
      <x:c r="L303" s="32" t="n">
        <x:v>1627</x:v>
      </x:c>
      <x:c r="M303" s="30" t="n">
        <x:v>126906</x:v>
      </x:c>
      <x:c r="N303" s="28" t="str">
        <x:v>Em atraso</x:v>
      </x:c>
      <x:c r="O303" s="28" t="str">
        <x:v>Atraso transportadora</x:v>
      </x:c>
      <x:c r="P303" s="30" t="n">
        <x:v>126906</x:v>
      </x:c>
    </x:row>
    <x:row r="304">
      <x:c r="A304" s="28" t="str">
        <x:v>PED-48303</x:v>
      </x:c>
      <x:c r="B304" s="34" t="n">
        <x:v>45444</x:v>
      </x:c>
      <x:c r="C304" s="28" t="str">
        <x:v>Grupo Industrial S.A.</x:v>
      </x:c>
      <x:c r="D304" s="28" t="str">
        <x:v>Planta Campinas</x:v>
      </x:c>
      <x:c r="E304" s="28" t="str">
        <x:v>Farma Vida</x:v>
      </x:c>
      <x:c r="F304" s="28" t="str">
        <x:v>Sudeste</x:v>
      </x:c>
      <x:c r="G304" s="28" t="str">
        <x:v>NovaLog</x:v>
      </x:c>
      <x:c r="H304" s="28" t="str">
        <x:v>Campinas-Nordeste</x:v>
      </x:c>
      <x:c r="I304" s="34" t="n">
        <x:v>45455</x:v>
      </x:c>
      <x:c r="J304" s="34" t="n">
        <x:v>45459</x:v>
      </x:c>
      <x:c r="K304" s="32" t="n">
        <x:v>1874</x:v>
      </x:c>
      <x:c r="L304" s="32" t="n">
        <x:v>1874</x:v>
      </x:c>
      <x:c r="M304" s="30" t="n">
        <x:v>146172</x:v>
      </x:c>
      <x:c r="N304" s="28" t="str">
        <x:v>Em atraso</x:v>
      </x:c>
      <x:c r="O304" s="28" t="str">
        <x:v>Janela perdida no cliente</x:v>
      </x:c>
      <x:c r="P304" s="30" t="n">
        <x:v>146172</x:v>
      </x:c>
    </x:row>
    <x:row r="305">
      <x:c r="A305" s="28" t="str">
        <x:v>PED-48304</x:v>
      </x:c>
      <x:c r="B305" s="34" t="n">
        <x:v>45444</x:v>
      </x:c>
      <x:c r="C305" s="28" t="str">
        <x:v>Grupo Industrial S.A.</x:v>
      </x:c>
      <x:c r="D305" s="28" t="str">
        <x:v>Planta Campinas</x:v>
      </x:c>
      <x:c r="E305" s="28" t="str">
        <x:v>AutoPeças BR</x:v>
      </x:c>
      <x:c r="F305" s="28" t="str">
        <x:v>Sudeste</x:v>
      </x:c>
      <x:c r="G305" s="28" t="str">
        <x:v>NovaLog</x:v>
      </x:c>
      <x:c r="H305" s="28" t="str">
        <x:v>Campinas-Nordeste</x:v>
      </x:c>
      <x:c r="I305" s="34" t="n">
        <x:v>45458</x:v>
      </x:c>
      <x:c r="J305" s="34" t="n">
        <x:v>45461</x:v>
      </x:c>
      <x:c r="K305" s="32" t="n">
        <x:v>2137</x:v>
      </x:c>
      <x:c r="L305" s="32" t="n">
        <x:v>1778</x:v>
      </x:c>
      <x:c r="M305" s="30" t="n">
        <x:v>166686</x:v>
      </x:c>
      <x:c r="N305" s="28" t="str">
        <x:v>Em atraso</x:v>
      </x:c>
      <x:c r="O305" s="28" t="str">
        <x:v>Atraso transportadora</x:v>
      </x:c>
      <x:c r="P305" s="30" t="n">
        <x:v>166686</x:v>
      </x:c>
    </x:row>
    <x:row r="306">
      <x:c r="A306" s="28" t="str">
        <x:v>PED-48305</x:v>
      </x:c>
      <x:c r="B306" s="34" t="n">
        <x:v>45444</x:v>
      </x:c>
      <x:c r="C306" s="28" t="str">
        <x:v>Grupo Industrial S.A.</x:v>
      </x:c>
      <x:c r="D306" s="28" t="str">
        <x:v>Planta Campinas</x:v>
      </x:c>
      <x:c r="E306" s="28" t="str">
        <x:v>Construbem</x:v>
      </x:c>
      <x:c r="F306" s="28" t="str">
        <x:v>Sudeste</x:v>
      </x:c>
      <x:c r="G306" s="28" t="str">
        <x:v>NovaLog</x:v>
      </x:c>
      <x:c r="H306" s="28" t="str">
        <x:v>Campinas-Nordeste</x:v>
      </x:c>
      <x:c r="I306" s="34" t="n">
        <x:v>45461</x:v>
      </x:c>
      <x:c r="J306" s="34" t="n">
        <x:v>45465</x:v>
      </x:c>
      <x:c r="K306" s="32" t="n">
        <x:v>801</x:v>
      </x:c>
      <x:c r="L306" s="32" t="n">
        <x:v>801</x:v>
      </x:c>
      <x:c r="M306" s="30" t="n">
        <x:v>67284</x:v>
      </x:c>
      <x:c r="N306" s="28" t="str">
        <x:v>Em atraso</x:v>
      </x:c>
      <x:c r="O306" s="28" t="str">
        <x:v>Atraso transportadora</x:v>
      </x:c>
      <x:c r="P306" s="30" t="n">
        <x:v>67284</x:v>
      </x:c>
    </x:row>
    <x:row r="307">
      <x:c r="A307" s="28" t="str">
        <x:v>PED-48306</x:v>
      </x:c>
      <x:c r="B307" s="34" t="n">
        <x:v>45444</x:v>
      </x:c>
      <x:c r="C307" s="28" t="str">
        <x:v>Grupo Industrial S.A.</x:v>
      </x:c>
      <x:c r="D307" s="28" t="str">
        <x:v>Planta Campinas</x:v>
      </x:c>
      <x:c r="E307" s="28" t="str">
        <x:v>Alimentos SA</x:v>
      </x:c>
      <x:c r="F307" s="28" t="str">
        <x:v>Sudeste</x:v>
      </x:c>
      <x:c r="G307" s="28" t="str">
        <x:v>NovaLog</x:v>
      </x:c>
      <x:c r="H307" s="28" t="str">
        <x:v>Campinas-Nordeste</x:v>
      </x:c>
      <x:c r="I307" s="34" t="n">
        <x:v>45464</x:v>
      </x:c>
      <x:c r="J307" s="34" t="n">
        <x:v>45464</x:v>
      </x:c>
      <x:c r="K307" s="32" t="n">
        <x:v>1987</x:v>
      </x:c>
      <x:c r="L307" s="32" t="n">
        <x:v>1987</x:v>
      </x:c>
      <x:c r="M307" s="30" t="n">
        <x:v>166908</x:v>
      </x:c>
      <x:c r="N307" s="28" t="str">
        <x:v>OTIF</x:v>
      </x:c>
      <x:c r="O307" s="28" t="str">
        <x:v>Janela perdida no cliente</x:v>
      </x:c>
      <x:c r="P307" s="30" t="n">
        <x:v>0</x:v>
      </x:c>
    </x:row>
    <x:row r="308">
      <x:c r="A308" s="28" t="str">
        <x:v>PED-48307</x:v>
      </x:c>
      <x:c r="B308" s="34" t="n">
        <x:v>45444</x:v>
      </x:c>
      <x:c r="C308" s="28" t="str">
        <x:v>Grupo Industrial S.A.</x:v>
      </x:c>
      <x:c r="D308" s="28" t="str">
        <x:v>Planta Curitiba</x:v>
      </x:c>
      <x:c r="E308" s="28" t="str">
        <x:v>AutoPeças BR</x:v>
      </x:c>
      <x:c r="F308" s="28" t="str">
        <x:v>Sul</x:v>
      </x:c>
      <x:c r="G308" s="28" t="str">
        <x:v>TransDados</x:v>
      </x:c>
      <x:c r="H308" s="28" t="str">
        <x:v>Curitiba-Sul</x:v>
      </x:c>
      <x:c r="I308" s="34" t="n">
        <x:v>45449</x:v>
      </x:c>
      <x:c r="J308" s="34" t="n">
        <x:v>45450</x:v>
      </x:c>
      <x:c r="K308" s="32" t="n">
        <x:v>1929</x:v>
      </x:c>
      <x:c r="L308" s="32" t="n">
        <x:v>1929</x:v>
      </x:c>
      <x:c r="M308" s="30" t="n">
        <x:v>150462</x:v>
      </x:c>
      <x:c r="N308" s="28" t="str">
        <x:v>Em atraso</x:v>
      </x:c>
      <x:c r="O308" s="28" t="str">
        <x:v>Atraso transportadora</x:v>
      </x:c>
      <x:c r="P308" s="30" t="n">
        <x:v>150462</x:v>
      </x:c>
    </x:row>
    <x:row r="309">
      <x:c r="A309" s="28" t="str">
        <x:v>PED-48308</x:v>
      </x:c>
      <x:c r="B309" s="34" t="n">
        <x:v>45444</x:v>
      </x:c>
      <x:c r="C309" s="28" t="str">
        <x:v>Grupo Industrial S.A.</x:v>
      </x:c>
      <x:c r="D309" s="28" t="str">
        <x:v>Planta Curitiba</x:v>
      </x:c>
      <x:c r="E309" s="28" t="str">
        <x:v>Construbem</x:v>
      </x:c>
      <x:c r="F309" s="28" t="str">
        <x:v>Sul</x:v>
      </x:c>
      <x:c r="G309" s="28" t="str">
        <x:v>TransDados</x:v>
      </x:c>
      <x:c r="H309" s="28" t="str">
        <x:v>Curitiba-Sul</x:v>
      </x:c>
      <x:c r="I309" s="34" t="n">
        <x:v>45452</x:v>
      </x:c>
      <x:c r="J309" s="34" t="n">
        <x:v>45452</x:v>
      </x:c>
      <x:c r="K309" s="32" t="n">
        <x:v>1364</x:v>
      </x:c>
      <x:c r="L309" s="32" t="n">
        <x:v>1364</x:v>
      </x:c>
      <x:c r="M309" s="30" t="n">
        <x:v>98208</x:v>
      </x:c>
      <x:c r="N309" s="28" t="str">
        <x:v>OTIF</x:v>
      </x:c>
      <x:c r="O309" s="28" t="str">
        <x:v>Janela perdida no cliente</x:v>
      </x:c>
      <x:c r="P309" s="30" t="n">
        <x:v>0</x:v>
      </x:c>
    </x:row>
    <x:row r="310">
      <x:c r="A310" s="28" t="str">
        <x:v>PED-48309</x:v>
      </x:c>
      <x:c r="B310" s="34" t="n">
        <x:v>45444</x:v>
      </x:c>
      <x:c r="C310" s="28" t="str">
        <x:v>Grupo Industrial S.A.</x:v>
      </x:c>
      <x:c r="D310" s="28" t="str">
        <x:v>Planta Curitiba</x:v>
      </x:c>
      <x:c r="E310" s="28" t="str">
        <x:v>Alimentos SA</x:v>
      </x:c>
      <x:c r="F310" s="28" t="str">
        <x:v>Sul</x:v>
      </x:c>
      <x:c r="G310" s="28" t="str">
        <x:v>TransDados</x:v>
      </x:c>
      <x:c r="H310" s="28" t="str">
        <x:v>Curitiba-Sul</x:v>
      </x:c>
      <x:c r="I310" s="34" t="n">
        <x:v>45455</x:v>
      </x:c>
      <x:c r="J310" s="34" t="n">
        <x:v>45459</x:v>
      </x:c>
      <x:c r="K310" s="32" t="n">
        <x:v>1799</x:v>
      </x:c>
      <x:c r="L310" s="32" t="n">
        <x:v>1799</x:v>
      </x:c>
      <x:c r="M310" s="30" t="n">
        <x:v>151116</x:v>
      </x:c>
      <x:c r="N310" s="28" t="str">
        <x:v>Em atraso</x:v>
      </x:c>
      <x:c r="O310" s="28" t="str">
        <x:v>Janela perdida no cliente</x:v>
      </x:c>
      <x:c r="P310" s="30" t="n">
        <x:v>151116</x:v>
      </x:c>
    </x:row>
    <x:row r="311">
      <x:c r="A311" s="28" t="str">
        <x:v>PED-48310</x:v>
      </x:c>
      <x:c r="B311" s="34" t="n">
        <x:v>45444</x:v>
      </x:c>
      <x:c r="C311" s="28" t="str">
        <x:v>Grupo Industrial S.A.</x:v>
      </x:c>
      <x:c r="D311" s="28" t="str">
        <x:v>Planta Curitiba</x:v>
      </x:c>
      <x:c r="E311" s="28" t="str">
        <x:v>Farma Vida</x:v>
      </x:c>
      <x:c r="F311" s="28" t="str">
        <x:v>Sul</x:v>
      </x:c>
      <x:c r="G311" s="28" t="str">
        <x:v>TransDados</x:v>
      </x:c>
      <x:c r="H311" s="28" t="str">
        <x:v>Curitiba-Sul</x:v>
      </x:c>
      <x:c r="I311" s="34" t="n">
        <x:v>45458</x:v>
      </x:c>
      <x:c r="J311" s="34" t="n">
        <x:v>45462</x:v>
      </x:c>
      <x:c r="K311" s="32" t="n">
        <x:v>2127</x:v>
      </x:c>
      <x:c r="L311" s="32" t="n">
        <x:v>2127</x:v>
      </x:c>
      <x:c r="M311" s="30" t="n">
        <x:v>178668</x:v>
      </x:c>
      <x:c r="N311" s="28" t="str">
        <x:v>Em atraso</x:v>
      </x:c>
      <x:c r="O311" s="28" t="str">
        <x:v>Atraso transportadora</x:v>
      </x:c>
      <x:c r="P311" s="30" t="n">
        <x:v>178668</x:v>
      </x:c>
    </x:row>
    <x:row r="312">
      <x:c r="A312" s="28" t="str">
        <x:v>PED-48311</x:v>
      </x:c>
      <x:c r="B312" s="34" t="n">
        <x:v>45444</x:v>
      </x:c>
      <x:c r="C312" s="28" t="str">
        <x:v>Grupo Industrial S.A.</x:v>
      </x:c>
      <x:c r="D312" s="28" t="str">
        <x:v>Planta Curitiba</x:v>
      </x:c>
      <x:c r="E312" s="28" t="str">
        <x:v>AutoPeças BR</x:v>
      </x:c>
      <x:c r="F312" s="28" t="str">
        <x:v>Sul</x:v>
      </x:c>
      <x:c r="G312" s="28" t="str">
        <x:v>TransDados</x:v>
      </x:c>
      <x:c r="H312" s="28" t="str">
        <x:v>Curitiba-Sul</x:v>
      </x:c>
      <x:c r="I312" s="34" t="n">
        <x:v>45461</x:v>
      </x:c>
      <x:c r="J312" s="34" t="n">
        <x:v>45461</x:v>
      </x:c>
      <x:c r="K312" s="32" t="n">
        <x:v>1216</x:v>
      </x:c>
      <x:c r="L312" s="32" t="n">
        <x:v>1216</x:v>
      </x:c>
      <x:c r="M312" s="30" t="n">
        <x:v>102144</x:v>
      </x:c>
      <x:c r="N312" s="28" t="str">
        <x:v>OTIF</x:v>
      </x:c>
      <x:c r="O312" s="28" t="str">
        <x:v>Janela perdida no cliente</x:v>
      </x:c>
      <x:c r="P312" s="30" t="n">
        <x:v>0</x:v>
      </x:c>
    </x:row>
    <x:row r="313">
      <x:c r="A313" s="28" t="str">
        <x:v>PED-48312</x:v>
      </x:c>
      <x:c r="B313" s="34" t="n">
        <x:v>45444</x:v>
      </x:c>
      <x:c r="C313" s="28" t="str">
        <x:v>Grupo Industrial S.A.</x:v>
      </x:c>
      <x:c r="D313" s="28" t="str">
        <x:v>Planta Curitiba</x:v>
      </x:c>
      <x:c r="E313" s="28" t="str">
        <x:v>Construbem</x:v>
      </x:c>
      <x:c r="F313" s="28" t="str">
        <x:v>Sul</x:v>
      </x:c>
      <x:c r="G313" s="28" t="str">
        <x:v>TransDados</x:v>
      </x:c>
      <x:c r="H313" s="28" t="str">
        <x:v>Curitiba-Sul</x:v>
      </x:c>
      <x:c r="I313" s="34" t="n">
        <x:v>45464</x:v>
      </x:c>
      <x:c r="J313" s="34" t="n">
        <x:v>45464</x:v>
      </x:c>
      <x:c r="K313" s="32" t="n">
        <x:v>1323</x:v>
      </x:c>
      <x:c r="L313" s="32" t="n">
        <x:v>1323</x:v>
      </x:c>
      <x:c r="M313" s="30" t="n">
        <x:v>95256</x:v>
      </x:c>
      <x:c r="N313" s="28" t="str">
        <x:v>OTIF</x:v>
      </x:c>
      <x:c r="O313" s="28" t="str">
        <x:v>Janela perdida no cliente</x:v>
      </x:c>
      <x:c r="P313" s="30" t="n">
        <x:v>0</x:v>
      </x:c>
    </x:row>
    <x:row r="314">
      <x:c r="A314" s="28" t="str">
        <x:v>PED-48313</x:v>
      </x:c>
      <x:c r="B314" s="34" t="n">
        <x:v>45444</x:v>
      </x:c>
      <x:c r="C314" s="28" t="str">
        <x:v>Grupo Industrial S.A.</x:v>
      </x:c>
      <x:c r="D314" s="28" t="str">
        <x:v>Planta Curitiba</x:v>
      </x:c>
      <x:c r="E314" s="28" t="str">
        <x:v>Farma Vida</x:v>
      </x:c>
      <x:c r="F314" s="28" t="str">
        <x:v>Sul</x:v>
      </x:c>
      <x:c r="G314" s="28" t="str">
        <x:v>RápidoSul</x:v>
      </x:c>
      <x:c r="H314" s="28" t="str">
        <x:v>Curitiba-Sudeste</x:v>
      </x:c>
      <x:c r="I314" s="34" t="n">
        <x:v>45449</x:v>
      </x:c>
      <x:c r="J314" s="34" t="n">
        <x:v>45449</x:v>
      </x:c>
      <x:c r="K314" s="32" t="n">
        <x:v>1187</x:v>
      </x:c>
      <x:c r="L314" s="32" t="n">
        <x:v>1187</x:v>
      </x:c>
      <x:c r="M314" s="30" t="n">
        <x:v>99708</x:v>
      </x:c>
      <x:c r="N314" s="28" t="str">
        <x:v>OTIF</x:v>
      </x:c>
      <x:c r="O314" s="28" t="str">
        <x:v>Janela perdida no cliente</x:v>
      </x:c>
      <x:c r="P314" s="30" t="n">
        <x:v>0</x:v>
      </x:c>
    </x:row>
    <x:row r="315">
      <x:c r="A315" s="28" t="str">
        <x:v>PED-48314</x:v>
      </x:c>
      <x:c r="B315" s="34" t="n">
        <x:v>45444</x:v>
      </x:c>
      <x:c r="C315" s="28" t="str">
        <x:v>Grupo Industrial S.A.</x:v>
      </x:c>
      <x:c r="D315" s="28" t="str">
        <x:v>Planta Curitiba</x:v>
      </x:c>
      <x:c r="E315" s="28" t="str">
        <x:v>AutoPeças BR</x:v>
      </x:c>
      <x:c r="F315" s="28" t="str">
        <x:v>Sul</x:v>
      </x:c>
      <x:c r="G315" s="28" t="str">
        <x:v>RápidoSul</x:v>
      </x:c>
      <x:c r="H315" s="28" t="str">
        <x:v>Curitiba-Sudeste</x:v>
      </x:c>
      <x:c r="I315" s="34" t="n">
        <x:v>45452</x:v>
      </x:c>
      <x:c r="J315" s="34" t="n">
        <x:v>45454</x:v>
      </x:c>
      <x:c r="K315" s="32" t="n">
        <x:v>815</x:v>
      </x:c>
      <x:c r="L315" s="32" t="n">
        <x:v>815</x:v>
      </x:c>
      <x:c r="M315" s="30" t="n">
        <x:v>74980</x:v>
      </x:c>
      <x:c r="N315" s="28" t="str">
        <x:v>Em atraso</x:v>
      </x:c>
      <x:c r="O315" s="28" t="str">
        <x:v>Atraso transportadora</x:v>
      </x:c>
      <x:c r="P315" s="30" t="n">
        <x:v>74980</x:v>
      </x:c>
    </x:row>
    <x:row r="316">
      <x:c r="A316" s="28" t="str">
        <x:v>PED-48315</x:v>
      </x:c>
      <x:c r="B316" s="34" t="n">
        <x:v>45444</x:v>
      </x:c>
      <x:c r="C316" s="28" t="str">
        <x:v>Grupo Industrial S.A.</x:v>
      </x:c>
      <x:c r="D316" s="28" t="str">
        <x:v>Planta Curitiba</x:v>
      </x:c>
      <x:c r="E316" s="28" t="str">
        <x:v>Construbem</x:v>
      </x:c>
      <x:c r="F316" s="28" t="str">
        <x:v>Sul</x:v>
      </x:c>
      <x:c r="G316" s="28" t="str">
        <x:v>RápidoSul</x:v>
      </x:c>
      <x:c r="H316" s="28" t="str">
        <x:v>Curitiba-Sudeste</x:v>
      </x:c>
      <x:c r="I316" s="34" t="n">
        <x:v>45455</x:v>
      </x:c>
      <x:c r="J316" s="34" t="n">
        <x:v>45456</x:v>
      </x:c>
      <x:c r="K316" s="32" t="n">
        <x:v>1375</x:v>
      </x:c>
      <x:c r="L316" s="32" t="n">
        <x:v>1375</x:v>
      </x:c>
      <x:c r="M316" s="30" t="n">
        <x:v>126500</x:v>
      </x:c>
      <x:c r="N316" s="28" t="str">
        <x:v>Em atraso</x:v>
      </x:c>
      <x:c r="O316" s="28" t="str">
        <x:v>Janela perdida no cliente</x:v>
      </x:c>
      <x:c r="P316" s="30" t="n">
        <x:v>126500</x:v>
      </x:c>
    </x:row>
    <x:row r="317">
      <x:c r="A317" s="28" t="str">
        <x:v>PED-48316</x:v>
      </x:c>
      <x:c r="B317" s="34" t="n">
        <x:v>45444</x:v>
      </x:c>
      <x:c r="C317" s="28" t="str">
        <x:v>Grupo Industrial S.A.</x:v>
      </x:c>
      <x:c r="D317" s="28" t="str">
        <x:v>Planta Curitiba</x:v>
      </x:c>
      <x:c r="E317" s="28" t="str">
        <x:v>Alimentos SA</x:v>
      </x:c>
      <x:c r="F317" s="28" t="str">
        <x:v>Sul</x:v>
      </x:c>
      <x:c r="G317" s="28" t="str">
        <x:v>RápidoSul</x:v>
      </x:c>
      <x:c r="H317" s="28" t="str">
        <x:v>Curitiba-Sudeste</x:v>
      </x:c>
      <x:c r="I317" s="34" t="n">
        <x:v>45458</x:v>
      </x:c>
      <x:c r="J317" s="34" t="n">
        <x:v>45459</x:v>
      </x:c>
      <x:c r="K317" s="32" t="n">
        <x:v>1765</x:v>
      </x:c>
      <x:c r="L317" s="32" t="n">
        <x:v>1765</x:v>
      </x:c>
      <x:c r="M317" s="30" t="n">
        <x:v>127080</x:v>
      </x:c>
      <x:c r="N317" s="28" t="str">
        <x:v>Em atraso</x:v>
      </x:c>
      <x:c r="O317" s="28" t="str">
        <x:v>Atraso transportadora</x:v>
      </x:c>
      <x:c r="P317" s="30" t="n">
        <x:v>127080</x:v>
      </x:c>
    </x:row>
    <x:row r="318">
      <x:c r="A318" s="28" t="str">
        <x:v>PED-48317</x:v>
      </x:c>
      <x:c r="B318" s="34" t="n">
        <x:v>45444</x:v>
      </x:c>
      <x:c r="C318" s="28" t="str">
        <x:v>Grupo Industrial S.A.</x:v>
      </x:c>
      <x:c r="D318" s="28" t="str">
        <x:v>Planta Curitiba</x:v>
      </x:c>
      <x:c r="E318" s="28" t="str">
        <x:v>Farma Vida</x:v>
      </x:c>
      <x:c r="F318" s="28" t="str">
        <x:v>Sul</x:v>
      </x:c>
      <x:c r="G318" s="28" t="str">
        <x:v>RápidoSul</x:v>
      </x:c>
      <x:c r="H318" s="28" t="str">
        <x:v>Curitiba-Sudeste</x:v>
      </x:c>
      <x:c r="I318" s="34" t="n">
        <x:v>45461</x:v>
      </x:c>
      <x:c r="J318" s="34" t="n">
        <x:v>45461</x:v>
      </x:c>
      <x:c r="K318" s="32" t="n">
        <x:v>1695</x:v>
      </x:c>
      <x:c r="L318" s="32" t="n">
        <x:v>1695</x:v>
      </x:c>
      <x:c r="M318" s="30" t="n">
        <x:v>155940</x:v>
      </x:c>
      <x:c r="N318" s="28" t="str">
        <x:v>OTIF</x:v>
      </x:c>
      <x:c r="O318" s="28" t="str">
        <x:v>Janela perdida no cliente</x:v>
      </x:c>
      <x:c r="P318" s="30" t="n">
        <x:v>0</x:v>
      </x:c>
    </x:row>
    <x:row r="319">
      <x:c r="A319" s="28" t="str">
        <x:v>PED-48318</x:v>
      </x:c>
      <x:c r="B319" s="34" t="n">
        <x:v>45444</x:v>
      </x:c>
      <x:c r="C319" s="28" t="str">
        <x:v>Grupo Industrial S.A.</x:v>
      </x:c>
      <x:c r="D319" s="28" t="str">
        <x:v>Planta Curitiba</x:v>
      </x:c>
      <x:c r="E319" s="28" t="str">
        <x:v>AutoPeças BR</x:v>
      </x:c>
      <x:c r="F319" s="28" t="str">
        <x:v>Sul</x:v>
      </x:c>
      <x:c r="G319" s="28" t="str">
        <x:v>RápidoSul</x:v>
      </x:c>
      <x:c r="H319" s="28" t="str">
        <x:v>Curitiba-Sudeste</x:v>
      </x:c>
      <x:c r="I319" s="34" t="n">
        <x:v>45464</x:v>
      </x:c>
      <x:c r="J319" s="34" t="n">
        <x:v>45468</x:v>
      </x:c>
      <x:c r="K319" s="32" t="n">
        <x:v>1895</x:v>
      </x:c>
      <x:c r="L319" s="32" t="n">
        <x:v>1895</x:v>
      </x:c>
      <x:c r="M319" s="30" t="n">
        <x:v>159180</x:v>
      </x:c>
      <x:c r="N319" s="28" t="str">
        <x:v>Em atraso</x:v>
      </x:c>
      <x:c r="O319" s="28" t="str">
        <x:v>Atraso transportadora</x:v>
      </x:c>
      <x:c r="P319" s="30" t="n">
        <x:v>159180</x:v>
      </x:c>
    </x:row>
    <x:row r="320">
      <x:c r="A320" s="28" t="str">
        <x:v>PED-48319</x:v>
      </x:c>
      <x:c r="B320" s="34" t="n">
        <x:v>45444</x:v>
      </x:c>
      <x:c r="C320" s="28" t="str">
        <x:v>Grupo Industrial S.A.</x:v>
      </x:c>
      <x:c r="D320" s="28" t="str">
        <x:v>Planta Curitiba</x:v>
      </x:c>
      <x:c r="E320" s="28" t="str">
        <x:v>Alimentos SA</x:v>
      </x:c>
      <x:c r="F320" s="28" t="str">
        <x:v>Sul</x:v>
      </x:c>
      <x:c r="G320" s="28" t="str">
        <x:v>NovaLog</x:v>
      </x:c>
      <x:c r="H320" s="28" t="str">
        <x:v>Curitiba-Centro-Oeste</x:v>
      </x:c>
      <x:c r="I320" s="34" t="n">
        <x:v>45449</x:v>
      </x:c>
      <x:c r="J320" s="34" t="n">
        <x:v>45449</x:v>
      </x:c>
      <x:c r="K320" s="32" t="n">
        <x:v>833</x:v>
      </x:c>
      <x:c r="L320" s="32" t="n">
        <x:v>833</x:v>
      </x:c>
      <x:c r="M320" s="30" t="n">
        <x:v>76636</x:v>
      </x:c>
      <x:c r="N320" s="28" t="str">
        <x:v>OTIF</x:v>
      </x:c>
      <x:c r="O320" s="28" t="str">
        <x:v>Janela perdida no cliente</x:v>
      </x:c>
      <x:c r="P320" s="30" t="n">
        <x:v>0</x:v>
      </x:c>
    </x:row>
    <x:row r="321">
      <x:c r="A321" s="28" t="str">
        <x:v>PED-48320</x:v>
      </x:c>
      <x:c r="B321" s="34" t="n">
        <x:v>45444</x:v>
      </x:c>
      <x:c r="C321" s="28" t="str">
        <x:v>Grupo Industrial S.A.</x:v>
      </x:c>
      <x:c r="D321" s="28" t="str">
        <x:v>Planta Curitiba</x:v>
      </x:c>
      <x:c r="E321" s="28" t="str">
        <x:v>Farma Vida</x:v>
      </x:c>
      <x:c r="F321" s="28" t="str">
        <x:v>Sul</x:v>
      </x:c>
      <x:c r="G321" s="28" t="str">
        <x:v>NovaLog</x:v>
      </x:c>
      <x:c r="H321" s="28" t="str">
        <x:v>Curitiba-Centro-Oeste</x:v>
      </x:c>
      <x:c r="I321" s="34" t="n">
        <x:v>45452</x:v>
      </x:c>
      <x:c r="J321" s="34" t="n">
        <x:v>45454</x:v>
      </x:c>
      <x:c r="K321" s="32" t="n">
        <x:v>2066</x:v>
      </x:c>
      <x:c r="L321" s="32" t="n">
        <x:v>1753</x:v>
      </x:c>
      <x:c r="M321" s="30" t="n">
        <x:v>190072</x:v>
      </x:c>
      <x:c r="N321" s="28" t="str">
        <x:v>Em atraso</x:v>
      </x:c>
      <x:c r="O321" s="28" t="str">
        <x:v>Falta de produto</x:v>
      </x:c>
      <x:c r="P321" s="30" t="n">
        <x:v>190072</x:v>
      </x:c>
    </x:row>
    <x:row r="322">
      <x:c r="A322" s="28" t="str">
        <x:v>PED-48321</x:v>
      </x:c>
      <x:c r="B322" s="34" t="n">
        <x:v>45444</x:v>
      </x:c>
      <x:c r="C322" s="28" t="str">
        <x:v>Grupo Industrial S.A.</x:v>
      </x:c>
      <x:c r="D322" s="28" t="str">
        <x:v>Planta Curitiba</x:v>
      </x:c>
      <x:c r="E322" s="28" t="str">
        <x:v>AutoPeças BR</x:v>
      </x:c>
      <x:c r="F322" s="28" t="str">
        <x:v>Sul</x:v>
      </x:c>
      <x:c r="G322" s="28" t="str">
        <x:v>NovaLog</x:v>
      </x:c>
      <x:c r="H322" s="28" t="str">
        <x:v>Curitiba-Centro-Oeste</x:v>
      </x:c>
      <x:c r="I322" s="34" t="n">
        <x:v>45455</x:v>
      </x:c>
      <x:c r="J322" s="34" t="n">
        <x:v>45455</x:v>
      </x:c>
      <x:c r="K322" s="32" t="n">
        <x:v>1077</x:v>
      </x:c>
      <x:c r="L322" s="32" t="n">
        <x:v>1077</x:v>
      </x:c>
      <x:c r="M322" s="30" t="n">
        <x:v>90468</x:v>
      </x:c>
      <x:c r="N322" s="28" t="str">
        <x:v>OTIF</x:v>
      </x:c>
      <x:c r="O322" s="28" t="str">
        <x:v>Janela perdida no cliente</x:v>
      </x:c>
      <x:c r="P322" s="30" t="n">
        <x:v>0</x:v>
      </x:c>
    </x:row>
    <x:row r="323">
      <x:c r="A323" s="28" t="str">
        <x:v>PED-48322</x:v>
      </x:c>
      <x:c r="B323" s="34" t="n">
        <x:v>45444</x:v>
      </x:c>
      <x:c r="C323" s="28" t="str">
        <x:v>Grupo Industrial S.A.</x:v>
      </x:c>
      <x:c r="D323" s="28" t="str">
        <x:v>Planta Curitiba</x:v>
      </x:c>
      <x:c r="E323" s="28" t="str">
        <x:v>Construbem</x:v>
      </x:c>
      <x:c r="F323" s="28" t="str">
        <x:v>Sul</x:v>
      </x:c>
      <x:c r="G323" s="28" t="str">
        <x:v>NovaLog</x:v>
      </x:c>
      <x:c r="H323" s="28" t="str">
        <x:v>Curitiba-Centro-Oeste</x:v>
      </x:c>
      <x:c r="I323" s="34" t="n">
        <x:v>45458</x:v>
      </x:c>
      <x:c r="J323" s="34" t="n">
        <x:v>45460</x:v>
      </x:c>
      <x:c r="K323" s="32" t="n">
        <x:v>920</x:v>
      </x:c>
      <x:c r="L323" s="32" t="n">
        <x:v>920</x:v>
      </x:c>
      <x:c r="M323" s="30" t="n">
        <x:v>66240</x:v>
      </x:c>
      <x:c r="N323" s="28" t="str">
        <x:v>Em atraso</x:v>
      </x:c>
      <x:c r="O323" s="28" t="str">
        <x:v>Atraso transportadora</x:v>
      </x:c>
      <x:c r="P323" s="30" t="n">
        <x:v>66240</x:v>
      </x:c>
    </x:row>
    <x:row r="324">
      <x:c r="A324" s="28" t="str">
        <x:v>PED-48323</x:v>
      </x:c>
      <x:c r="B324" s="34" t="n">
        <x:v>45444</x:v>
      </x:c>
      <x:c r="C324" s="28" t="str">
        <x:v>Grupo Industrial S.A.</x:v>
      </x:c>
      <x:c r="D324" s="28" t="str">
        <x:v>Planta Curitiba</x:v>
      </x:c>
      <x:c r="E324" s="28" t="str">
        <x:v>Alimentos SA</x:v>
      </x:c>
      <x:c r="F324" s="28" t="str">
        <x:v>Sul</x:v>
      </x:c>
      <x:c r="G324" s="28" t="str">
        <x:v>NovaLog</x:v>
      </x:c>
      <x:c r="H324" s="28" t="str">
        <x:v>Curitiba-Centro-Oeste</x:v>
      </x:c>
      <x:c r="I324" s="34" t="n">
        <x:v>45461</x:v>
      </x:c>
      <x:c r="J324" s="34" t="n">
        <x:v>45462</x:v>
      </x:c>
      <x:c r="K324" s="32" t="n">
        <x:v>2118</x:v>
      </x:c>
      <x:c r="L324" s="32" t="n">
        <x:v>1892</x:v>
      </x:c>
      <x:c r="M324" s="30" t="n">
        <x:v>194856</x:v>
      </x:c>
      <x:c r="N324" s="28" t="str">
        <x:v>Em atraso</x:v>
      </x:c>
      <x:c r="O324" s="28" t="str">
        <x:v>Falta de produto</x:v>
      </x:c>
      <x:c r="P324" s="30" t="n">
        <x:v>194856</x:v>
      </x:c>
    </x:row>
    <x:row r="325">
      <x:c r="A325" s="28" t="str">
        <x:v>PED-48324</x:v>
      </x:c>
      <x:c r="B325" s="34" t="n">
        <x:v>45444</x:v>
      </x:c>
      <x:c r="C325" s="28" t="str">
        <x:v>Grupo Industrial S.A.</x:v>
      </x:c>
      <x:c r="D325" s="28" t="str">
        <x:v>Planta Curitiba</x:v>
      </x:c>
      <x:c r="E325" s="28" t="str">
        <x:v>Farma Vida</x:v>
      </x:c>
      <x:c r="F325" s="28" t="str">
        <x:v>Sul</x:v>
      </x:c>
      <x:c r="G325" s="28" t="str">
        <x:v>NovaLog</x:v>
      </x:c>
      <x:c r="H325" s="28" t="str">
        <x:v>Curitiba-Centro-Oeste</x:v>
      </x:c>
      <x:c r="I325" s="34" t="n">
        <x:v>45464</x:v>
      </x:c>
      <x:c r="J325" s="34" t="n">
        <x:v>45464</x:v>
      </x:c>
      <x:c r="K325" s="32" t="n">
        <x:v>1471</x:v>
      </x:c>
      <x:c r="L325" s="32" t="n">
        <x:v>1471</x:v>
      </x:c>
      <x:c r="M325" s="30" t="n">
        <x:v>114738</x:v>
      </x:c>
      <x:c r="N325" s="28" t="str">
        <x:v>OTIF</x:v>
      </x:c>
      <x:c r="O325" s="28" t="str">
        <x:v>Janela perdida no cliente</x:v>
      </x:c>
      <x:c r="P325" s="30" t="n">
        <x:v>0</x:v>
      </x:c>
    </x:row>
    <x:row r="326">
      <x:c r="A326" s="28" t="str">
        <x:v>PED-48325</x:v>
      </x:c>
      <x:c r="B326" s="34" t="n">
        <x:v>45474</x:v>
      </x:c>
      <x:c r="C326" s="28" t="str">
        <x:v>Grupo Industrial S.A.</x:v>
      </x:c>
      <x:c r="D326" s="28" t="str">
        <x:v>Planta São Paulo</x:v>
      </x:c>
      <x:c r="E326" s="28" t="str">
        <x:v>Construbem</x:v>
      </x:c>
      <x:c r="F326" s="28" t="str">
        <x:v>Sudeste</x:v>
      </x:c>
      <x:c r="G326" s="28" t="str">
        <x:v>TransDados</x:v>
      </x:c>
      <x:c r="H326" s="28" t="str">
        <x:v>SP-Sudeste</x:v>
      </x:c>
      <x:c r="I326" s="34" t="n">
        <x:v>45479</x:v>
      </x:c>
      <x:c r="J326" s="34" t="n">
        <x:v>45481</x:v>
      </x:c>
      <x:c r="K326" s="32" t="n">
        <x:v>1121</x:v>
      </x:c>
      <x:c r="L326" s="32" t="n">
        <x:v>1121</x:v>
      </x:c>
      <x:c r="M326" s="30" t="n">
        <x:v>80712</x:v>
      </x:c>
      <x:c r="N326" s="28" t="str">
        <x:v>Em atraso</x:v>
      </x:c>
      <x:c r="O326" s="28" t="str">
        <x:v>Atraso transportadora</x:v>
      </x:c>
      <x:c r="P326" s="30" t="n">
        <x:v>80712</x:v>
      </x:c>
    </x:row>
    <x:row r="327">
      <x:c r="A327" s="28" t="str">
        <x:v>PED-48326</x:v>
      </x:c>
      <x:c r="B327" s="34" t="n">
        <x:v>45474</x:v>
      </x:c>
      <x:c r="C327" s="28" t="str">
        <x:v>Grupo Industrial S.A.</x:v>
      </x:c>
      <x:c r="D327" s="28" t="str">
        <x:v>Planta São Paulo</x:v>
      </x:c>
      <x:c r="E327" s="28" t="str">
        <x:v>Alimentos SA</x:v>
      </x:c>
      <x:c r="F327" s="28" t="str">
        <x:v>Sudeste</x:v>
      </x:c>
      <x:c r="G327" s="28" t="str">
        <x:v>TransDados</x:v>
      </x:c>
      <x:c r="H327" s="28" t="str">
        <x:v>SP-Sudeste</x:v>
      </x:c>
      <x:c r="I327" s="34" t="n">
        <x:v>45482</x:v>
      </x:c>
      <x:c r="J327" s="34" t="n">
        <x:v>45482</x:v>
      </x:c>
      <x:c r="K327" s="32" t="n">
        <x:v>970</x:v>
      </x:c>
      <x:c r="L327" s="32" t="n">
        <x:v>970</x:v>
      </x:c>
      <x:c r="M327" s="30" t="n">
        <x:v>69840</x:v>
      </x:c>
      <x:c r="N327" s="28" t="str">
        <x:v>OTIF</x:v>
      </x:c>
      <x:c r="O327" s="28" t="str">
        <x:v>Janela perdida no cliente</x:v>
      </x:c>
      <x:c r="P327" s="30" t="n">
        <x:v>0</x:v>
      </x:c>
    </x:row>
    <x:row r="328">
      <x:c r="A328" s="28" t="str">
        <x:v>PED-48327</x:v>
      </x:c>
      <x:c r="B328" s="34" t="n">
        <x:v>45474</x:v>
      </x:c>
      <x:c r="C328" s="28" t="str">
        <x:v>Grupo Industrial S.A.</x:v>
      </x:c>
      <x:c r="D328" s="28" t="str">
        <x:v>Planta São Paulo</x:v>
      </x:c>
      <x:c r="E328" s="28" t="str">
        <x:v>Farma Vida</x:v>
      </x:c>
      <x:c r="F328" s="28" t="str">
        <x:v>Sudeste</x:v>
      </x:c>
      <x:c r="G328" s="28" t="str">
        <x:v>TransDados</x:v>
      </x:c>
      <x:c r="H328" s="28" t="str">
        <x:v>SP-Sudeste</x:v>
      </x:c>
      <x:c r="I328" s="34" t="n">
        <x:v>45485</x:v>
      </x:c>
      <x:c r="J328" s="34" t="n">
        <x:v>45487</x:v>
      </x:c>
      <x:c r="K328" s="32" t="n">
        <x:v>1715</x:v>
      </x:c>
      <x:c r="L328" s="32" t="n">
        <x:v>1715</x:v>
      </x:c>
      <x:c r="M328" s="30" t="n">
        <x:v>133770</x:v>
      </x:c>
      <x:c r="N328" s="28" t="str">
        <x:v>Em atraso</x:v>
      </x:c>
      <x:c r="O328" s="28" t="str">
        <x:v>Atraso transportadora</x:v>
      </x:c>
      <x:c r="P328" s="30" t="n">
        <x:v>133770</x:v>
      </x:c>
    </x:row>
    <x:row r="329">
      <x:c r="A329" s="28" t="str">
        <x:v>PED-48328</x:v>
      </x:c>
      <x:c r="B329" s="34" t="n">
        <x:v>45474</x:v>
      </x:c>
      <x:c r="C329" s="28" t="str">
        <x:v>Grupo Industrial S.A.</x:v>
      </x:c>
      <x:c r="D329" s="28" t="str">
        <x:v>Planta São Paulo</x:v>
      </x:c>
      <x:c r="E329" s="28" t="str">
        <x:v>AutoPeças BR</x:v>
      </x:c>
      <x:c r="F329" s="28" t="str">
        <x:v>Sudeste</x:v>
      </x:c>
      <x:c r="G329" s="28" t="str">
        <x:v>TransDados</x:v>
      </x:c>
      <x:c r="H329" s="28" t="str">
        <x:v>SP-Sudeste</x:v>
      </x:c>
      <x:c r="I329" s="34" t="n">
        <x:v>45488</x:v>
      </x:c>
      <x:c r="J329" s="34" t="n">
        <x:v>45489</x:v>
      </x:c>
      <x:c r="K329" s="32" t="n">
        <x:v>1893</x:v>
      </x:c>
      <x:c r="L329" s="32" t="n">
        <x:v>1797</x:v>
      </x:c>
      <x:c r="M329" s="30" t="n">
        <x:v>136296</x:v>
      </x:c>
      <x:c r="N329" s="28" t="str">
        <x:v>Em atraso</x:v>
      </x:c>
      <x:c r="O329" s="28" t="str">
        <x:v>Atraso transportadora</x:v>
      </x:c>
      <x:c r="P329" s="30" t="n">
        <x:v>136296</x:v>
      </x:c>
    </x:row>
    <x:row r="330">
      <x:c r="A330" s="28" t="str">
        <x:v>PED-48329</x:v>
      </x:c>
      <x:c r="B330" s="34" t="n">
        <x:v>45474</x:v>
      </x:c>
      <x:c r="C330" s="28" t="str">
        <x:v>Grupo Industrial S.A.</x:v>
      </x:c>
      <x:c r="D330" s="28" t="str">
        <x:v>Planta São Paulo</x:v>
      </x:c>
      <x:c r="E330" s="28" t="str">
        <x:v>Construbem</x:v>
      </x:c>
      <x:c r="F330" s="28" t="str">
        <x:v>Sudeste</x:v>
      </x:c>
      <x:c r="G330" s="28" t="str">
        <x:v>TransDados</x:v>
      </x:c>
      <x:c r="H330" s="28" t="str">
        <x:v>SP-Sudeste</x:v>
      </x:c>
      <x:c r="I330" s="34" t="n">
        <x:v>45491</x:v>
      </x:c>
      <x:c r="J330" s="34" t="n">
        <x:v>45493</x:v>
      </x:c>
      <x:c r="K330" s="32" t="n">
        <x:v>923</x:v>
      </x:c>
      <x:c r="L330" s="32" t="n">
        <x:v>923</x:v>
      </x:c>
      <x:c r="M330" s="30" t="n">
        <x:v>84916</x:v>
      </x:c>
      <x:c r="N330" s="28" t="str">
        <x:v>Em atraso</x:v>
      </x:c>
      <x:c r="O330" s="28" t="str">
        <x:v>Atraso transportadora</x:v>
      </x:c>
      <x:c r="P330" s="30" t="n">
        <x:v>84916</x:v>
      </x:c>
    </x:row>
    <x:row r="331">
      <x:c r="A331" s="28" t="str">
        <x:v>PED-48330</x:v>
      </x:c>
      <x:c r="B331" s="34" t="n">
        <x:v>45474</x:v>
      </x:c>
      <x:c r="C331" s="28" t="str">
        <x:v>Grupo Industrial S.A.</x:v>
      </x:c>
      <x:c r="D331" s="28" t="str">
        <x:v>Planta São Paulo</x:v>
      </x:c>
      <x:c r="E331" s="28" t="str">
        <x:v>Alimentos SA</x:v>
      </x:c>
      <x:c r="F331" s="28" t="str">
        <x:v>Sudeste</x:v>
      </x:c>
      <x:c r="G331" s="28" t="str">
        <x:v>TransDados</x:v>
      </x:c>
      <x:c r="H331" s="28" t="str">
        <x:v>SP-Sudeste</x:v>
      </x:c>
      <x:c r="I331" s="34" t="n">
        <x:v>45494</x:v>
      </x:c>
      <x:c r="J331" s="34" t="n">
        <x:v>45494</x:v>
      </x:c>
      <x:c r="K331" s="32" t="n">
        <x:v>862</x:v>
      </x:c>
      <x:c r="L331" s="32" t="n">
        <x:v>862</x:v>
      </x:c>
      <x:c r="M331" s="30" t="n">
        <x:v>67236</x:v>
      </x:c>
      <x:c r="N331" s="28" t="str">
        <x:v>OTIF</x:v>
      </x:c>
      <x:c r="O331" s="28" t="str">
        <x:v>Janela perdida no cliente</x:v>
      </x:c>
      <x:c r="P331" s="30" t="n">
        <x:v>0</x:v>
      </x:c>
    </x:row>
    <x:row r="332">
      <x:c r="A332" s="28" t="str">
        <x:v>PED-48331</x:v>
      </x:c>
      <x:c r="B332" s="34" t="n">
        <x:v>45474</x:v>
      </x:c>
      <x:c r="C332" s="28" t="str">
        <x:v>Grupo Industrial S.A.</x:v>
      </x:c>
      <x:c r="D332" s="28" t="str">
        <x:v>Planta São Paulo</x:v>
      </x:c>
      <x:c r="E332" s="28" t="str">
        <x:v>AutoPeças BR</x:v>
      </x:c>
      <x:c r="F332" s="28" t="str">
        <x:v>Sudeste</x:v>
      </x:c>
      <x:c r="G332" s="28" t="str">
        <x:v>RápidoSul</x:v>
      </x:c>
      <x:c r="H332" s="28" t="str">
        <x:v>SP-Centro-Oeste</x:v>
      </x:c>
      <x:c r="I332" s="34" t="n">
        <x:v>45479</x:v>
      </x:c>
      <x:c r="J332" s="34" t="n">
        <x:v>45483</x:v>
      </x:c>
      <x:c r="K332" s="32" t="n">
        <x:v>1697</x:v>
      </x:c>
      <x:c r="L332" s="32" t="n">
        <x:v>1697</x:v>
      </x:c>
      <x:c r="M332" s="30" t="n">
        <x:v>132366</x:v>
      </x:c>
      <x:c r="N332" s="28" t="str">
        <x:v>Em atraso</x:v>
      </x:c>
      <x:c r="O332" s="28" t="str">
        <x:v>Atraso transportadora</x:v>
      </x:c>
      <x:c r="P332" s="30" t="n">
        <x:v>132366</x:v>
      </x:c>
    </x:row>
    <x:row r="333">
      <x:c r="A333" s="28" t="str">
        <x:v>PED-48332</x:v>
      </x:c>
      <x:c r="B333" s="34" t="n">
        <x:v>45474</x:v>
      </x:c>
      <x:c r="C333" s="28" t="str">
        <x:v>Grupo Industrial S.A.</x:v>
      </x:c>
      <x:c r="D333" s="28" t="str">
        <x:v>Planta São Paulo</x:v>
      </x:c>
      <x:c r="E333" s="28" t="str">
        <x:v>Construbem</x:v>
      </x:c>
      <x:c r="F333" s="28" t="str">
        <x:v>Sudeste</x:v>
      </x:c>
      <x:c r="G333" s="28" t="str">
        <x:v>RápidoSul</x:v>
      </x:c>
      <x:c r="H333" s="28" t="str">
        <x:v>SP-Centro-Oeste</x:v>
      </x:c>
      <x:c r="I333" s="34" t="n">
        <x:v>45482</x:v>
      </x:c>
      <x:c r="J333" s="34" t="n">
        <x:v>45486</x:v>
      </x:c>
      <x:c r="K333" s="32" t="n">
        <x:v>885</x:v>
      </x:c>
      <x:c r="L333" s="32" t="n">
        <x:v>885</x:v>
      </x:c>
      <x:c r="M333" s="30" t="n">
        <x:v>63720</x:v>
      </x:c>
      <x:c r="N333" s="28" t="str">
        <x:v>Em atraso</x:v>
      </x:c>
      <x:c r="O333" s="28" t="str">
        <x:v>Janela perdida no cliente</x:v>
      </x:c>
      <x:c r="P333" s="30" t="n">
        <x:v>63720</x:v>
      </x:c>
    </x:row>
    <x:row r="334">
      <x:c r="A334" s="28" t="str">
        <x:v>PED-48333</x:v>
      </x:c>
      <x:c r="B334" s="34" t="n">
        <x:v>45474</x:v>
      </x:c>
      <x:c r="C334" s="28" t="str">
        <x:v>Grupo Industrial S.A.</x:v>
      </x:c>
      <x:c r="D334" s="28" t="str">
        <x:v>Planta São Paulo</x:v>
      </x:c>
      <x:c r="E334" s="28" t="str">
        <x:v>Alimentos SA</x:v>
      </x:c>
      <x:c r="F334" s="28" t="str">
        <x:v>Sudeste</x:v>
      </x:c>
      <x:c r="G334" s="28" t="str">
        <x:v>RápidoSul</x:v>
      </x:c>
      <x:c r="H334" s="28" t="str">
        <x:v>SP-Centro-Oeste</x:v>
      </x:c>
      <x:c r="I334" s="34" t="n">
        <x:v>45485</x:v>
      </x:c>
      <x:c r="J334" s="34" t="n">
        <x:v>45486</x:v>
      </x:c>
      <x:c r="K334" s="32" t="n">
        <x:v>798</x:v>
      </x:c>
      <x:c r="L334" s="32" t="n">
        <x:v>798</x:v>
      </x:c>
      <x:c r="M334" s="30" t="n">
        <x:v>62244</x:v>
      </x:c>
      <x:c r="N334" s="28" t="str">
        <x:v>Em atraso</x:v>
      </x:c>
      <x:c r="O334" s="28" t="str">
        <x:v>Janela perdida no cliente</x:v>
      </x:c>
      <x:c r="P334" s="30" t="n">
        <x:v>62244</x:v>
      </x:c>
    </x:row>
    <x:row r="335">
      <x:c r="A335" s="28" t="str">
        <x:v>PED-48334</x:v>
      </x:c>
      <x:c r="B335" s="34" t="n">
        <x:v>45474</x:v>
      </x:c>
      <x:c r="C335" s="28" t="str">
        <x:v>Grupo Industrial S.A.</x:v>
      </x:c>
      <x:c r="D335" s="28" t="str">
        <x:v>Planta São Paulo</x:v>
      </x:c>
      <x:c r="E335" s="28" t="str">
        <x:v>Farma Vida</x:v>
      </x:c>
      <x:c r="F335" s="28" t="str">
        <x:v>Sudeste</x:v>
      </x:c>
      <x:c r="G335" s="28" t="str">
        <x:v>RápidoSul</x:v>
      </x:c>
      <x:c r="H335" s="28" t="str">
        <x:v>SP-Centro-Oeste</x:v>
      </x:c>
      <x:c r="I335" s="34" t="n">
        <x:v>45488</x:v>
      </x:c>
      <x:c r="J335" s="34" t="n">
        <x:v>45488</x:v>
      </x:c>
      <x:c r="K335" s="32" t="n">
        <x:v>1024</x:v>
      </x:c>
      <x:c r="L335" s="32" t="n">
        <x:v>1024</x:v>
      </x:c>
      <x:c r="M335" s="30" t="n">
        <x:v>73728</x:v>
      </x:c>
      <x:c r="N335" s="28" t="str">
        <x:v>OTIF</x:v>
      </x:c>
      <x:c r="O335" s="28" t="str">
        <x:v>Janela perdida no cliente</x:v>
      </x:c>
      <x:c r="P335" s="30" t="n">
        <x:v>0</x:v>
      </x:c>
    </x:row>
    <x:row r="336">
      <x:c r="A336" s="28" t="str">
        <x:v>PED-48335</x:v>
      </x:c>
      <x:c r="B336" s="34" t="n">
        <x:v>45474</x:v>
      </x:c>
      <x:c r="C336" s="28" t="str">
        <x:v>Grupo Industrial S.A.</x:v>
      </x:c>
      <x:c r="D336" s="28" t="str">
        <x:v>Planta São Paulo</x:v>
      </x:c>
      <x:c r="E336" s="28" t="str">
        <x:v>AutoPeças BR</x:v>
      </x:c>
      <x:c r="F336" s="28" t="str">
        <x:v>Sudeste</x:v>
      </x:c>
      <x:c r="G336" s="28" t="str">
        <x:v>RápidoSul</x:v>
      </x:c>
      <x:c r="H336" s="28" t="str">
        <x:v>SP-Centro-Oeste</x:v>
      </x:c>
      <x:c r="I336" s="34" t="n">
        <x:v>45491</x:v>
      </x:c>
      <x:c r="J336" s="34" t="n">
        <x:v>45492</x:v>
      </x:c>
      <x:c r="K336" s="32" t="n">
        <x:v>1394</x:v>
      </x:c>
      <x:c r="L336" s="32" t="n">
        <x:v>1394</x:v>
      </x:c>
      <x:c r="M336" s="30" t="n">
        <x:v>117096</x:v>
      </x:c>
      <x:c r="N336" s="28" t="str">
        <x:v>Em atraso</x:v>
      </x:c>
      <x:c r="O336" s="28" t="str">
        <x:v>Atraso transportadora</x:v>
      </x:c>
      <x:c r="P336" s="30" t="n">
        <x:v>117096</x:v>
      </x:c>
    </x:row>
    <x:row r="337">
      <x:c r="A337" s="28" t="str">
        <x:v>PED-48336</x:v>
      </x:c>
      <x:c r="B337" s="34" t="n">
        <x:v>45474</x:v>
      </x:c>
      <x:c r="C337" s="28" t="str">
        <x:v>Grupo Industrial S.A.</x:v>
      </x:c>
      <x:c r="D337" s="28" t="str">
        <x:v>Planta São Paulo</x:v>
      </x:c>
      <x:c r="E337" s="28" t="str">
        <x:v>Construbem</x:v>
      </x:c>
      <x:c r="F337" s="28" t="str">
        <x:v>Sudeste</x:v>
      </x:c>
      <x:c r="G337" s="28" t="str">
        <x:v>RápidoSul</x:v>
      </x:c>
      <x:c r="H337" s="28" t="str">
        <x:v>SP-Centro-Oeste</x:v>
      </x:c>
      <x:c r="I337" s="34" t="n">
        <x:v>45494</x:v>
      </x:c>
      <x:c r="J337" s="34" t="n">
        <x:v>45494</x:v>
      </x:c>
      <x:c r="K337" s="32" t="n">
        <x:v>1889</x:v>
      </x:c>
      <x:c r="L337" s="32" t="n">
        <x:v>1889</x:v>
      </x:c>
      <x:c r="M337" s="30" t="n">
        <x:v>147342</x:v>
      </x:c>
      <x:c r="N337" s="28" t="str">
        <x:v>OTIF</x:v>
      </x:c>
      <x:c r="O337" s="28" t="str">
        <x:v>Janela perdida no cliente</x:v>
      </x:c>
      <x:c r="P337" s="30" t="n">
        <x:v>0</x:v>
      </x:c>
    </x:row>
    <x:row r="338">
      <x:c r="A338" s="28" t="str">
        <x:v>PED-48337</x:v>
      </x:c>
      <x:c r="B338" s="34" t="n">
        <x:v>45474</x:v>
      </x:c>
      <x:c r="C338" s="28" t="str">
        <x:v>Grupo Industrial S.A.</x:v>
      </x:c>
      <x:c r="D338" s="28" t="str">
        <x:v>Planta São Paulo</x:v>
      </x:c>
      <x:c r="E338" s="28" t="str">
        <x:v>Farma Vida</x:v>
      </x:c>
      <x:c r="F338" s="28" t="str">
        <x:v>Sudeste</x:v>
      </x:c>
      <x:c r="G338" s="28" t="str">
        <x:v>NovaLog</x:v>
      </x:c>
      <x:c r="H338" s="28" t="str">
        <x:v>SP-Nordeste</x:v>
      </x:c>
      <x:c r="I338" s="34" t="n">
        <x:v>45479</x:v>
      </x:c>
      <x:c r="J338" s="34" t="n">
        <x:v>45480</x:v>
      </x:c>
      <x:c r="K338" s="32" t="n">
        <x:v>2119</x:v>
      </x:c>
      <x:c r="L338" s="32" t="n">
        <x:v>1761</x:v>
      </x:c>
      <x:c r="M338" s="30" t="n">
        <x:v>152568</x:v>
      </x:c>
      <x:c r="N338" s="28" t="str">
        <x:v>Em atraso</x:v>
      </x:c>
      <x:c r="O338" s="28" t="str">
        <x:v>Atraso transportadora</x:v>
      </x:c>
      <x:c r="P338" s="30" t="n">
        <x:v>152568</x:v>
      </x:c>
    </x:row>
    <x:row r="339">
      <x:c r="A339" s="28" t="str">
        <x:v>PED-48338</x:v>
      </x:c>
      <x:c r="B339" s="34" t="n">
        <x:v>45474</x:v>
      </x:c>
      <x:c r="C339" s="28" t="str">
        <x:v>Grupo Industrial S.A.</x:v>
      </x:c>
      <x:c r="D339" s="28" t="str">
        <x:v>Planta São Paulo</x:v>
      </x:c>
      <x:c r="E339" s="28" t="str">
        <x:v>AutoPeças BR</x:v>
      </x:c>
      <x:c r="F339" s="28" t="str">
        <x:v>Sudeste</x:v>
      </x:c>
      <x:c r="G339" s="28" t="str">
        <x:v>NovaLog</x:v>
      </x:c>
      <x:c r="H339" s="28" t="str">
        <x:v>SP-Nordeste</x:v>
      </x:c>
      <x:c r="I339" s="34" t="n">
        <x:v>45482</x:v>
      </x:c>
      <x:c r="J339" s="34" t="n">
        <x:v>45484</x:v>
      </x:c>
      <x:c r="K339" s="32" t="n">
        <x:v>1739</x:v>
      </x:c>
      <x:c r="L339" s="32" t="n">
        <x:v>1584</x:v>
      </x:c>
      <x:c r="M339" s="30" t="n">
        <x:v>135642</x:v>
      </x:c>
      <x:c r="N339" s="28" t="str">
        <x:v>Em atraso</x:v>
      </x:c>
      <x:c r="O339" s="28" t="str">
        <x:v>Falta de produto</x:v>
      </x:c>
      <x:c r="P339" s="30" t="n">
        <x:v>135642</x:v>
      </x:c>
    </x:row>
    <x:row r="340">
      <x:c r="A340" s="28" t="str">
        <x:v>PED-48339</x:v>
      </x:c>
      <x:c r="B340" s="34" t="n">
        <x:v>45474</x:v>
      </x:c>
      <x:c r="C340" s="28" t="str">
        <x:v>Grupo Industrial S.A.</x:v>
      </x:c>
      <x:c r="D340" s="28" t="str">
        <x:v>Planta São Paulo</x:v>
      </x:c>
      <x:c r="E340" s="28" t="str">
        <x:v>Construbem</x:v>
      </x:c>
      <x:c r="F340" s="28" t="str">
        <x:v>Sudeste</x:v>
      </x:c>
      <x:c r="G340" s="28" t="str">
        <x:v>NovaLog</x:v>
      </x:c>
      <x:c r="H340" s="28" t="str">
        <x:v>SP-Nordeste</x:v>
      </x:c>
      <x:c r="I340" s="34" t="n">
        <x:v>45485</x:v>
      </x:c>
      <x:c r="J340" s="34" t="n">
        <x:v>45489</x:v>
      </x:c>
      <x:c r="K340" s="32" t="n">
        <x:v>1428</x:v>
      </x:c>
      <x:c r="L340" s="32" t="n">
        <x:v>1428</x:v>
      </x:c>
      <x:c r="M340" s="30" t="n">
        <x:v>111384</x:v>
      </x:c>
      <x:c r="N340" s="28" t="str">
        <x:v>Em atraso</x:v>
      </x:c>
      <x:c r="O340" s="28" t="str">
        <x:v>Atraso transportadora</x:v>
      </x:c>
      <x:c r="P340" s="30" t="n">
        <x:v>111384</x:v>
      </x:c>
    </x:row>
    <x:row r="341">
      <x:c r="A341" s="28" t="str">
        <x:v>PED-48340</x:v>
      </x:c>
      <x:c r="B341" s="34" t="n">
        <x:v>45474</x:v>
      </x:c>
      <x:c r="C341" s="28" t="str">
        <x:v>Grupo Industrial S.A.</x:v>
      </x:c>
      <x:c r="D341" s="28" t="str">
        <x:v>Planta São Paulo</x:v>
      </x:c>
      <x:c r="E341" s="28" t="str">
        <x:v>Alimentos SA</x:v>
      </x:c>
      <x:c r="F341" s="28" t="str">
        <x:v>Sudeste</x:v>
      </x:c>
      <x:c r="G341" s="28" t="str">
        <x:v>NovaLog</x:v>
      </x:c>
      <x:c r="H341" s="28" t="str">
        <x:v>SP-Nordeste</x:v>
      </x:c>
      <x:c r="I341" s="34" t="n">
        <x:v>45488</x:v>
      </x:c>
      <x:c r="J341" s="34" t="n">
        <x:v>45490</x:v>
      </x:c>
      <x:c r="K341" s="32" t="n">
        <x:v>1935</x:v>
      </x:c>
      <x:c r="L341" s="32" t="n">
        <x:v>1610</x:v>
      </x:c>
      <x:c r="M341" s="30" t="n">
        <x:v>150930</x:v>
      </x:c>
      <x:c r="N341" s="28" t="str">
        <x:v>Em atraso</x:v>
      </x:c>
      <x:c r="O341" s="28" t="str">
        <x:v>Falta de produto</x:v>
      </x:c>
      <x:c r="P341" s="30" t="n">
        <x:v>150930</x:v>
      </x:c>
    </x:row>
    <x:row r="342">
      <x:c r="A342" s="28" t="str">
        <x:v>PED-48341</x:v>
      </x:c>
      <x:c r="B342" s="34" t="n">
        <x:v>45474</x:v>
      </x:c>
      <x:c r="C342" s="28" t="str">
        <x:v>Grupo Industrial S.A.</x:v>
      </x:c>
      <x:c r="D342" s="28" t="str">
        <x:v>Planta São Paulo</x:v>
      </x:c>
      <x:c r="E342" s="28" t="str">
        <x:v>Farma Vida</x:v>
      </x:c>
      <x:c r="F342" s="28" t="str">
        <x:v>Sudeste</x:v>
      </x:c>
      <x:c r="G342" s="28" t="str">
        <x:v>NovaLog</x:v>
      </x:c>
      <x:c r="H342" s="28" t="str">
        <x:v>SP-Nordeste</x:v>
      </x:c>
      <x:c r="I342" s="34" t="n">
        <x:v>45491</x:v>
      </x:c>
      <x:c r="J342" s="34" t="n">
        <x:v>45492</x:v>
      </x:c>
      <x:c r="K342" s="32" t="n">
        <x:v>757</x:v>
      </x:c>
      <x:c r="L342" s="32" t="n">
        <x:v>757</x:v>
      </x:c>
      <x:c r="M342" s="30" t="n">
        <x:v>69644</x:v>
      </x:c>
      <x:c r="N342" s="28" t="str">
        <x:v>Em atraso</x:v>
      </x:c>
      <x:c r="O342" s="28" t="str">
        <x:v>Atraso transportadora</x:v>
      </x:c>
      <x:c r="P342" s="30" t="n">
        <x:v>69644</x:v>
      </x:c>
    </x:row>
    <x:row r="343">
      <x:c r="A343" s="28" t="str">
        <x:v>PED-48342</x:v>
      </x:c>
      <x:c r="B343" s="34" t="n">
        <x:v>45474</x:v>
      </x:c>
      <x:c r="C343" s="28" t="str">
        <x:v>Grupo Industrial S.A.</x:v>
      </x:c>
      <x:c r="D343" s="28" t="str">
        <x:v>Planta São Paulo</x:v>
      </x:c>
      <x:c r="E343" s="28" t="str">
        <x:v>AutoPeças BR</x:v>
      </x:c>
      <x:c r="F343" s="28" t="str">
        <x:v>Sudeste</x:v>
      </x:c>
      <x:c r="G343" s="28" t="str">
        <x:v>NovaLog</x:v>
      </x:c>
      <x:c r="H343" s="28" t="str">
        <x:v>SP-Nordeste</x:v>
      </x:c>
      <x:c r="I343" s="34" t="n">
        <x:v>45494</x:v>
      </x:c>
      <x:c r="J343" s="34" t="n">
        <x:v>45496</x:v>
      </x:c>
      <x:c r="K343" s="32" t="n">
        <x:v>1805</x:v>
      </x:c>
      <x:c r="L343" s="32" t="n">
        <x:v>1805</x:v>
      </x:c>
      <x:c r="M343" s="30" t="n">
        <x:v>166060</x:v>
      </x:c>
      <x:c r="N343" s="28" t="str">
        <x:v>Em atraso</x:v>
      </x:c>
      <x:c r="O343" s="28" t="str">
        <x:v>Janela perdida no cliente</x:v>
      </x:c>
      <x:c r="P343" s="30" t="n">
        <x:v>166060</x:v>
      </x:c>
    </x:row>
    <x:row r="344">
      <x:c r="A344" s="28" t="str">
        <x:v>PED-48343</x:v>
      </x:c>
      <x:c r="B344" s="34" t="n">
        <x:v>45474</x:v>
      </x:c>
      <x:c r="C344" s="28" t="str">
        <x:v>Grupo Industrial S.A.</x:v>
      </x:c>
      <x:c r="D344" s="28" t="str">
        <x:v>Planta Campinas</x:v>
      </x:c>
      <x:c r="E344" s="28" t="str">
        <x:v>Alimentos SA</x:v>
      </x:c>
      <x:c r="F344" s="28" t="str">
        <x:v>Sudeste</x:v>
      </x:c>
      <x:c r="G344" s="28" t="str">
        <x:v>TransDados</x:v>
      </x:c>
      <x:c r="H344" s="28" t="str">
        <x:v>Campinas-Sudeste</x:v>
      </x:c>
      <x:c r="I344" s="34" t="n">
        <x:v>45479</x:v>
      </x:c>
      <x:c r="J344" s="34" t="n">
        <x:v>45480</x:v>
      </x:c>
      <x:c r="K344" s="32" t="n">
        <x:v>1207</x:v>
      </x:c>
      <x:c r="L344" s="32" t="n">
        <x:v>1207</x:v>
      </x:c>
      <x:c r="M344" s="30" t="n">
        <x:v>101388</x:v>
      </x:c>
      <x:c r="N344" s="28" t="str">
        <x:v>Em atraso</x:v>
      </x:c>
      <x:c r="O344" s="28" t="str">
        <x:v>Atraso transportadora</x:v>
      </x:c>
      <x:c r="P344" s="30" t="n">
        <x:v>101388</x:v>
      </x:c>
    </x:row>
    <x:row r="345">
      <x:c r="A345" s="28" t="str">
        <x:v>PED-48344</x:v>
      </x:c>
      <x:c r="B345" s="34" t="n">
        <x:v>45474</x:v>
      </x:c>
      <x:c r="C345" s="28" t="str">
        <x:v>Grupo Industrial S.A.</x:v>
      </x:c>
      <x:c r="D345" s="28" t="str">
        <x:v>Planta Campinas</x:v>
      </x:c>
      <x:c r="E345" s="28" t="str">
        <x:v>Farma Vida</x:v>
      </x:c>
      <x:c r="F345" s="28" t="str">
        <x:v>Sudeste</x:v>
      </x:c>
      <x:c r="G345" s="28" t="str">
        <x:v>TransDados</x:v>
      </x:c>
      <x:c r="H345" s="28" t="str">
        <x:v>Campinas-Sudeste</x:v>
      </x:c>
      <x:c r="I345" s="34" t="n">
        <x:v>45482</x:v>
      </x:c>
      <x:c r="J345" s="34" t="n">
        <x:v>45484</x:v>
      </x:c>
      <x:c r="K345" s="32" t="n">
        <x:v>1477</x:v>
      </x:c>
      <x:c r="L345" s="32" t="n">
        <x:v>1477</x:v>
      </x:c>
      <x:c r="M345" s="30" t="n">
        <x:v>106344</x:v>
      </x:c>
      <x:c r="N345" s="28" t="str">
        <x:v>Em atraso</x:v>
      </x:c>
      <x:c r="O345" s="28" t="str">
        <x:v>Atraso transportadora</x:v>
      </x:c>
      <x:c r="P345" s="30" t="n">
        <x:v>106344</x:v>
      </x:c>
    </x:row>
    <x:row r="346">
      <x:c r="A346" s="28" t="str">
        <x:v>PED-48345</x:v>
      </x:c>
      <x:c r="B346" s="34" t="n">
        <x:v>45474</x:v>
      </x:c>
      <x:c r="C346" s="28" t="str">
        <x:v>Grupo Industrial S.A.</x:v>
      </x:c>
      <x:c r="D346" s="28" t="str">
        <x:v>Planta Campinas</x:v>
      </x:c>
      <x:c r="E346" s="28" t="str">
        <x:v>AutoPeças BR</x:v>
      </x:c>
      <x:c r="F346" s="28" t="str">
        <x:v>Sudeste</x:v>
      </x:c>
      <x:c r="G346" s="28" t="str">
        <x:v>TransDados</x:v>
      </x:c>
      <x:c r="H346" s="28" t="str">
        <x:v>Campinas-Sudeste</x:v>
      </x:c>
      <x:c r="I346" s="34" t="n">
        <x:v>45485</x:v>
      </x:c>
      <x:c r="J346" s="34" t="n">
        <x:v>45485</x:v>
      </x:c>
      <x:c r="K346" s="32" t="n">
        <x:v>1867</x:v>
      </x:c>
      <x:c r="L346" s="32" t="n">
        <x:v>1867</x:v>
      </x:c>
      <x:c r="M346" s="30" t="n">
        <x:v>156828</x:v>
      </x:c>
      <x:c r="N346" s="28" t="str">
        <x:v>OTIF</x:v>
      </x:c>
      <x:c r="O346" s="28" t="str">
        <x:v>Janela perdida no cliente</x:v>
      </x:c>
      <x:c r="P346" s="30" t="n">
        <x:v>0</x:v>
      </x:c>
    </x:row>
    <x:row r="347">
      <x:c r="A347" s="28" t="str">
        <x:v>PED-48346</x:v>
      </x:c>
      <x:c r="B347" s="34" t="n">
        <x:v>45474</x:v>
      </x:c>
      <x:c r="C347" s="28" t="str">
        <x:v>Grupo Industrial S.A.</x:v>
      </x:c>
      <x:c r="D347" s="28" t="str">
        <x:v>Planta Campinas</x:v>
      </x:c>
      <x:c r="E347" s="28" t="str">
        <x:v>Construbem</x:v>
      </x:c>
      <x:c r="F347" s="28" t="str">
        <x:v>Sudeste</x:v>
      </x:c>
      <x:c r="G347" s="28" t="str">
        <x:v>TransDados</x:v>
      </x:c>
      <x:c r="H347" s="28" t="str">
        <x:v>Campinas-Sudeste</x:v>
      </x:c>
      <x:c r="I347" s="34" t="n">
        <x:v>45488</x:v>
      </x:c>
      <x:c r="J347" s="34" t="n">
        <x:v>45490</x:v>
      </x:c>
      <x:c r="K347" s="32" t="n">
        <x:v>1572</x:v>
      </x:c>
      <x:c r="L347" s="32" t="n">
        <x:v>1343</x:v>
      </x:c>
      <x:c r="M347" s="30" t="n">
        <x:v>122616</x:v>
      </x:c>
      <x:c r="N347" s="28" t="str">
        <x:v>Em atraso</x:v>
      </x:c>
      <x:c r="O347" s="28" t="str">
        <x:v>Atraso transportadora</x:v>
      </x:c>
      <x:c r="P347" s="30" t="n">
        <x:v>122616</x:v>
      </x:c>
    </x:row>
    <x:row r="348">
      <x:c r="A348" s="28" t="str">
        <x:v>PED-48347</x:v>
      </x:c>
      <x:c r="B348" s="34" t="n">
        <x:v>45474</x:v>
      </x:c>
      <x:c r="C348" s="28" t="str">
        <x:v>Grupo Industrial S.A.</x:v>
      </x:c>
      <x:c r="D348" s="28" t="str">
        <x:v>Planta Campinas</x:v>
      </x:c>
      <x:c r="E348" s="28" t="str">
        <x:v>Alimentos SA</x:v>
      </x:c>
      <x:c r="F348" s="28" t="str">
        <x:v>Sudeste</x:v>
      </x:c>
      <x:c r="G348" s="28" t="str">
        <x:v>TransDados</x:v>
      </x:c>
      <x:c r="H348" s="28" t="str">
        <x:v>Campinas-Sudeste</x:v>
      </x:c>
      <x:c r="I348" s="34" t="n">
        <x:v>45491</x:v>
      </x:c>
      <x:c r="J348" s="34" t="n">
        <x:v>45493</x:v>
      </x:c>
      <x:c r="K348" s="32" t="n">
        <x:v>1244</x:v>
      </x:c>
      <x:c r="L348" s="32" t="n">
        <x:v>1244</x:v>
      </x:c>
      <x:c r="M348" s="30" t="n">
        <x:v>89568</x:v>
      </x:c>
      <x:c r="N348" s="28" t="str">
        <x:v>Em atraso</x:v>
      </x:c>
      <x:c r="O348" s="28" t="str">
        <x:v>Janela perdida no cliente</x:v>
      </x:c>
      <x:c r="P348" s="30" t="n">
        <x:v>89568</x:v>
      </x:c>
    </x:row>
    <x:row r="349">
      <x:c r="A349" s="28" t="str">
        <x:v>PED-48348</x:v>
      </x:c>
      <x:c r="B349" s="34" t="n">
        <x:v>45474</x:v>
      </x:c>
      <x:c r="C349" s="28" t="str">
        <x:v>Grupo Industrial S.A.</x:v>
      </x:c>
      <x:c r="D349" s="28" t="str">
        <x:v>Planta Campinas</x:v>
      </x:c>
      <x:c r="E349" s="28" t="str">
        <x:v>Farma Vida</x:v>
      </x:c>
      <x:c r="F349" s="28" t="str">
        <x:v>Sudeste</x:v>
      </x:c>
      <x:c r="G349" s="28" t="str">
        <x:v>TransDados</x:v>
      </x:c>
      <x:c r="H349" s="28" t="str">
        <x:v>Campinas-Sudeste</x:v>
      </x:c>
      <x:c r="I349" s="34" t="n">
        <x:v>45494</x:v>
      </x:c>
      <x:c r="J349" s="34" t="n">
        <x:v>45494</x:v>
      </x:c>
      <x:c r="K349" s="32" t="n">
        <x:v>776</x:v>
      </x:c>
      <x:c r="L349" s="32" t="n">
        <x:v>776</x:v>
      </x:c>
      <x:c r="M349" s="30" t="n">
        <x:v>65184</x:v>
      </x:c>
      <x:c r="N349" s="28" t="str">
        <x:v>OTIF</x:v>
      </x:c>
      <x:c r="O349" s="28" t="str">
        <x:v>Janela perdida no cliente</x:v>
      </x:c>
      <x:c r="P349" s="30" t="n">
        <x:v>0</x:v>
      </x:c>
    </x:row>
    <x:row r="350">
      <x:c r="A350" s="28" t="str">
        <x:v>PED-48349</x:v>
      </x:c>
      <x:c r="B350" s="34" t="n">
        <x:v>45474</x:v>
      </x:c>
      <x:c r="C350" s="28" t="str">
        <x:v>Grupo Industrial S.A.</x:v>
      </x:c>
      <x:c r="D350" s="28" t="str">
        <x:v>Planta Campinas</x:v>
      </x:c>
      <x:c r="E350" s="28" t="str">
        <x:v>Construbem</x:v>
      </x:c>
      <x:c r="F350" s="28" t="str">
        <x:v>Sudeste</x:v>
      </x:c>
      <x:c r="G350" s="28" t="str">
        <x:v>RápidoSul</x:v>
      </x:c>
      <x:c r="H350" s="28" t="str">
        <x:v>Campinas-Norte</x:v>
      </x:c>
      <x:c r="I350" s="34" t="n">
        <x:v>45479</x:v>
      </x:c>
      <x:c r="J350" s="34" t="n">
        <x:v>45481</x:v>
      </x:c>
      <x:c r="K350" s="32" t="n">
        <x:v>1628</x:v>
      </x:c>
      <x:c r="L350" s="32" t="n">
        <x:v>1628</x:v>
      </x:c>
      <x:c r="M350" s="30" t="n">
        <x:v>136752</x:v>
      </x:c>
      <x:c r="N350" s="28" t="str">
        <x:v>Em atraso</x:v>
      </x:c>
      <x:c r="O350" s="28" t="str">
        <x:v>Atraso transportadora</x:v>
      </x:c>
      <x:c r="P350" s="30" t="n">
        <x:v>136752</x:v>
      </x:c>
    </x:row>
    <x:row r="351">
      <x:c r="A351" s="28" t="str">
        <x:v>PED-48350</x:v>
      </x:c>
      <x:c r="B351" s="34" t="n">
        <x:v>45474</x:v>
      </x:c>
      <x:c r="C351" s="28" t="str">
        <x:v>Grupo Industrial S.A.</x:v>
      </x:c>
      <x:c r="D351" s="28" t="str">
        <x:v>Planta Campinas</x:v>
      </x:c>
      <x:c r="E351" s="28" t="str">
        <x:v>Alimentos SA</x:v>
      </x:c>
      <x:c r="F351" s="28" t="str">
        <x:v>Sudeste</x:v>
      </x:c>
      <x:c r="G351" s="28" t="str">
        <x:v>RápidoSul</x:v>
      </x:c>
      <x:c r="H351" s="28" t="str">
        <x:v>Campinas-Norte</x:v>
      </x:c>
      <x:c r="I351" s="34" t="n">
        <x:v>45482</x:v>
      </x:c>
      <x:c r="J351" s="34" t="n">
        <x:v>45482</x:v>
      </x:c>
      <x:c r="K351" s="32" t="n">
        <x:v>755</x:v>
      </x:c>
      <x:c r="L351" s="32" t="n">
        <x:v>755</x:v>
      </x:c>
      <x:c r="M351" s="30" t="n">
        <x:v>63420</x:v>
      </x:c>
      <x:c r="N351" s="28" t="str">
        <x:v>OTIF</x:v>
      </x:c>
      <x:c r="O351" s="28" t="str">
        <x:v>Janela perdida no cliente</x:v>
      </x:c>
      <x:c r="P351" s="30" t="n">
        <x:v>0</x:v>
      </x:c>
    </x:row>
    <x:row r="352">
      <x:c r="A352" s="28" t="str">
        <x:v>PED-48351</x:v>
      </x:c>
      <x:c r="B352" s="34" t="n">
        <x:v>45474</x:v>
      </x:c>
      <x:c r="C352" s="28" t="str">
        <x:v>Grupo Industrial S.A.</x:v>
      </x:c>
      <x:c r="D352" s="28" t="str">
        <x:v>Planta Campinas</x:v>
      </x:c>
      <x:c r="E352" s="28" t="str">
        <x:v>Farma Vida</x:v>
      </x:c>
      <x:c r="F352" s="28" t="str">
        <x:v>Sudeste</x:v>
      </x:c>
      <x:c r="G352" s="28" t="str">
        <x:v>RápidoSul</x:v>
      </x:c>
      <x:c r="H352" s="28" t="str">
        <x:v>Campinas-Norte</x:v>
      </x:c>
      <x:c r="I352" s="34" t="n">
        <x:v>45485</x:v>
      </x:c>
      <x:c r="J352" s="34" t="n">
        <x:v>45489</x:v>
      </x:c>
      <x:c r="K352" s="32" t="n">
        <x:v>1215</x:v>
      </x:c>
      <x:c r="L352" s="32" t="n">
        <x:v>1215</x:v>
      </x:c>
      <x:c r="M352" s="30" t="n">
        <x:v>102060</x:v>
      </x:c>
      <x:c r="N352" s="28" t="str">
        <x:v>Em atraso</x:v>
      </x:c>
      <x:c r="O352" s="28" t="str">
        <x:v>Janela perdida no cliente</x:v>
      </x:c>
      <x:c r="P352" s="30" t="n">
        <x:v>102060</x:v>
      </x:c>
    </x:row>
    <x:row r="353">
      <x:c r="A353" s="28" t="str">
        <x:v>PED-48352</x:v>
      </x:c>
      <x:c r="B353" s="34" t="n">
        <x:v>45474</x:v>
      </x:c>
      <x:c r="C353" s="28" t="str">
        <x:v>Grupo Industrial S.A.</x:v>
      </x:c>
      <x:c r="D353" s="28" t="str">
        <x:v>Planta Campinas</x:v>
      </x:c>
      <x:c r="E353" s="28" t="str">
        <x:v>AutoPeças BR</x:v>
      </x:c>
      <x:c r="F353" s="28" t="str">
        <x:v>Sudeste</x:v>
      </x:c>
      <x:c r="G353" s="28" t="str">
        <x:v>RápidoSul</x:v>
      </x:c>
      <x:c r="H353" s="28" t="str">
        <x:v>Campinas-Norte</x:v>
      </x:c>
      <x:c r="I353" s="34" t="n">
        <x:v>45488</x:v>
      </x:c>
      <x:c r="J353" s="34" t="n">
        <x:v>45489</x:v>
      </x:c>
      <x:c r="K353" s="32" t="n">
        <x:v>1472</x:v>
      </x:c>
      <x:c r="L353" s="32" t="n">
        <x:v>1472</x:v>
      </x:c>
      <x:c r="M353" s="30" t="n">
        <x:v>114816</x:v>
      </x:c>
      <x:c r="N353" s="28" t="str">
        <x:v>Em atraso</x:v>
      </x:c>
      <x:c r="O353" s="28" t="str">
        <x:v>Atraso transportadora</x:v>
      </x:c>
      <x:c r="P353" s="30" t="n">
        <x:v>114816</x:v>
      </x:c>
    </x:row>
    <x:row r="354">
      <x:c r="A354" s="28" t="str">
        <x:v>PED-48353</x:v>
      </x:c>
      <x:c r="B354" s="34" t="n">
        <x:v>45474</x:v>
      </x:c>
      <x:c r="C354" s="28" t="str">
        <x:v>Grupo Industrial S.A.</x:v>
      </x:c>
      <x:c r="D354" s="28" t="str">
        <x:v>Planta Campinas</x:v>
      </x:c>
      <x:c r="E354" s="28" t="str">
        <x:v>Construbem</x:v>
      </x:c>
      <x:c r="F354" s="28" t="str">
        <x:v>Sudeste</x:v>
      </x:c>
      <x:c r="G354" s="28" t="str">
        <x:v>RápidoSul</x:v>
      </x:c>
      <x:c r="H354" s="28" t="str">
        <x:v>Campinas-Norte</x:v>
      </x:c>
      <x:c r="I354" s="34" t="n">
        <x:v>45491</x:v>
      </x:c>
      <x:c r="J354" s="34" t="n">
        <x:v>45491</x:v>
      </x:c>
      <x:c r="K354" s="32" t="n">
        <x:v>1600</x:v>
      </x:c>
      <x:c r="L354" s="32" t="n">
        <x:v>1600</x:v>
      </x:c>
      <x:c r="M354" s="30" t="n">
        <x:v>147200</x:v>
      </x:c>
      <x:c r="N354" s="28" t="str">
        <x:v>OTIF</x:v>
      </x:c>
      <x:c r="O354" s="28" t="str">
        <x:v>Janela perdida no cliente</x:v>
      </x:c>
      <x:c r="P354" s="30" t="n">
        <x:v>0</x:v>
      </x:c>
    </x:row>
    <x:row r="355">
      <x:c r="A355" s="28" t="str">
        <x:v>PED-48354</x:v>
      </x:c>
      <x:c r="B355" s="34" t="n">
        <x:v>45474</x:v>
      </x:c>
      <x:c r="C355" s="28" t="str">
        <x:v>Grupo Industrial S.A.</x:v>
      </x:c>
      <x:c r="D355" s="28" t="str">
        <x:v>Planta Campinas</x:v>
      </x:c>
      <x:c r="E355" s="28" t="str">
        <x:v>Alimentos SA</x:v>
      </x:c>
      <x:c r="F355" s="28" t="str">
        <x:v>Sudeste</x:v>
      </x:c>
      <x:c r="G355" s="28" t="str">
        <x:v>RápidoSul</x:v>
      </x:c>
      <x:c r="H355" s="28" t="str">
        <x:v>Campinas-Norte</x:v>
      </x:c>
      <x:c r="I355" s="34" t="n">
        <x:v>45494</x:v>
      </x:c>
      <x:c r="J355" s="34" t="n">
        <x:v>45498</x:v>
      </x:c>
      <x:c r="K355" s="32" t="n">
        <x:v>1937</x:v>
      </x:c>
      <x:c r="L355" s="32" t="n">
        <x:v>1937</x:v>
      </x:c>
      <x:c r="M355" s="30" t="n">
        <x:v>139464</x:v>
      </x:c>
      <x:c r="N355" s="28" t="str">
        <x:v>Em atraso</x:v>
      </x:c>
      <x:c r="O355" s="28" t="str">
        <x:v>Janela perdida no cliente</x:v>
      </x:c>
      <x:c r="P355" s="30" t="n">
        <x:v>139464</x:v>
      </x:c>
    </x:row>
    <x:row r="356">
      <x:c r="A356" s="28" t="str">
        <x:v>PED-48355</x:v>
      </x:c>
      <x:c r="B356" s="34" t="n">
        <x:v>45474</x:v>
      </x:c>
      <x:c r="C356" s="28" t="str">
        <x:v>Grupo Industrial S.A.</x:v>
      </x:c>
      <x:c r="D356" s="28" t="str">
        <x:v>Planta Campinas</x:v>
      </x:c>
      <x:c r="E356" s="28" t="str">
        <x:v>AutoPeças BR</x:v>
      </x:c>
      <x:c r="F356" s="28" t="str">
        <x:v>Sudeste</x:v>
      </x:c>
      <x:c r="G356" s="28" t="str">
        <x:v>NovaLog</x:v>
      </x:c>
      <x:c r="H356" s="28" t="str">
        <x:v>Campinas-Nordeste</x:v>
      </x:c>
      <x:c r="I356" s="34" t="n">
        <x:v>45479</x:v>
      </x:c>
      <x:c r="J356" s="34" t="n">
        <x:v>45480</x:v>
      </x:c>
      <x:c r="K356" s="32" t="n">
        <x:v>2044</x:v>
      </x:c>
      <x:c r="L356" s="32" t="n">
        <x:v>2044</x:v>
      </x:c>
      <x:c r="M356" s="30" t="n">
        <x:v>171696</x:v>
      </x:c>
      <x:c r="N356" s="28" t="str">
        <x:v>Em atraso</x:v>
      </x:c>
      <x:c r="O356" s="28" t="str">
        <x:v>Atraso transportadora</x:v>
      </x:c>
      <x:c r="P356" s="30" t="n">
        <x:v>171696</x:v>
      </x:c>
    </x:row>
    <x:row r="357">
      <x:c r="A357" s="28" t="str">
        <x:v>PED-48356</x:v>
      </x:c>
      <x:c r="B357" s="34" t="n">
        <x:v>45474</x:v>
      </x:c>
      <x:c r="C357" s="28" t="str">
        <x:v>Grupo Industrial S.A.</x:v>
      </x:c>
      <x:c r="D357" s="28" t="str">
        <x:v>Planta Campinas</x:v>
      </x:c>
      <x:c r="E357" s="28" t="str">
        <x:v>Construbem</x:v>
      </x:c>
      <x:c r="F357" s="28" t="str">
        <x:v>Sudeste</x:v>
      </x:c>
      <x:c r="G357" s="28" t="str">
        <x:v>NovaLog</x:v>
      </x:c>
      <x:c r="H357" s="28" t="str">
        <x:v>Campinas-Nordeste</x:v>
      </x:c>
      <x:c r="I357" s="34" t="n">
        <x:v>45482</x:v>
      </x:c>
      <x:c r="J357" s="34" t="n">
        <x:v>45482</x:v>
      </x:c>
      <x:c r="K357" s="32" t="n">
        <x:v>1594</x:v>
      </x:c>
      <x:c r="L357" s="32" t="n">
        <x:v>1594</x:v>
      </x:c>
      <x:c r="M357" s="30" t="n">
        <x:v>114768</x:v>
      </x:c>
      <x:c r="N357" s="28" t="str">
        <x:v>OTIF</x:v>
      </x:c>
      <x:c r="O357" s="28" t="str">
        <x:v>Janela perdida no cliente</x:v>
      </x:c>
      <x:c r="P357" s="30" t="n">
        <x:v>0</x:v>
      </x:c>
    </x:row>
    <x:row r="358">
      <x:c r="A358" s="28" t="str">
        <x:v>PED-48357</x:v>
      </x:c>
      <x:c r="B358" s="34" t="n">
        <x:v>45474</x:v>
      </x:c>
      <x:c r="C358" s="28" t="str">
        <x:v>Grupo Industrial S.A.</x:v>
      </x:c>
      <x:c r="D358" s="28" t="str">
        <x:v>Planta Campinas</x:v>
      </x:c>
      <x:c r="E358" s="28" t="str">
        <x:v>Alimentos SA</x:v>
      </x:c>
      <x:c r="F358" s="28" t="str">
        <x:v>Sudeste</x:v>
      </x:c>
      <x:c r="G358" s="28" t="str">
        <x:v>NovaLog</x:v>
      </x:c>
      <x:c r="H358" s="28" t="str">
        <x:v>Campinas-Nordeste</x:v>
      </x:c>
      <x:c r="I358" s="34" t="n">
        <x:v>45485</x:v>
      </x:c>
      <x:c r="J358" s="34" t="n">
        <x:v>45485</x:v>
      </x:c>
      <x:c r="K358" s="32" t="n">
        <x:v>1913</x:v>
      </x:c>
      <x:c r="L358" s="32" t="n">
        <x:v>1772</x:v>
      </x:c>
      <x:c r="M358" s="30" t="n">
        <x:v>149214</x:v>
      </x:c>
      <x:c r="N358" s="28" t="str">
        <x:v>Incompleto</x:v>
      </x:c>
      <x:c r="O358" s="28" t="str">
        <x:v>Falta de produto</x:v>
      </x:c>
      <x:c r="P358" s="30" t="n">
        <x:v>149214</x:v>
      </x:c>
    </x:row>
    <x:row r="359">
      <x:c r="A359" s="28" t="str">
        <x:v>PED-48358</x:v>
      </x:c>
      <x:c r="B359" s="34" t="n">
        <x:v>45474</x:v>
      </x:c>
      <x:c r="C359" s="28" t="str">
        <x:v>Grupo Industrial S.A.</x:v>
      </x:c>
      <x:c r="D359" s="28" t="str">
        <x:v>Planta Campinas</x:v>
      </x:c>
      <x:c r="E359" s="28" t="str">
        <x:v>Farma Vida</x:v>
      </x:c>
      <x:c r="F359" s="28" t="str">
        <x:v>Sudeste</x:v>
      </x:c>
      <x:c r="G359" s="28" t="str">
        <x:v>NovaLog</x:v>
      </x:c>
      <x:c r="H359" s="28" t="str">
        <x:v>Campinas-Nordeste</x:v>
      </x:c>
      <x:c r="I359" s="34" t="n">
        <x:v>45488</x:v>
      </x:c>
      <x:c r="J359" s="34" t="n">
        <x:v>45489</x:v>
      </x:c>
      <x:c r="K359" s="32" t="n">
        <x:v>982</x:v>
      </x:c>
      <x:c r="L359" s="32" t="n">
        <x:v>982</x:v>
      </x:c>
      <x:c r="M359" s="30" t="n">
        <x:v>82488</x:v>
      </x:c>
      <x:c r="N359" s="28" t="str">
        <x:v>Em atraso</x:v>
      </x:c>
      <x:c r="O359" s="28" t="str">
        <x:v>Atraso transportadora</x:v>
      </x:c>
      <x:c r="P359" s="30" t="n">
        <x:v>82488</x:v>
      </x:c>
    </x:row>
    <x:row r="360">
      <x:c r="A360" s="28" t="str">
        <x:v>PED-48359</x:v>
      </x:c>
      <x:c r="B360" s="34" t="n">
        <x:v>45474</x:v>
      </x:c>
      <x:c r="C360" s="28" t="str">
        <x:v>Grupo Industrial S.A.</x:v>
      </x:c>
      <x:c r="D360" s="28" t="str">
        <x:v>Planta Campinas</x:v>
      </x:c>
      <x:c r="E360" s="28" t="str">
        <x:v>AutoPeças BR</x:v>
      </x:c>
      <x:c r="F360" s="28" t="str">
        <x:v>Sudeste</x:v>
      </x:c>
      <x:c r="G360" s="28" t="str">
        <x:v>NovaLog</x:v>
      </x:c>
      <x:c r="H360" s="28" t="str">
        <x:v>Campinas-Nordeste</x:v>
      </x:c>
      <x:c r="I360" s="34" t="n">
        <x:v>45491</x:v>
      </x:c>
      <x:c r="J360" s="34" t="n">
        <x:v>45495</x:v>
      </x:c>
      <x:c r="K360" s="32" t="n">
        <x:v>2149</x:v>
      </x:c>
      <x:c r="L360" s="32" t="n">
        <x:v>2149</x:v>
      </x:c>
      <x:c r="M360" s="30" t="n">
        <x:v>197708</x:v>
      </x:c>
      <x:c r="N360" s="28" t="str">
        <x:v>Em atraso</x:v>
      </x:c>
      <x:c r="O360" s="28" t="str">
        <x:v>Atraso transportadora</x:v>
      </x:c>
      <x:c r="P360" s="30" t="n">
        <x:v>197708</x:v>
      </x:c>
    </x:row>
    <x:row r="361">
      <x:c r="A361" s="28" t="str">
        <x:v>PED-48360</x:v>
      </x:c>
      <x:c r="B361" s="34" t="n">
        <x:v>45474</x:v>
      </x:c>
      <x:c r="C361" s="28" t="str">
        <x:v>Grupo Industrial S.A.</x:v>
      </x:c>
      <x:c r="D361" s="28" t="str">
        <x:v>Planta Campinas</x:v>
      </x:c>
      <x:c r="E361" s="28" t="str">
        <x:v>Construbem</x:v>
      </x:c>
      <x:c r="F361" s="28" t="str">
        <x:v>Sudeste</x:v>
      </x:c>
      <x:c r="G361" s="28" t="str">
        <x:v>NovaLog</x:v>
      </x:c>
      <x:c r="H361" s="28" t="str">
        <x:v>Campinas-Nordeste</x:v>
      </x:c>
      <x:c r="I361" s="34" t="n">
        <x:v>45494</x:v>
      </x:c>
      <x:c r="J361" s="34" t="n">
        <x:v>45494</x:v>
      </x:c>
      <x:c r="K361" s="32" t="n">
        <x:v>2028</x:v>
      </x:c>
      <x:c r="L361" s="32" t="n">
        <x:v>2028</x:v>
      </x:c>
      <x:c r="M361" s="30" t="n">
        <x:v>170352</x:v>
      </x:c>
      <x:c r="N361" s="28" t="str">
        <x:v>OTIF</x:v>
      </x:c>
      <x:c r="O361" s="28" t="str">
        <x:v>Janela perdida no cliente</x:v>
      </x:c>
      <x:c r="P361" s="30" t="n">
        <x:v>0</x:v>
      </x:c>
    </x:row>
    <x:row r="362">
      <x:c r="A362" s="28" t="str">
        <x:v>PED-48361</x:v>
      </x:c>
      <x:c r="B362" s="34" t="n">
        <x:v>45474</x:v>
      </x:c>
      <x:c r="C362" s="28" t="str">
        <x:v>Grupo Industrial S.A.</x:v>
      </x:c>
      <x:c r="D362" s="28" t="str">
        <x:v>Planta Curitiba</x:v>
      </x:c>
      <x:c r="E362" s="28" t="str">
        <x:v>Farma Vida</x:v>
      </x:c>
      <x:c r="F362" s="28" t="str">
        <x:v>Sul</x:v>
      </x:c>
      <x:c r="G362" s="28" t="str">
        <x:v>TransDados</x:v>
      </x:c>
      <x:c r="H362" s="28" t="str">
        <x:v>Curitiba-Sul</x:v>
      </x:c>
      <x:c r="I362" s="34" t="n">
        <x:v>45479</x:v>
      </x:c>
      <x:c r="J362" s="34" t="n">
        <x:v>45480</x:v>
      </x:c>
      <x:c r="K362" s="32" t="n">
        <x:v>714</x:v>
      </x:c>
      <x:c r="L362" s="32" t="n">
        <x:v>714</x:v>
      </x:c>
      <x:c r="M362" s="30" t="n">
        <x:v>65688</x:v>
      </x:c>
      <x:c r="N362" s="28" t="str">
        <x:v>Em atraso</x:v>
      </x:c>
      <x:c r="O362" s="28" t="str">
        <x:v>Atraso transportadora</x:v>
      </x:c>
      <x:c r="P362" s="30" t="n">
        <x:v>65688</x:v>
      </x:c>
    </x:row>
    <x:row r="363">
      <x:c r="A363" s="28" t="str">
        <x:v>PED-48362</x:v>
      </x:c>
      <x:c r="B363" s="34" t="n">
        <x:v>45474</x:v>
      </x:c>
      <x:c r="C363" s="28" t="str">
        <x:v>Grupo Industrial S.A.</x:v>
      </x:c>
      <x:c r="D363" s="28" t="str">
        <x:v>Planta Curitiba</x:v>
      </x:c>
      <x:c r="E363" s="28" t="str">
        <x:v>AutoPeças BR</x:v>
      </x:c>
      <x:c r="F363" s="28" t="str">
        <x:v>Sul</x:v>
      </x:c>
      <x:c r="G363" s="28" t="str">
        <x:v>TransDados</x:v>
      </x:c>
      <x:c r="H363" s="28" t="str">
        <x:v>Curitiba-Sul</x:v>
      </x:c>
      <x:c r="I363" s="34" t="n">
        <x:v>45482</x:v>
      </x:c>
      <x:c r="J363" s="34" t="n">
        <x:v>45482</x:v>
      </x:c>
      <x:c r="K363" s="32" t="n">
        <x:v>1424</x:v>
      </x:c>
      <x:c r="L363" s="32" t="n">
        <x:v>1424</x:v>
      </x:c>
      <x:c r="M363" s="30" t="n">
        <x:v>111072</x:v>
      </x:c>
      <x:c r="N363" s="28" t="str">
        <x:v>OTIF</x:v>
      </x:c>
      <x:c r="O363" s="28" t="str">
        <x:v>Janela perdida no cliente</x:v>
      </x:c>
      <x:c r="P363" s="30" t="n">
        <x:v>0</x:v>
      </x:c>
    </x:row>
    <x:row r="364">
      <x:c r="A364" s="28" t="str">
        <x:v>PED-48363</x:v>
      </x:c>
      <x:c r="B364" s="34" t="n">
        <x:v>45474</x:v>
      </x:c>
      <x:c r="C364" s="28" t="str">
        <x:v>Grupo Industrial S.A.</x:v>
      </x:c>
      <x:c r="D364" s="28" t="str">
        <x:v>Planta Curitiba</x:v>
      </x:c>
      <x:c r="E364" s="28" t="str">
        <x:v>Construbem</x:v>
      </x:c>
      <x:c r="F364" s="28" t="str">
        <x:v>Sul</x:v>
      </x:c>
      <x:c r="G364" s="28" t="str">
        <x:v>TransDados</x:v>
      </x:c>
      <x:c r="H364" s="28" t="str">
        <x:v>Curitiba-Sul</x:v>
      </x:c>
      <x:c r="I364" s="34" t="n">
        <x:v>45485</x:v>
      </x:c>
      <x:c r="J364" s="34" t="n">
        <x:v>45487</x:v>
      </x:c>
      <x:c r="K364" s="32" t="n">
        <x:v>1957</x:v>
      </x:c>
      <x:c r="L364" s="32" t="n">
        <x:v>1957</x:v>
      </x:c>
      <x:c r="M364" s="30" t="n">
        <x:v>152646</x:v>
      </x:c>
      <x:c r="N364" s="28" t="str">
        <x:v>Em atraso</x:v>
      </x:c>
      <x:c r="O364" s="28" t="str">
        <x:v>Janela perdida no cliente</x:v>
      </x:c>
      <x:c r="P364" s="30" t="n">
        <x:v>152646</x:v>
      </x:c>
    </x:row>
    <x:row r="365">
      <x:c r="A365" s="28" t="str">
        <x:v>PED-48364</x:v>
      </x:c>
      <x:c r="B365" s="34" t="n">
        <x:v>45474</x:v>
      </x:c>
      <x:c r="C365" s="28" t="str">
        <x:v>Grupo Industrial S.A.</x:v>
      </x:c>
      <x:c r="D365" s="28" t="str">
        <x:v>Planta Curitiba</x:v>
      </x:c>
      <x:c r="E365" s="28" t="str">
        <x:v>Alimentos SA</x:v>
      </x:c>
      <x:c r="F365" s="28" t="str">
        <x:v>Sul</x:v>
      </x:c>
      <x:c r="G365" s="28" t="str">
        <x:v>TransDados</x:v>
      </x:c>
      <x:c r="H365" s="28" t="str">
        <x:v>Curitiba-Sul</x:v>
      </x:c>
      <x:c r="I365" s="34" t="n">
        <x:v>45488</x:v>
      </x:c>
      <x:c r="J365" s="34" t="n">
        <x:v>45490</x:v>
      </x:c>
      <x:c r="K365" s="32" t="n">
        <x:v>1269</x:v>
      </x:c>
      <x:c r="L365" s="32" t="n">
        <x:v>1269</x:v>
      </x:c>
      <x:c r="M365" s="30" t="n">
        <x:v>91368</x:v>
      </x:c>
      <x:c r="N365" s="28" t="str">
        <x:v>Em atraso</x:v>
      </x:c>
      <x:c r="O365" s="28" t="str">
        <x:v>Atraso transportadora</x:v>
      </x:c>
      <x:c r="P365" s="30" t="n">
        <x:v>91368</x:v>
      </x:c>
    </x:row>
    <x:row r="366">
      <x:c r="A366" s="28" t="str">
        <x:v>PED-48365</x:v>
      </x:c>
      <x:c r="B366" s="34" t="n">
        <x:v>45474</x:v>
      </x:c>
      <x:c r="C366" s="28" t="str">
        <x:v>Grupo Industrial S.A.</x:v>
      </x:c>
      <x:c r="D366" s="28" t="str">
        <x:v>Planta Curitiba</x:v>
      </x:c>
      <x:c r="E366" s="28" t="str">
        <x:v>Farma Vida</x:v>
      </x:c>
      <x:c r="F366" s="28" t="str">
        <x:v>Sul</x:v>
      </x:c>
      <x:c r="G366" s="28" t="str">
        <x:v>TransDados</x:v>
      </x:c>
      <x:c r="H366" s="28" t="str">
        <x:v>Curitiba-Sul</x:v>
      </x:c>
      <x:c r="I366" s="34" t="n">
        <x:v>45491</x:v>
      </x:c>
      <x:c r="J366" s="34" t="n">
        <x:v>45493</x:v>
      </x:c>
      <x:c r="K366" s="32" t="n">
        <x:v>808</x:v>
      </x:c>
      <x:c r="L366" s="32" t="n">
        <x:v>808</x:v>
      </x:c>
      <x:c r="M366" s="30" t="n">
        <x:v>67872</x:v>
      </x:c>
      <x:c r="N366" s="28" t="str">
        <x:v>Em atraso</x:v>
      </x:c>
      <x:c r="O366" s="28" t="str">
        <x:v>Janela perdida no cliente</x:v>
      </x:c>
      <x:c r="P366" s="30" t="n">
        <x:v>67872</x:v>
      </x:c>
    </x:row>
    <x:row r="367">
      <x:c r="A367" s="28" t="str">
        <x:v>PED-48366</x:v>
      </x:c>
      <x:c r="B367" s="34" t="n">
        <x:v>45474</x:v>
      </x:c>
      <x:c r="C367" s="28" t="str">
        <x:v>Grupo Industrial S.A.</x:v>
      </x:c>
      <x:c r="D367" s="28" t="str">
        <x:v>Planta Curitiba</x:v>
      </x:c>
      <x:c r="E367" s="28" t="str">
        <x:v>AutoPeças BR</x:v>
      </x:c>
      <x:c r="F367" s="28" t="str">
        <x:v>Sul</x:v>
      </x:c>
      <x:c r="G367" s="28" t="str">
        <x:v>TransDados</x:v>
      </x:c>
      <x:c r="H367" s="28" t="str">
        <x:v>Curitiba-Sul</x:v>
      </x:c>
      <x:c r="I367" s="34" t="n">
        <x:v>45494</x:v>
      </x:c>
      <x:c r="J367" s="34" t="n">
        <x:v>45494</x:v>
      </x:c>
      <x:c r="K367" s="32" t="n">
        <x:v>862</x:v>
      </x:c>
      <x:c r="L367" s="32" t="n">
        <x:v>862</x:v>
      </x:c>
      <x:c r="M367" s="30" t="n">
        <x:v>67236</x:v>
      </x:c>
      <x:c r="N367" s="28" t="str">
        <x:v>OTIF</x:v>
      </x:c>
      <x:c r="O367" s="28" t="str">
        <x:v>Janela perdida no cliente</x:v>
      </x:c>
      <x:c r="P367" s="30" t="n">
        <x:v>0</x:v>
      </x:c>
    </x:row>
    <x:row r="368">
      <x:c r="A368" s="28" t="str">
        <x:v>PED-48367</x:v>
      </x:c>
      <x:c r="B368" s="34" t="n">
        <x:v>45474</x:v>
      </x:c>
      <x:c r="C368" s="28" t="str">
        <x:v>Grupo Industrial S.A.</x:v>
      </x:c>
      <x:c r="D368" s="28" t="str">
        <x:v>Planta Curitiba</x:v>
      </x:c>
      <x:c r="E368" s="28" t="str">
        <x:v>Alimentos SA</x:v>
      </x:c>
      <x:c r="F368" s="28" t="str">
        <x:v>Sul</x:v>
      </x:c>
      <x:c r="G368" s="28" t="str">
        <x:v>RápidoSul</x:v>
      </x:c>
      <x:c r="H368" s="28" t="str">
        <x:v>Curitiba-Sudeste</x:v>
      </x:c>
      <x:c r="I368" s="34" t="n">
        <x:v>45479</x:v>
      </x:c>
      <x:c r="J368" s="34" t="n">
        <x:v>45479</x:v>
      </x:c>
      <x:c r="K368" s="32" t="n">
        <x:v>1759</x:v>
      </x:c>
      <x:c r="L368" s="32" t="n">
        <x:v>1559</x:v>
      </x:c>
      <x:c r="M368" s="30" t="n">
        <x:v>161828</x:v>
      </x:c>
      <x:c r="N368" s="28" t="str">
        <x:v>Incompleto</x:v>
      </x:c>
      <x:c r="O368" s="28" t="str">
        <x:v>Falta de produto</x:v>
      </x:c>
      <x:c r="P368" s="30" t="n">
        <x:v>161828</x:v>
      </x:c>
    </x:row>
    <x:row r="369">
      <x:c r="A369" s="28" t="str">
        <x:v>PED-48368</x:v>
      </x:c>
      <x:c r="B369" s="34" t="n">
        <x:v>45474</x:v>
      </x:c>
      <x:c r="C369" s="28" t="str">
        <x:v>Grupo Industrial S.A.</x:v>
      </x:c>
      <x:c r="D369" s="28" t="str">
        <x:v>Planta Curitiba</x:v>
      </x:c>
      <x:c r="E369" s="28" t="str">
        <x:v>Farma Vida</x:v>
      </x:c>
      <x:c r="F369" s="28" t="str">
        <x:v>Sul</x:v>
      </x:c>
      <x:c r="G369" s="28" t="str">
        <x:v>RápidoSul</x:v>
      </x:c>
      <x:c r="H369" s="28" t="str">
        <x:v>Curitiba-Sudeste</x:v>
      </x:c>
      <x:c r="I369" s="34" t="n">
        <x:v>45482</x:v>
      </x:c>
      <x:c r="J369" s="34" t="n">
        <x:v>45483</x:v>
      </x:c>
      <x:c r="K369" s="32" t="n">
        <x:v>1700</x:v>
      </x:c>
      <x:c r="L369" s="32" t="n">
        <x:v>1700</x:v>
      </x:c>
      <x:c r="M369" s="30" t="n">
        <x:v>142800</x:v>
      </x:c>
      <x:c r="N369" s="28" t="str">
        <x:v>Em atraso</x:v>
      </x:c>
      <x:c r="O369" s="28" t="str">
        <x:v>Atraso transportadora</x:v>
      </x:c>
      <x:c r="P369" s="30" t="n">
        <x:v>142800</x:v>
      </x:c>
    </x:row>
    <x:row r="370">
      <x:c r="A370" s="28" t="str">
        <x:v>PED-48369</x:v>
      </x:c>
      <x:c r="B370" s="34" t="n">
        <x:v>45474</x:v>
      </x:c>
      <x:c r="C370" s="28" t="str">
        <x:v>Grupo Industrial S.A.</x:v>
      </x:c>
      <x:c r="D370" s="28" t="str">
        <x:v>Planta Curitiba</x:v>
      </x:c>
      <x:c r="E370" s="28" t="str">
        <x:v>AutoPeças BR</x:v>
      </x:c>
      <x:c r="F370" s="28" t="str">
        <x:v>Sul</x:v>
      </x:c>
      <x:c r="G370" s="28" t="str">
        <x:v>RápidoSul</x:v>
      </x:c>
      <x:c r="H370" s="28" t="str">
        <x:v>Curitiba-Sudeste</x:v>
      </x:c>
      <x:c r="I370" s="34" t="n">
        <x:v>45485</x:v>
      </x:c>
      <x:c r="J370" s="34" t="n">
        <x:v>45487</x:v>
      </x:c>
      <x:c r="K370" s="32" t="n">
        <x:v>1167</x:v>
      </x:c>
      <x:c r="L370" s="32" t="n">
        <x:v>1167</x:v>
      </x:c>
      <x:c r="M370" s="30" t="n">
        <x:v>98028</x:v>
      </x:c>
      <x:c r="N370" s="28" t="str">
        <x:v>Em atraso</x:v>
      </x:c>
      <x:c r="O370" s="28" t="str">
        <x:v>Janela perdida no cliente</x:v>
      </x:c>
      <x:c r="P370" s="30" t="n">
        <x:v>98028</x:v>
      </x:c>
    </x:row>
    <x:row r="371">
      <x:c r="A371" s="28" t="str">
        <x:v>PED-48370</x:v>
      </x:c>
      <x:c r="B371" s="34" t="n">
        <x:v>45474</x:v>
      </x:c>
      <x:c r="C371" s="28" t="str">
        <x:v>Grupo Industrial S.A.</x:v>
      </x:c>
      <x:c r="D371" s="28" t="str">
        <x:v>Planta Curitiba</x:v>
      </x:c>
      <x:c r="E371" s="28" t="str">
        <x:v>Construbem</x:v>
      </x:c>
      <x:c r="F371" s="28" t="str">
        <x:v>Sul</x:v>
      </x:c>
      <x:c r="G371" s="28" t="str">
        <x:v>RápidoSul</x:v>
      </x:c>
      <x:c r="H371" s="28" t="str">
        <x:v>Curitiba-Sudeste</x:v>
      </x:c>
      <x:c r="I371" s="34" t="n">
        <x:v>45488</x:v>
      </x:c>
      <x:c r="J371" s="34" t="n">
        <x:v>45492</x:v>
      </x:c>
      <x:c r="K371" s="32" t="n">
        <x:v>1504</x:v>
      </x:c>
      <x:c r="L371" s="32" t="n">
        <x:v>1504</x:v>
      </x:c>
      <x:c r="M371" s="30" t="n">
        <x:v>138368</x:v>
      </x:c>
      <x:c r="N371" s="28" t="str">
        <x:v>Em atraso</x:v>
      </x:c>
      <x:c r="O371" s="28" t="str">
        <x:v>Atraso transportadora</x:v>
      </x:c>
      <x:c r="P371" s="30" t="n">
        <x:v>138368</x:v>
      </x:c>
    </x:row>
    <x:row r="372">
      <x:c r="A372" s="28" t="str">
        <x:v>PED-48371</x:v>
      </x:c>
      <x:c r="B372" s="34" t="n">
        <x:v>45474</x:v>
      </x:c>
      <x:c r="C372" s="28" t="str">
        <x:v>Grupo Industrial S.A.</x:v>
      </x:c>
      <x:c r="D372" s="28" t="str">
        <x:v>Planta Curitiba</x:v>
      </x:c>
      <x:c r="E372" s="28" t="str">
        <x:v>Alimentos SA</x:v>
      </x:c>
      <x:c r="F372" s="28" t="str">
        <x:v>Sul</x:v>
      </x:c>
      <x:c r="G372" s="28" t="str">
        <x:v>RápidoSul</x:v>
      </x:c>
      <x:c r="H372" s="28" t="str">
        <x:v>Curitiba-Sudeste</x:v>
      </x:c>
      <x:c r="I372" s="34" t="n">
        <x:v>45491</x:v>
      </x:c>
      <x:c r="J372" s="34" t="n">
        <x:v>45491</x:v>
      </x:c>
      <x:c r="K372" s="32" t="n">
        <x:v>1359</x:v>
      </x:c>
      <x:c r="L372" s="32" t="n">
        <x:v>1359</x:v>
      </x:c>
      <x:c r="M372" s="30" t="n">
        <x:v>125028</x:v>
      </x:c>
      <x:c r="N372" s="28" t="str">
        <x:v>OTIF</x:v>
      </x:c>
      <x:c r="O372" s="28" t="str">
        <x:v>Janela perdida no cliente</x:v>
      </x:c>
      <x:c r="P372" s="30" t="n">
        <x:v>0</x:v>
      </x:c>
    </x:row>
    <x:row r="373">
      <x:c r="A373" s="28" t="str">
        <x:v>PED-48372</x:v>
      </x:c>
      <x:c r="B373" s="34" t="n">
        <x:v>45474</x:v>
      </x:c>
      <x:c r="C373" s="28" t="str">
        <x:v>Grupo Industrial S.A.</x:v>
      </x:c>
      <x:c r="D373" s="28" t="str">
        <x:v>Planta Curitiba</x:v>
      </x:c>
      <x:c r="E373" s="28" t="str">
        <x:v>Farma Vida</x:v>
      </x:c>
      <x:c r="F373" s="28" t="str">
        <x:v>Sul</x:v>
      </x:c>
      <x:c r="G373" s="28" t="str">
        <x:v>RápidoSul</x:v>
      </x:c>
      <x:c r="H373" s="28" t="str">
        <x:v>Curitiba-Sudeste</x:v>
      </x:c>
      <x:c r="I373" s="34" t="n">
        <x:v>45494</x:v>
      </x:c>
      <x:c r="J373" s="34" t="n">
        <x:v>45494</x:v>
      </x:c>
      <x:c r="K373" s="32" t="n">
        <x:v>1831</x:v>
      </x:c>
      <x:c r="L373" s="32" t="n">
        <x:v>1831</x:v>
      </x:c>
      <x:c r="M373" s="30" t="n">
        <x:v>153804</x:v>
      </x:c>
      <x:c r="N373" s="28" t="str">
        <x:v>OTIF</x:v>
      </x:c>
      <x:c r="O373" s="28" t="str">
        <x:v>Janela perdida no cliente</x:v>
      </x:c>
      <x:c r="P373" s="30" t="n">
        <x:v>0</x:v>
      </x:c>
    </x:row>
    <x:row r="374">
      <x:c r="A374" s="28" t="str">
        <x:v>PED-48373</x:v>
      </x:c>
      <x:c r="B374" s="34" t="n">
        <x:v>45474</x:v>
      </x:c>
      <x:c r="C374" s="28" t="str">
        <x:v>Grupo Industrial S.A.</x:v>
      </x:c>
      <x:c r="D374" s="28" t="str">
        <x:v>Planta Curitiba</x:v>
      </x:c>
      <x:c r="E374" s="28" t="str">
        <x:v>Construbem</x:v>
      </x:c>
      <x:c r="F374" s="28" t="str">
        <x:v>Sul</x:v>
      </x:c>
      <x:c r="G374" s="28" t="str">
        <x:v>NovaLog</x:v>
      </x:c>
      <x:c r="H374" s="28" t="str">
        <x:v>Curitiba-Centro-Oeste</x:v>
      </x:c>
      <x:c r="I374" s="34" t="n">
        <x:v>45479</x:v>
      </x:c>
      <x:c r="J374" s="34" t="n">
        <x:v>45479</x:v>
      </x:c>
      <x:c r="K374" s="32" t="n">
        <x:v>1542</x:v>
      </x:c>
      <x:c r="L374" s="32" t="n">
        <x:v>1542</x:v>
      </x:c>
      <x:c r="M374" s="30" t="n">
        <x:v>111024</x:v>
      </x:c>
      <x:c r="N374" s="28" t="str">
        <x:v>OTIF</x:v>
      </x:c>
      <x:c r="O374" s="28" t="str">
        <x:v>Janela perdida no cliente</x:v>
      </x:c>
      <x:c r="P374" s="30" t="n">
        <x:v>0</x:v>
      </x:c>
    </x:row>
    <x:row r="375">
      <x:c r="A375" s="28" t="str">
        <x:v>PED-48374</x:v>
      </x:c>
      <x:c r="B375" s="34" t="n">
        <x:v>45474</x:v>
      </x:c>
      <x:c r="C375" s="28" t="str">
        <x:v>Grupo Industrial S.A.</x:v>
      </x:c>
      <x:c r="D375" s="28" t="str">
        <x:v>Planta Curitiba</x:v>
      </x:c>
      <x:c r="E375" s="28" t="str">
        <x:v>Alimentos SA</x:v>
      </x:c>
      <x:c r="F375" s="28" t="str">
        <x:v>Sul</x:v>
      </x:c>
      <x:c r="G375" s="28" t="str">
        <x:v>NovaLog</x:v>
      </x:c>
      <x:c r="H375" s="28" t="str">
        <x:v>Curitiba-Centro-Oeste</x:v>
      </x:c>
      <x:c r="I375" s="34" t="n">
        <x:v>45482</x:v>
      </x:c>
      <x:c r="J375" s="34" t="n">
        <x:v>45486</x:v>
      </x:c>
      <x:c r="K375" s="32" t="n">
        <x:v>2014</x:v>
      </x:c>
      <x:c r="L375" s="32" t="n">
        <x:v>2014</x:v>
      </x:c>
      <x:c r="M375" s="30" t="n">
        <x:v>145008</x:v>
      </x:c>
      <x:c r="N375" s="28" t="str">
        <x:v>Em atraso</x:v>
      </x:c>
      <x:c r="O375" s="28" t="str">
        <x:v>Janela perdida no cliente</x:v>
      </x:c>
      <x:c r="P375" s="30" t="n">
        <x:v>145008</x:v>
      </x:c>
    </x:row>
    <x:row r="376">
      <x:c r="A376" s="28" t="str">
        <x:v>PED-48375</x:v>
      </x:c>
      <x:c r="B376" s="34" t="n">
        <x:v>45474</x:v>
      </x:c>
      <x:c r="C376" s="28" t="str">
        <x:v>Grupo Industrial S.A.</x:v>
      </x:c>
      <x:c r="D376" s="28" t="str">
        <x:v>Planta Curitiba</x:v>
      </x:c>
      <x:c r="E376" s="28" t="str">
        <x:v>Farma Vida</x:v>
      </x:c>
      <x:c r="F376" s="28" t="str">
        <x:v>Sul</x:v>
      </x:c>
      <x:c r="G376" s="28" t="str">
        <x:v>NovaLog</x:v>
      </x:c>
      <x:c r="H376" s="28" t="str">
        <x:v>Curitiba-Centro-Oeste</x:v>
      </x:c>
      <x:c r="I376" s="34" t="n">
        <x:v>45485</x:v>
      </x:c>
      <x:c r="J376" s="34" t="n">
        <x:v>45485</x:v>
      </x:c>
      <x:c r="K376" s="32" t="n">
        <x:v>1337</x:v>
      </x:c>
      <x:c r="L376" s="32" t="n">
        <x:v>1337</x:v>
      </x:c>
      <x:c r="M376" s="30" t="n">
        <x:v>123004</x:v>
      </x:c>
      <x:c r="N376" s="28" t="str">
        <x:v>OTIF</x:v>
      </x:c>
      <x:c r="O376" s="28" t="str">
        <x:v>Janela perdida no cliente</x:v>
      </x:c>
      <x:c r="P376" s="30" t="n">
        <x:v>0</x:v>
      </x:c>
    </x:row>
    <x:row r="377">
      <x:c r="A377" s="28" t="str">
        <x:v>PED-48376</x:v>
      </x:c>
      <x:c r="B377" s="34" t="n">
        <x:v>45474</x:v>
      </x:c>
      <x:c r="C377" s="28" t="str">
        <x:v>Grupo Industrial S.A.</x:v>
      </x:c>
      <x:c r="D377" s="28" t="str">
        <x:v>Planta Curitiba</x:v>
      </x:c>
      <x:c r="E377" s="28" t="str">
        <x:v>AutoPeças BR</x:v>
      </x:c>
      <x:c r="F377" s="28" t="str">
        <x:v>Sul</x:v>
      </x:c>
      <x:c r="G377" s="28" t="str">
        <x:v>NovaLog</x:v>
      </x:c>
      <x:c r="H377" s="28" t="str">
        <x:v>Curitiba-Centro-Oeste</x:v>
      </x:c>
      <x:c r="I377" s="34" t="n">
        <x:v>45488</x:v>
      </x:c>
      <x:c r="J377" s="34" t="n">
        <x:v>45490</x:v>
      </x:c>
      <x:c r="K377" s="32" t="n">
        <x:v>1725</x:v>
      </x:c>
      <x:c r="L377" s="32" t="n">
        <x:v>1725</x:v>
      </x:c>
      <x:c r="M377" s="30" t="n">
        <x:v>134550</x:v>
      </x:c>
      <x:c r="N377" s="28" t="str">
        <x:v>Em atraso</x:v>
      </x:c>
      <x:c r="O377" s="28" t="str">
        <x:v>Janela perdida no cliente</x:v>
      </x:c>
      <x:c r="P377" s="30" t="n">
        <x:v>134550</x:v>
      </x:c>
    </x:row>
    <x:row r="378">
      <x:c r="A378" s="28" t="str">
        <x:v>PED-48377</x:v>
      </x:c>
      <x:c r="B378" s="34" t="n">
        <x:v>45474</x:v>
      </x:c>
      <x:c r="C378" s="28" t="str">
        <x:v>Grupo Industrial S.A.</x:v>
      </x:c>
      <x:c r="D378" s="28" t="str">
        <x:v>Planta Curitiba</x:v>
      </x:c>
      <x:c r="E378" s="28" t="str">
        <x:v>Construbem</x:v>
      </x:c>
      <x:c r="F378" s="28" t="str">
        <x:v>Sul</x:v>
      </x:c>
      <x:c r="G378" s="28" t="str">
        <x:v>NovaLog</x:v>
      </x:c>
      <x:c r="H378" s="28" t="str">
        <x:v>Curitiba-Centro-Oeste</x:v>
      </x:c>
      <x:c r="I378" s="34" t="n">
        <x:v>45491</x:v>
      </x:c>
      <x:c r="J378" s="34" t="n">
        <x:v>45492</x:v>
      </x:c>
      <x:c r="K378" s="32" t="n">
        <x:v>2023</x:v>
      </x:c>
      <x:c r="L378" s="32" t="n">
        <x:v>2023</x:v>
      </x:c>
      <x:c r="M378" s="30" t="n">
        <x:v>186116</x:v>
      </x:c>
      <x:c r="N378" s="28" t="str">
        <x:v>Em atraso</x:v>
      </x:c>
      <x:c r="O378" s="28" t="str">
        <x:v>Atraso transportadora</x:v>
      </x:c>
      <x:c r="P378" s="30" t="n">
        <x:v>186116</x:v>
      </x:c>
    </x:row>
    <x:row r="379">
      <x:c r="A379" s="28" t="str">
        <x:v>PED-48378</x:v>
      </x:c>
      <x:c r="B379" s="34" t="n">
        <x:v>45474</x:v>
      </x:c>
      <x:c r="C379" s="28" t="str">
        <x:v>Grupo Industrial S.A.</x:v>
      </x:c>
      <x:c r="D379" s="28" t="str">
        <x:v>Planta Curitiba</x:v>
      </x:c>
      <x:c r="E379" s="28" t="str">
        <x:v>Alimentos SA</x:v>
      </x:c>
      <x:c r="F379" s="28" t="str">
        <x:v>Sul</x:v>
      </x:c>
      <x:c r="G379" s="28" t="str">
        <x:v>NovaLog</x:v>
      </x:c>
      <x:c r="H379" s="28" t="str">
        <x:v>Curitiba-Centro-Oeste</x:v>
      </x:c>
      <x:c r="I379" s="34" t="n">
        <x:v>45494</x:v>
      </x:c>
      <x:c r="J379" s="34" t="n">
        <x:v>45494</x:v>
      </x:c>
      <x:c r="K379" s="32" t="n">
        <x:v>1075</x:v>
      </x:c>
      <x:c r="L379" s="32" t="n">
        <x:v>1075</x:v>
      </x:c>
      <x:c r="M379" s="30" t="n">
        <x:v>83850</x:v>
      </x:c>
      <x:c r="N379" s="28" t="str">
        <x:v>OTIF</x:v>
      </x:c>
      <x:c r="O379" s="28" t="str">
        <x:v>Janela perdida no cliente</x:v>
      </x:c>
      <x:c r="P379" s="30" t="n">
        <x:v>0</x:v>
      </x:c>
    </x:row>
    <x:row r="380">
      <x:c r="A380" s="28" t="str">
        <x:v>PED-48379</x:v>
      </x:c>
      <x:c r="B380" s="34" t="n">
        <x:v>45505</x:v>
      </x:c>
      <x:c r="C380" s="28" t="str">
        <x:v>Grupo Industrial S.A.</x:v>
      </x:c>
      <x:c r="D380" s="28" t="str">
        <x:v>Planta São Paulo</x:v>
      </x:c>
      <x:c r="E380" s="28" t="str">
        <x:v>AutoPeças BR</x:v>
      </x:c>
      <x:c r="F380" s="28" t="str">
        <x:v>Sudeste</x:v>
      </x:c>
      <x:c r="G380" s="28" t="str">
        <x:v>TransDados</x:v>
      </x:c>
      <x:c r="H380" s="28" t="str">
        <x:v>SP-Sudeste</x:v>
      </x:c>
      <x:c r="I380" s="34" t="n">
        <x:v>45510</x:v>
      </x:c>
      <x:c r="J380" s="34" t="n">
        <x:v>45510</x:v>
      </x:c>
      <x:c r="K380" s="32" t="n">
        <x:v>1017</x:v>
      </x:c>
      <x:c r="L380" s="32" t="n">
        <x:v>1017</x:v>
      </x:c>
      <x:c r="M380" s="30" t="n">
        <x:v>93564</x:v>
      </x:c>
      <x:c r="N380" s="28" t="str">
        <x:v>OTIF</x:v>
      </x:c>
      <x:c r="O380" s="28" t="str">
        <x:v>Janela perdida no cliente</x:v>
      </x:c>
      <x:c r="P380" s="30" t="n">
        <x:v>0</x:v>
      </x:c>
    </x:row>
    <x:row r="381">
      <x:c r="A381" s="28" t="str">
        <x:v>PED-48380</x:v>
      </x:c>
      <x:c r="B381" s="34" t="n">
        <x:v>45505</x:v>
      </x:c>
      <x:c r="C381" s="28" t="str">
        <x:v>Grupo Industrial S.A.</x:v>
      </x:c>
      <x:c r="D381" s="28" t="str">
        <x:v>Planta São Paulo</x:v>
      </x:c>
      <x:c r="E381" s="28" t="str">
        <x:v>Construbem</x:v>
      </x:c>
      <x:c r="F381" s="28" t="str">
        <x:v>Sudeste</x:v>
      </x:c>
      <x:c r="G381" s="28" t="str">
        <x:v>TransDados</x:v>
      </x:c>
      <x:c r="H381" s="28" t="str">
        <x:v>SP-Sudeste</x:v>
      </x:c>
      <x:c r="I381" s="34" t="n">
        <x:v>45513</x:v>
      </x:c>
      <x:c r="J381" s="34" t="n">
        <x:v>45513</x:v>
      </x:c>
      <x:c r="K381" s="32" t="n">
        <x:v>1437</x:v>
      </x:c>
      <x:c r="L381" s="32" t="n">
        <x:v>1437</x:v>
      </x:c>
      <x:c r="M381" s="30" t="n">
        <x:v>112086</x:v>
      </x:c>
      <x:c r="N381" s="28" t="str">
        <x:v>OTIF</x:v>
      </x:c>
      <x:c r="O381" s="28" t="str">
        <x:v>Janela perdida no cliente</x:v>
      </x:c>
      <x:c r="P381" s="30" t="n">
        <x:v>0</x:v>
      </x:c>
    </x:row>
    <x:row r="382">
      <x:c r="A382" s="28" t="str">
        <x:v>PED-48381</x:v>
      </x:c>
      <x:c r="B382" s="34" t="n">
        <x:v>45505</x:v>
      </x:c>
      <x:c r="C382" s="28" t="str">
        <x:v>Grupo Industrial S.A.</x:v>
      </x:c>
      <x:c r="D382" s="28" t="str">
        <x:v>Planta São Paulo</x:v>
      </x:c>
      <x:c r="E382" s="28" t="str">
        <x:v>Alimentos SA</x:v>
      </x:c>
      <x:c r="F382" s="28" t="str">
        <x:v>Sudeste</x:v>
      </x:c>
      <x:c r="G382" s="28" t="str">
        <x:v>TransDados</x:v>
      </x:c>
      <x:c r="H382" s="28" t="str">
        <x:v>SP-Sudeste</x:v>
      </x:c>
      <x:c r="I382" s="34" t="n">
        <x:v>45516</x:v>
      </x:c>
      <x:c r="J382" s="34" t="n">
        <x:v>45517</x:v>
      </x:c>
      <x:c r="K382" s="32" t="n">
        <x:v>801</x:v>
      </x:c>
      <x:c r="L382" s="32" t="n">
        <x:v>801</x:v>
      </x:c>
      <x:c r="M382" s="30" t="n">
        <x:v>73692</x:v>
      </x:c>
      <x:c r="N382" s="28" t="str">
        <x:v>Em atraso</x:v>
      </x:c>
      <x:c r="O382" s="28" t="str">
        <x:v>Janela perdida no cliente</x:v>
      </x:c>
      <x:c r="P382" s="30" t="n">
        <x:v>73692</x:v>
      </x:c>
    </x:row>
    <x:row r="383">
      <x:c r="A383" s="28" t="str">
        <x:v>PED-48382</x:v>
      </x:c>
      <x:c r="B383" s="34" t="n">
        <x:v>45505</x:v>
      </x:c>
      <x:c r="C383" s="28" t="str">
        <x:v>Grupo Industrial S.A.</x:v>
      </x:c>
      <x:c r="D383" s="28" t="str">
        <x:v>Planta São Paulo</x:v>
      </x:c>
      <x:c r="E383" s="28" t="str">
        <x:v>Farma Vida</x:v>
      </x:c>
      <x:c r="F383" s="28" t="str">
        <x:v>Sudeste</x:v>
      </x:c>
      <x:c r="G383" s="28" t="str">
        <x:v>TransDados</x:v>
      </x:c>
      <x:c r="H383" s="28" t="str">
        <x:v>SP-Sudeste</x:v>
      </x:c>
      <x:c r="I383" s="34" t="n">
        <x:v>45519</x:v>
      </x:c>
      <x:c r="J383" s="34" t="n">
        <x:v>45520</x:v>
      </x:c>
      <x:c r="K383" s="32" t="n">
        <x:v>1217</x:v>
      </x:c>
      <x:c r="L383" s="32" t="n">
        <x:v>1217</x:v>
      </x:c>
      <x:c r="M383" s="30" t="n">
        <x:v>87624</x:v>
      </x:c>
      <x:c r="N383" s="28" t="str">
        <x:v>Em atraso</x:v>
      </x:c>
      <x:c r="O383" s="28" t="str">
        <x:v>Atraso transportadora</x:v>
      </x:c>
      <x:c r="P383" s="30" t="n">
        <x:v>87624</x:v>
      </x:c>
    </x:row>
    <x:row r="384">
      <x:c r="A384" s="28" t="str">
        <x:v>PED-48383</x:v>
      </x:c>
      <x:c r="B384" s="34" t="n">
        <x:v>45505</x:v>
      </x:c>
      <x:c r="C384" s="28" t="str">
        <x:v>Grupo Industrial S.A.</x:v>
      </x:c>
      <x:c r="D384" s="28" t="str">
        <x:v>Planta São Paulo</x:v>
      </x:c>
      <x:c r="E384" s="28" t="str">
        <x:v>AutoPeças BR</x:v>
      </x:c>
      <x:c r="F384" s="28" t="str">
        <x:v>Sudeste</x:v>
      </x:c>
      <x:c r="G384" s="28" t="str">
        <x:v>TransDados</x:v>
      </x:c>
      <x:c r="H384" s="28" t="str">
        <x:v>SP-Sudeste</x:v>
      </x:c>
      <x:c r="I384" s="34" t="n">
        <x:v>45522</x:v>
      </x:c>
      <x:c r="J384" s="34" t="n">
        <x:v>45522</x:v>
      </x:c>
      <x:c r="K384" s="32" t="n">
        <x:v>1384</x:v>
      </x:c>
      <x:c r="L384" s="32" t="n">
        <x:v>1384</x:v>
      </x:c>
      <x:c r="M384" s="30" t="n">
        <x:v>127328</x:v>
      </x:c>
      <x:c r="N384" s="28" t="str">
        <x:v>OTIF</x:v>
      </x:c>
      <x:c r="O384" s="28" t="str">
        <x:v>Janela perdida no cliente</x:v>
      </x:c>
      <x:c r="P384" s="30" t="n">
        <x:v>0</x:v>
      </x:c>
    </x:row>
    <x:row r="385">
      <x:c r="A385" s="28" t="str">
        <x:v>PED-48384</x:v>
      </x:c>
      <x:c r="B385" s="34" t="n">
        <x:v>45505</x:v>
      </x:c>
      <x:c r="C385" s="28" t="str">
        <x:v>Grupo Industrial S.A.</x:v>
      </x:c>
      <x:c r="D385" s="28" t="str">
        <x:v>Planta São Paulo</x:v>
      </x:c>
      <x:c r="E385" s="28" t="str">
        <x:v>Construbem</x:v>
      </x:c>
      <x:c r="F385" s="28" t="str">
        <x:v>Sudeste</x:v>
      </x:c>
      <x:c r="G385" s="28" t="str">
        <x:v>TransDados</x:v>
      </x:c>
      <x:c r="H385" s="28" t="str">
        <x:v>SP-Sudeste</x:v>
      </x:c>
      <x:c r="I385" s="34" t="n">
        <x:v>45525</x:v>
      </x:c>
      <x:c r="J385" s="34" t="n">
        <x:v>45525</x:v>
      </x:c>
      <x:c r="K385" s="32" t="n">
        <x:v>1190</x:v>
      </x:c>
      <x:c r="L385" s="32" t="n">
        <x:v>1139</x:v>
      </x:c>
      <x:c r="M385" s="30" t="n">
        <x:v>85680</x:v>
      </x:c>
      <x:c r="N385" s="28" t="str">
        <x:v>Incompleto</x:v>
      </x:c>
      <x:c r="O385" s="28" t="str">
        <x:v>Falta de produto</x:v>
      </x:c>
      <x:c r="P385" s="30" t="n">
        <x:v>85680</x:v>
      </x:c>
    </x:row>
    <x:row r="386">
      <x:c r="A386" s="28" t="str">
        <x:v>PED-48385</x:v>
      </x:c>
      <x:c r="B386" s="34" t="n">
        <x:v>45505</x:v>
      </x:c>
      <x:c r="C386" s="28" t="str">
        <x:v>Grupo Industrial S.A.</x:v>
      </x:c>
      <x:c r="D386" s="28" t="str">
        <x:v>Planta São Paulo</x:v>
      </x:c>
      <x:c r="E386" s="28" t="str">
        <x:v>Farma Vida</x:v>
      </x:c>
      <x:c r="F386" s="28" t="str">
        <x:v>Sudeste</x:v>
      </x:c>
      <x:c r="G386" s="28" t="str">
        <x:v>RápidoSul</x:v>
      </x:c>
      <x:c r="H386" s="28" t="str">
        <x:v>SP-Centro-Oeste</x:v>
      </x:c>
      <x:c r="I386" s="34" t="n">
        <x:v>45510</x:v>
      </x:c>
      <x:c r="J386" s="34" t="n">
        <x:v>45512</x:v>
      </x:c>
      <x:c r="K386" s="32" t="n">
        <x:v>972</x:v>
      </x:c>
      <x:c r="L386" s="32" t="n">
        <x:v>918</x:v>
      </x:c>
      <x:c r="M386" s="30" t="n">
        <x:v>81648</x:v>
      </x:c>
      <x:c r="N386" s="28" t="str">
        <x:v>Em atraso</x:v>
      </x:c>
      <x:c r="O386" s="28" t="str">
        <x:v>Atraso transportadora</x:v>
      </x:c>
      <x:c r="P386" s="30" t="n">
        <x:v>81648</x:v>
      </x:c>
    </x:row>
    <x:row r="387">
      <x:c r="A387" s="28" t="str">
        <x:v>PED-48386</x:v>
      </x:c>
      <x:c r="B387" s="34" t="n">
        <x:v>45505</x:v>
      </x:c>
      <x:c r="C387" s="28" t="str">
        <x:v>Grupo Industrial S.A.</x:v>
      </x:c>
      <x:c r="D387" s="28" t="str">
        <x:v>Planta São Paulo</x:v>
      </x:c>
      <x:c r="E387" s="28" t="str">
        <x:v>AutoPeças BR</x:v>
      </x:c>
      <x:c r="F387" s="28" t="str">
        <x:v>Sudeste</x:v>
      </x:c>
      <x:c r="G387" s="28" t="str">
        <x:v>RápidoSul</x:v>
      </x:c>
      <x:c r="H387" s="28" t="str">
        <x:v>SP-Centro-Oeste</x:v>
      </x:c>
      <x:c r="I387" s="34" t="n">
        <x:v>45513</x:v>
      </x:c>
      <x:c r="J387" s="34" t="n">
        <x:v>45513</x:v>
      </x:c>
      <x:c r="K387" s="32" t="n">
        <x:v>1660</x:v>
      </x:c>
      <x:c r="L387" s="32" t="n">
        <x:v>1660</x:v>
      </x:c>
      <x:c r="M387" s="30" t="n">
        <x:v>152720</x:v>
      </x:c>
      <x:c r="N387" s="28" t="str">
        <x:v>OTIF</x:v>
      </x:c>
      <x:c r="O387" s="28" t="str">
        <x:v>Janela perdida no cliente</x:v>
      </x:c>
      <x:c r="P387" s="30" t="n">
        <x:v>0</x:v>
      </x:c>
    </x:row>
    <x:row r="388">
      <x:c r="A388" s="28" t="str">
        <x:v>PED-48387</x:v>
      </x:c>
      <x:c r="B388" s="34" t="n">
        <x:v>45505</x:v>
      </x:c>
      <x:c r="C388" s="28" t="str">
        <x:v>Grupo Industrial S.A.</x:v>
      </x:c>
      <x:c r="D388" s="28" t="str">
        <x:v>Planta São Paulo</x:v>
      </x:c>
      <x:c r="E388" s="28" t="str">
        <x:v>Construbem</x:v>
      </x:c>
      <x:c r="F388" s="28" t="str">
        <x:v>Sudeste</x:v>
      </x:c>
      <x:c r="G388" s="28" t="str">
        <x:v>RápidoSul</x:v>
      </x:c>
      <x:c r="H388" s="28" t="str">
        <x:v>SP-Centro-Oeste</x:v>
      </x:c>
      <x:c r="I388" s="34" t="n">
        <x:v>45516</x:v>
      </x:c>
      <x:c r="J388" s="34" t="n">
        <x:v>45516</x:v>
      </x:c>
      <x:c r="K388" s="32" t="n">
        <x:v>1035</x:v>
      </x:c>
      <x:c r="L388" s="32" t="n">
        <x:v>1035</x:v>
      </x:c>
      <x:c r="M388" s="30" t="n">
        <x:v>74520</x:v>
      </x:c>
      <x:c r="N388" s="28" t="str">
        <x:v>OTIF</x:v>
      </x:c>
      <x:c r="O388" s="28" t="str">
        <x:v>Janela perdida no cliente</x:v>
      </x:c>
      <x:c r="P388" s="30" t="n">
        <x:v>0</x:v>
      </x:c>
    </x:row>
    <x:row r="389">
      <x:c r="A389" s="28" t="str">
        <x:v>PED-48388</x:v>
      </x:c>
      <x:c r="B389" s="34" t="n">
        <x:v>45505</x:v>
      </x:c>
      <x:c r="C389" s="28" t="str">
        <x:v>Grupo Industrial S.A.</x:v>
      </x:c>
      <x:c r="D389" s="28" t="str">
        <x:v>Planta São Paulo</x:v>
      </x:c>
      <x:c r="E389" s="28" t="str">
        <x:v>Alimentos SA</x:v>
      </x:c>
      <x:c r="F389" s="28" t="str">
        <x:v>Sudeste</x:v>
      </x:c>
      <x:c r="G389" s="28" t="str">
        <x:v>RápidoSul</x:v>
      </x:c>
      <x:c r="H389" s="28" t="str">
        <x:v>SP-Centro-Oeste</x:v>
      </x:c>
      <x:c r="I389" s="34" t="n">
        <x:v>45519</x:v>
      </x:c>
      <x:c r="J389" s="34" t="n">
        <x:v>45519</x:v>
      </x:c>
      <x:c r="K389" s="32" t="n">
        <x:v>1976</x:v>
      </x:c>
      <x:c r="L389" s="32" t="n">
        <x:v>1976</x:v>
      </x:c>
      <x:c r="M389" s="30" t="n">
        <x:v>142272</x:v>
      </x:c>
      <x:c r="N389" s="28" t="str">
        <x:v>OTIF</x:v>
      </x:c>
      <x:c r="O389" s="28" t="str">
        <x:v>Janela perdida no cliente</x:v>
      </x:c>
      <x:c r="P389" s="30" t="n">
        <x:v>0</x:v>
      </x:c>
    </x:row>
    <x:row r="390">
      <x:c r="A390" s="28" t="str">
        <x:v>PED-48389</x:v>
      </x:c>
      <x:c r="B390" s="34" t="n">
        <x:v>45505</x:v>
      </x:c>
      <x:c r="C390" s="28" t="str">
        <x:v>Grupo Industrial S.A.</x:v>
      </x:c>
      <x:c r="D390" s="28" t="str">
        <x:v>Planta São Paulo</x:v>
      </x:c>
      <x:c r="E390" s="28" t="str">
        <x:v>Farma Vida</x:v>
      </x:c>
      <x:c r="F390" s="28" t="str">
        <x:v>Sudeste</x:v>
      </x:c>
      <x:c r="G390" s="28" t="str">
        <x:v>RápidoSul</x:v>
      </x:c>
      <x:c r="H390" s="28" t="str">
        <x:v>SP-Centro-Oeste</x:v>
      </x:c>
      <x:c r="I390" s="34" t="n">
        <x:v>45522</x:v>
      </x:c>
      <x:c r="J390" s="34" t="n">
        <x:v>45523</x:v>
      </x:c>
      <x:c r="K390" s="32" t="n">
        <x:v>2148</x:v>
      </x:c>
      <x:c r="L390" s="32" t="n">
        <x:v>2148</x:v>
      </x:c>
      <x:c r="M390" s="30" t="n">
        <x:v>197616</x:v>
      </x:c>
      <x:c r="N390" s="28" t="str">
        <x:v>Em atraso</x:v>
      </x:c>
      <x:c r="O390" s="28" t="str">
        <x:v>Atraso transportadora</x:v>
      </x:c>
      <x:c r="P390" s="30" t="n">
        <x:v>197616</x:v>
      </x:c>
    </x:row>
    <x:row r="391">
      <x:c r="A391" s="28" t="str">
        <x:v>PED-48390</x:v>
      </x:c>
      <x:c r="B391" s="34" t="n">
        <x:v>45505</x:v>
      </x:c>
      <x:c r="C391" s="28" t="str">
        <x:v>Grupo Industrial S.A.</x:v>
      </x:c>
      <x:c r="D391" s="28" t="str">
        <x:v>Planta São Paulo</x:v>
      </x:c>
      <x:c r="E391" s="28" t="str">
        <x:v>AutoPeças BR</x:v>
      </x:c>
      <x:c r="F391" s="28" t="str">
        <x:v>Sudeste</x:v>
      </x:c>
      <x:c r="G391" s="28" t="str">
        <x:v>RápidoSul</x:v>
      </x:c>
      <x:c r="H391" s="28" t="str">
        <x:v>SP-Centro-Oeste</x:v>
      </x:c>
      <x:c r="I391" s="34" t="n">
        <x:v>45525</x:v>
      </x:c>
      <x:c r="J391" s="34" t="n">
        <x:v>45525</x:v>
      </x:c>
      <x:c r="K391" s="32" t="n">
        <x:v>1508</x:v>
      </x:c>
      <x:c r="L391" s="32" t="n">
        <x:v>1508</x:v>
      </x:c>
      <x:c r="M391" s="30" t="n">
        <x:v>108576</x:v>
      </x:c>
      <x:c r="N391" s="28" t="str">
        <x:v>OTIF</x:v>
      </x:c>
      <x:c r="O391" s="28" t="str">
        <x:v>Janela perdida no cliente</x:v>
      </x:c>
      <x:c r="P391" s="30" t="n">
        <x:v>0</x:v>
      </x:c>
    </x:row>
    <x:row r="392">
      <x:c r="A392" s="28" t="str">
        <x:v>PED-48391</x:v>
      </x:c>
      <x:c r="B392" s="34" t="n">
        <x:v>45505</x:v>
      </x:c>
      <x:c r="C392" s="28" t="str">
        <x:v>Grupo Industrial S.A.</x:v>
      </x:c>
      <x:c r="D392" s="28" t="str">
        <x:v>Planta São Paulo</x:v>
      </x:c>
      <x:c r="E392" s="28" t="str">
        <x:v>Alimentos SA</x:v>
      </x:c>
      <x:c r="F392" s="28" t="str">
        <x:v>Sudeste</x:v>
      </x:c>
      <x:c r="G392" s="28" t="str">
        <x:v>NovaLog</x:v>
      </x:c>
      <x:c r="H392" s="28" t="str">
        <x:v>SP-Nordeste</x:v>
      </x:c>
      <x:c r="I392" s="34" t="n">
        <x:v>45510</x:v>
      </x:c>
      <x:c r="J392" s="34" t="n">
        <x:v>45510</x:v>
      </x:c>
      <x:c r="K392" s="32" t="n">
        <x:v>1520</x:v>
      </x:c>
      <x:c r="L392" s="32" t="n">
        <x:v>1520</x:v>
      </x:c>
      <x:c r="M392" s="30" t="n">
        <x:v>139840</x:v>
      </x:c>
      <x:c r="N392" s="28" t="str">
        <x:v>OTIF</x:v>
      </x:c>
      <x:c r="O392" s="28" t="str">
        <x:v>Janela perdida no cliente</x:v>
      </x:c>
      <x:c r="P392" s="30" t="n">
        <x:v>0</x:v>
      </x:c>
    </x:row>
    <x:row r="393">
      <x:c r="A393" s="28" t="str">
        <x:v>PED-48392</x:v>
      </x:c>
      <x:c r="B393" s="34" t="n">
        <x:v>45505</x:v>
      </x:c>
      <x:c r="C393" s="28" t="str">
        <x:v>Grupo Industrial S.A.</x:v>
      </x:c>
      <x:c r="D393" s="28" t="str">
        <x:v>Planta São Paulo</x:v>
      </x:c>
      <x:c r="E393" s="28" t="str">
        <x:v>Farma Vida</x:v>
      </x:c>
      <x:c r="F393" s="28" t="str">
        <x:v>Sudeste</x:v>
      </x:c>
      <x:c r="G393" s="28" t="str">
        <x:v>NovaLog</x:v>
      </x:c>
      <x:c r="H393" s="28" t="str">
        <x:v>SP-Nordeste</x:v>
      </x:c>
      <x:c r="I393" s="34" t="n">
        <x:v>45513</x:v>
      </x:c>
      <x:c r="J393" s="34" t="n">
        <x:v>45513</x:v>
      </x:c>
      <x:c r="K393" s="32" t="n">
        <x:v>779</x:v>
      </x:c>
      <x:c r="L393" s="32" t="n">
        <x:v>779</x:v>
      </x:c>
      <x:c r="M393" s="30" t="n">
        <x:v>71668</x:v>
      </x:c>
      <x:c r="N393" s="28" t="str">
        <x:v>OTIF</x:v>
      </x:c>
      <x:c r="O393" s="28" t="str">
        <x:v>Janela perdida no cliente</x:v>
      </x:c>
      <x:c r="P393" s="30" t="n">
        <x:v>0</x:v>
      </x:c>
    </x:row>
    <x:row r="394">
      <x:c r="A394" s="28" t="str">
        <x:v>PED-48393</x:v>
      </x:c>
      <x:c r="B394" s="34" t="n">
        <x:v>45505</x:v>
      </x:c>
      <x:c r="C394" s="28" t="str">
        <x:v>Grupo Industrial S.A.</x:v>
      </x:c>
      <x:c r="D394" s="28" t="str">
        <x:v>Planta São Paulo</x:v>
      </x:c>
      <x:c r="E394" s="28" t="str">
        <x:v>AutoPeças BR</x:v>
      </x:c>
      <x:c r="F394" s="28" t="str">
        <x:v>Sudeste</x:v>
      </x:c>
      <x:c r="G394" s="28" t="str">
        <x:v>NovaLog</x:v>
      </x:c>
      <x:c r="H394" s="28" t="str">
        <x:v>SP-Nordeste</x:v>
      </x:c>
      <x:c r="I394" s="34" t="n">
        <x:v>45516</x:v>
      </x:c>
      <x:c r="J394" s="34" t="n">
        <x:v>45517</x:v>
      </x:c>
      <x:c r="K394" s="32" t="n">
        <x:v>1948</x:v>
      </x:c>
      <x:c r="L394" s="32" t="n">
        <x:v>1948</x:v>
      </x:c>
      <x:c r="M394" s="30" t="n">
        <x:v>140256</x:v>
      </x:c>
      <x:c r="N394" s="28" t="str">
        <x:v>Em atraso</x:v>
      </x:c>
      <x:c r="O394" s="28" t="str">
        <x:v>Atraso transportadora</x:v>
      </x:c>
      <x:c r="P394" s="30" t="n">
        <x:v>140256</x:v>
      </x:c>
    </x:row>
    <x:row r="395">
      <x:c r="A395" s="28" t="str">
        <x:v>PED-48394</x:v>
      </x:c>
      <x:c r="B395" s="34" t="n">
        <x:v>45505</x:v>
      </x:c>
      <x:c r="C395" s="28" t="str">
        <x:v>Grupo Industrial S.A.</x:v>
      </x:c>
      <x:c r="D395" s="28" t="str">
        <x:v>Planta São Paulo</x:v>
      </x:c>
      <x:c r="E395" s="28" t="str">
        <x:v>Construbem</x:v>
      </x:c>
      <x:c r="F395" s="28" t="str">
        <x:v>Sudeste</x:v>
      </x:c>
      <x:c r="G395" s="28" t="str">
        <x:v>NovaLog</x:v>
      </x:c>
      <x:c r="H395" s="28" t="str">
        <x:v>SP-Nordeste</x:v>
      </x:c>
      <x:c r="I395" s="34" t="n">
        <x:v>45519</x:v>
      </x:c>
      <x:c r="J395" s="34" t="n">
        <x:v>45519</x:v>
      </x:c>
      <x:c r="K395" s="32" t="n">
        <x:v>2185</x:v>
      </x:c>
      <x:c r="L395" s="32" t="n">
        <x:v>1822</x:v>
      </x:c>
      <x:c r="M395" s="30" t="n">
        <x:v>170430</x:v>
      </x:c>
      <x:c r="N395" s="28" t="str">
        <x:v>Incompleto</x:v>
      </x:c>
      <x:c r="O395" s="28" t="str">
        <x:v>Falta de produto</x:v>
      </x:c>
      <x:c r="P395" s="30" t="n">
        <x:v>170430</x:v>
      </x:c>
    </x:row>
    <x:row r="396">
      <x:c r="A396" s="28" t="str">
        <x:v>PED-48395</x:v>
      </x:c>
      <x:c r="B396" s="34" t="n">
        <x:v>45505</x:v>
      </x:c>
      <x:c r="C396" s="28" t="str">
        <x:v>Grupo Industrial S.A.</x:v>
      </x:c>
      <x:c r="D396" s="28" t="str">
        <x:v>Planta São Paulo</x:v>
      </x:c>
      <x:c r="E396" s="28" t="str">
        <x:v>Alimentos SA</x:v>
      </x:c>
      <x:c r="F396" s="28" t="str">
        <x:v>Sudeste</x:v>
      </x:c>
      <x:c r="G396" s="28" t="str">
        <x:v>NovaLog</x:v>
      </x:c>
      <x:c r="H396" s="28" t="str">
        <x:v>SP-Nordeste</x:v>
      </x:c>
      <x:c r="I396" s="34" t="n">
        <x:v>45522</x:v>
      </x:c>
      <x:c r="J396" s="34" t="n">
        <x:v>45522</x:v>
      </x:c>
      <x:c r="K396" s="32" t="n">
        <x:v>1936</x:v>
      </x:c>
      <x:c r="L396" s="32" t="n">
        <x:v>1936</x:v>
      </x:c>
      <x:c r="M396" s="30" t="n">
        <x:v>178112</x:v>
      </x:c>
      <x:c r="N396" s="28" t="str">
        <x:v>OTIF</x:v>
      </x:c>
      <x:c r="O396" s="28" t="str">
        <x:v>Janela perdida no cliente</x:v>
      </x:c>
      <x:c r="P396" s="30" t="n">
        <x:v>0</x:v>
      </x:c>
    </x:row>
    <x:row r="397">
      <x:c r="A397" s="28" t="str">
        <x:v>PED-48396</x:v>
      </x:c>
      <x:c r="B397" s="34" t="n">
        <x:v>45505</x:v>
      </x:c>
      <x:c r="C397" s="28" t="str">
        <x:v>Grupo Industrial S.A.</x:v>
      </x:c>
      <x:c r="D397" s="28" t="str">
        <x:v>Planta São Paulo</x:v>
      </x:c>
      <x:c r="E397" s="28" t="str">
        <x:v>Farma Vida</x:v>
      </x:c>
      <x:c r="F397" s="28" t="str">
        <x:v>Sudeste</x:v>
      </x:c>
      <x:c r="G397" s="28" t="str">
        <x:v>NovaLog</x:v>
      </x:c>
      <x:c r="H397" s="28" t="str">
        <x:v>SP-Nordeste</x:v>
      </x:c>
      <x:c r="I397" s="34" t="n">
        <x:v>45525</x:v>
      </x:c>
      <x:c r="J397" s="34" t="n">
        <x:v>45526</x:v>
      </x:c>
      <x:c r="K397" s="32" t="n">
        <x:v>1743</x:v>
      </x:c>
      <x:c r="L397" s="32" t="n">
        <x:v>1743</x:v>
      </x:c>
      <x:c r="M397" s="30" t="n">
        <x:v>125496</x:v>
      </x:c>
      <x:c r="N397" s="28" t="str">
        <x:v>Em atraso</x:v>
      </x:c>
      <x:c r="O397" s="28" t="str">
        <x:v>Atraso transportadora</x:v>
      </x:c>
      <x:c r="P397" s="30" t="n">
        <x:v>125496</x:v>
      </x:c>
    </x:row>
    <x:row r="398">
      <x:c r="A398" s="28" t="str">
        <x:v>PED-48397</x:v>
      </x:c>
      <x:c r="B398" s="34" t="n">
        <x:v>45505</x:v>
      </x:c>
      <x:c r="C398" s="28" t="str">
        <x:v>Grupo Industrial S.A.</x:v>
      </x:c>
      <x:c r="D398" s="28" t="str">
        <x:v>Planta Campinas</x:v>
      </x:c>
      <x:c r="E398" s="28" t="str">
        <x:v>Construbem</x:v>
      </x:c>
      <x:c r="F398" s="28" t="str">
        <x:v>Sudeste</x:v>
      </x:c>
      <x:c r="G398" s="28" t="str">
        <x:v>TransDados</x:v>
      </x:c>
      <x:c r="H398" s="28" t="str">
        <x:v>Campinas-Sudeste</x:v>
      </x:c>
      <x:c r="I398" s="34" t="n">
        <x:v>45510</x:v>
      </x:c>
      <x:c r="J398" s="34" t="n">
        <x:v>45511</x:v>
      </x:c>
      <x:c r="K398" s="32" t="n">
        <x:v>1170</x:v>
      </x:c>
      <x:c r="L398" s="32" t="n">
        <x:v>1170</x:v>
      </x:c>
      <x:c r="M398" s="30" t="n">
        <x:v>84240</x:v>
      </x:c>
      <x:c r="N398" s="28" t="str">
        <x:v>Em atraso</x:v>
      </x:c>
      <x:c r="O398" s="28" t="str">
        <x:v>Atraso transportadora</x:v>
      </x:c>
      <x:c r="P398" s="30" t="n">
        <x:v>84240</x:v>
      </x:c>
    </x:row>
    <x:row r="399">
      <x:c r="A399" s="28" t="str">
        <x:v>PED-48398</x:v>
      </x:c>
      <x:c r="B399" s="34" t="n">
        <x:v>45505</x:v>
      </x:c>
      <x:c r="C399" s="28" t="str">
        <x:v>Grupo Industrial S.A.</x:v>
      </x:c>
      <x:c r="D399" s="28" t="str">
        <x:v>Planta Campinas</x:v>
      </x:c>
      <x:c r="E399" s="28" t="str">
        <x:v>Alimentos SA</x:v>
      </x:c>
      <x:c r="F399" s="28" t="str">
        <x:v>Sudeste</x:v>
      </x:c>
      <x:c r="G399" s="28" t="str">
        <x:v>TransDados</x:v>
      </x:c>
      <x:c r="H399" s="28" t="str">
        <x:v>Campinas-Sudeste</x:v>
      </x:c>
      <x:c r="I399" s="34" t="n">
        <x:v>45513</x:v>
      </x:c>
      <x:c r="J399" s="34" t="n">
        <x:v>45513</x:v>
      </x:c>
      <x:c r="K399" s="32" t="n">
        <x:v>1504</x:v>
      </x:c>
      <x:c r="L399" s="32" t="n">
        <x:v>1504</x:v>
      </x:c>
      <x:c r="M399" s="30" t="n">
        <x:v>108288</x:v>
      </x:c>
      <x:c r="N399" s="28" t="str">
        <x:v>OTIF</x:v>
      </x:c>
      <x:c r="O399" s="28" t="str">
        <x:v>Janela perdida no cliente</x:v>
      </x:c>
      <x:c r="P399" s="30" t="n">
        <x:v>0</x:v>
      </x:c>
    </x:row>
    <x:row r="400">
      <x:c r="A400" s="28" t="str">
        <x:v>PED-48399</x:v>
      </x:c>
      <x:c r="B400" s="34" t="n">
        <x:v>45505</x:v>
      </x:c>
      <x:c r="C400" s="28" t="str">
        <x:v>Grupo Industrial S.A.</x:v>
      </x:c>
      <x:c r="D400" s="28" t="str">
        <x:v>Planta Campinas</x:v>
      </x:c>
      <x:c r="E400" s="28" t="str">
        <x:v>Farma Vida</x:v>
      </x:c>
      <x:c r="F400" s="28" t="str">
        <x:v>Sudeste</x:v>
      </x:c>
      <x:c r="G400" s="28" t="str">
        <x:v>TransDados</x:v>
      </x:c>
      <x:c r="H400" s="28" t="str">
        <x:v>Campinas-Sudeste</x:v>
      </x:c>
      <x:c r="I400" s="34" t="n">
        <x:v>45516</x:v>
      </x:c>
      <x:c r="J400" s="34" t="n">
        <x:v>45516</x:v>
      </x:c>
      <x:c r="K400" s="32" t="n">
        <x:v>784</x:v>
      </x:c>
      <x:c r="L400" s="32" t="n">
        <x:v>751</x:v>
      </x:c>
      <x:c r="M400" s="30" t="n">
        <x:v>61152</x:v>
      </x:c>
      <x:c r="N400" s="28" t="str">
        <x:v>Incompleto</x:v>
      </x:c>
      <x:c r="O400" s="28" t="str">
        <x:v>Falta de produto</x:v>
      </x:c>
      <x:c r="P400" s="30" t="n">
        <x:v>61152</x:v>
      </x:c>
    </x:row>
    <x:row r="401">
      <x:c r="A401" s="28" t="str">
        <x:v>PED-48400</x:v>
      </x:c>
      <x:c r="B401" s="34" t="n">
        <x:v>45505</x:v>
      </x:c>
      <x:c r="C401" s="28" t="str">
        <x:v>Grupo Industrial S.A.</x:v>
      </x:c>
      <x:c r="D401" s="28" t="str">
        <x:v>Planta Campinas</x:v>
      </x:c>
      <x:c r="E401" s="28" t="str">
        <x:v>AutoPeças BR</x:v>
      </x:c>
      <x:c r="F401" s="28" t="str">
        <x:v>Sudeste</x:v>
      </x:c>
      <x:c r="G401" s="28" t="str">
        <x:v>TransDados</x:v>
      </x:c>
      <x:c r="H401" s="28" t="str">
        <x:v>Campinas-Sudeste</x:v>
      </x:c>
      <x:c r="I401" s="34" t="n">
        <x:v>45519</x:v>
      </x:c>
      <x:c r="J401" s="34" t="n">
        <x:v>45522</x:v>
      </x:c>
      <x:c r="K401" s="32" t="n">
        <x:v>751</x:v>
      </x:c>
      <x:c r="L401" s="32" t="n">
        <x:v>751</x:v>
      </x:c>
      <x:c r="M401" s="30" t="n">
        <x:v>58578</x:v>
      </x:c>
      <x:c r="N401" s="28" t="str">
        <x:v>Em atraso</x:v>
      </x:c>
      <x:c r="O401" s="28" t="str">
        <x:v>Atraso transportadora</x:v>
      </x:c>
      <x:c r="P401" s="30" t="n">
        <x:v>58578</x:v>
      </x:c>
    </x:row>
    <x:row r="402">
      <x:c r="A402" s="28" t="str">
        <x:v>PED-48401</x:v>
      </x:c>
      <x:c r="B402" s="34" t="n">
        <x:v>45505</x:v>
      </x:c>
      <x:c r="C402" s="28" t="str">
        <x:v>Grupo Industrial S.A.</x:v>
      </x:c>
      <x:c r="D402" s="28" t="str">
        <x:v>Planta Campinas</x:v>
      </x:c>
      <x:c r="E402" s="28" t="str">
        <x:v>Construbem</x:v>
      </x:c>
      <x:c r="F402" s="28" t="str">
        <x:v>Sudeste</x:v>
      </x:c>
      <x:c r="G402" s="28" t="str">
        <x:v>TransDados</x:v>
      </x:c>
      <x:c r="H402" s="28" t="str">
        <x:v>Campinas-Sudeste</x:v>
      </x:c>
      <x:c r="I402" s="34" t="n">
        <x:v>45522</x:v>
      </x:c>
      <x:c r="J402" s="34" t="n">
        <x:v>45523</x:v>
      </x:c>
      <x:c r="K402" s="32" t="n">
        <x:v>1389</x:v>
      </x:c>
      <x:c r="L402" s="32" t="n">
        <x:v>1389</x:v>
      </x:c>
      <x:c r="M402" s="30" t="n">
        <x:v>127788</x:v>
      </x:c>
      <x:c r="N402" s="28" t="str">
        <x:v>Em atraso</x:v>
      </x:c>
      <x:c r="O402" s="28" t="str">
        <x:v>Janela perdida no cliente</x:v>
      </x:c>
      <x:c r="P402" s="30" t="n">
        <x:v>127788</x:v>
      </x:c>
    </x:row>
    <x:row r="403">
      <x:c r="A403" s="28" t="str">
        <x:v>PED-48402</x:v>
      </x:c>
      <x:c r="B403" s="34" t="n">
        <x:v>45505</x:v>
      </x:c>
      <x:c r="C403" s="28" t="str">
        <x:v>Grupo Industrial S.A.</x:v>
      </x:c>
      <x:c r="D403" s="28" t="str">
        <x:v>Planta Campinas</x:v>
      </x:c>
      <x:c r="E403" s="28" t="str">
        <x:v>Alimentos SA</x:v>
      </x:c>
      <x:c r="F403" s="28" t="str">
        <x:v>Sudeste</x:v>
      </x:c>
      <x:c r="G403" s="28" t="str">
        <x:v>TransDados</x:v>
      </x:c>
      <x:c r="H403" s="28" t="str">
        <x:v>Campinas-Sudeste</x:v>
      </x:c>
      <x:c r="I403" s="34" t="n">
        <x:v>45525</x:v>
      </x:c>
      <x:c r="J403" s="34" t="n">
        <x:v>45525</x:v>
      </x:c>
      <x:c r="K403" s="32" t="n">
        <x:v>1498</x:v>
      </x:c>
      <x:c r="L403" s="32" t="n">
        <x:v>1244</x:v>
      </x:c>
      <x:c r="M403" s="30" t="n">
        <x:v>137816</x:v>
      </x:c>
      <x:c r="N403" s="28" t="str">
        <x:v>Incompleto</x:v>
      </x:c>
      <x:c r="O403" s="28" t="str">
        <x:v>Falta de produto</x:v>
      </x:c>
      <x:c r="P403" s="30" t="n">
        <x:v>137816</x:v>
      </x:c>
    </x:row>
    <x:row r="404">
      <x:c r="A404" s="28" t="str">
        <x:v>PED-48403</x:v>
      </x:c>
      <x:c r="B404" s="34" t="n">
        <x:v>45505</x:v>
      </x:c>
      <x:c r="C404" s="28" t="str">
        <x:v>Grupo Industrial S.A.</x:v>
      </x:c>
      <x:c r="D404" s="28" t="str">
        <x:v>Planta Campinas</x:v>
      </x:c>
      <x:c r="E404" s="28" t="str">
        <x:v>AutoPeças BR</x:v>
      </x:c>
      <x:c r="F404" s="28" t="str">
        <x:v>Sudeste</x:v>
      </x:c>
      <x:c r="G404" s="28" t="str">
        <x:v>RápidoSul</x:v>
      </x:c>
      <x:c r="H404" s="28" t="str">
        <x:v>Campinas-Norte</x:v>
      </x:c>
      <x:c r="I404" s="34" t="n">
        <x:v>45510</x:v>
      </x:c>
      <x:c r="J404" s="34" t="n">
        <x:v>45511</x:v>
      </x:c>
      <x:c r="K404" s="32" t="n">
        <x:v>987</x:v>
      </x:c>
      <x:c r="L404" s="32" t="n">
        <x:v>863</x:v>
      </x:c>
      <x:c r="M404" s="30" t="n">
        <x:v>76986</x:v>
      </x:c>
      <x:c r="N404" s="28" t="str">
        <x:v>Em atraso</x:v>
      </x:c>
      <x:c r="O404" s="28" t="str">
        <x:v>Falta de produto</x:v>
      </x:c>
      <x:c r="P404" s="30" t="n">
        <x:v>76986</x:v>
      </x:c>
    </x:row>
    <x:row r="405">
      <x:c r="A405" s="28" t="str">
        <x:v>PED-48404</x:v>
      </x:c>
      <x:c r="B405" s="34" t="n">
        <x:v>45505</x:v>
      </x:c>
      <x:c r="C405" s="28" t="str">
        <x:v>Grupo Industrial S.A.</x:v>
      </x:c>
      <x:c r="D405" s="28" t="str">
        <x:v>Planta Campinas</x:v>
      </x:c>
      <x:c r="E405" s="28" t="str">
        <x:v>Construbem</x:v>
      </x:c>
      <x:c r="F405" s="28" t="str">
        <x:v>Sudeste</x:v>
      </x:c>
      <x:c r="G405" s="28" t="str">
        <x:v>RápidoSul</x:v>
      </x:c>
      <x:c r="H405" s="28" t="str">
        <x:v>Campinas-Norte</x:v>
      </x:c>
      <x:c r="I405" s="34" t="n">
        <x:v>45513</x:v>
      </x:c>
      <x:c r="J405" s="34" t="n">
        <x:v>45514</x:v>
      </x:c>
      <x:c r="K405" s="32" t="n">
        <x:v>1480</x:v>
      </x:c>
      <x:c r="L405" s="32" t="n">
        <x:v>1314</x:v>
      </x:c>
      <x:c r="M405" s="30" t="n">
        <x:v>124320</x:v>
      </x:c>
      <x:c r="N405" s="28" t="str">
        <x:v>Em atraso</x:v>
      </x:c>
      <x:c r="O405" s="28" t="str">
        <x:v>Atraso transportadora</x:v>
      </x:c>
      <x:c r="P405" s="30" t="n">
        <x:v>124320</x:v>
      </x:c>
    </x:row>
    <x:row r="406">
      <x:c r="A406" s="28" t="str">
        <x:v>PED-48405</x:v>
      </x:c>
      <x:c r="B406" s="34" t="n">
        <x:v>45505</x:v>
      </x:c>
      <x:c r="C406" s="28" t="str">
        <x:v>Grupo Industrial S.A.</x:v>
      </x:c>
      <x:c r="D406" s="28" t="str">
        <x:v>Planta Campinas</x:v>
      </x:c>
      <x:c r="E406" s="28" t="str">
        <x:v>Alimentos SA</x:v>
      </x:c>
      <x:c r="F406" s="28" t="str">
        <x:v>Sudeste</x:v>
      </x:c>
      <x:c r="G406" s="28" t="str">
        <x:v>RápidoSul</x:v>
      </x:c>
      <x:c r="H406" s="28" t="str">
        <x:v>Campinas-Norte</x:v>
      </x:c>
      <x:c r="I406" s="34" t="n">
        <x:v>45516</x:v>
      </x:c>
      <x:c r="J406" s="34" t="n">
        <x:v>45518</x:v>
      </x:c>
      <x:c r="K406" s="32" t="n">
        <x:v>1641</x:v>
      </x:c>
      <x:c r="L406" s="32" t="n">
        <x:v>1641</x:v>
      </x:c>
      <x:c r="M406" s="30" t="n">
        <x:v>127998</x:v>
      </x:c>
      <x:c r="N406" s="28" t="str">
        <x:v>Em atraso</x:v>
      </x:c>
      <x:c r="O406" s="28" t="str">
        <x:v>Atraso transportadora</x:v>
      </x:c>
      <x:c r="P406" s="30" t="n">
        <x:v>127998</x:v>
      </x:c>
    </x:row>
    <x:row r="407">
      <x:c r="A407" s="28" t="str">
        <x:v>PED-48406</x:v>
      </x:c>
      <x:c r="B407" s="34" t="n">
        <x:v>45505</x:v>
      </x:c>
      <x:c r="C407" s="28" t="str">
        <x:v>Grupo Industrial S.A.</x:v>
      </x:c>
      <x:c r="D407" s="28" t="str">
        <x:v>Planta Campinas</x:v>
      </x:c>
      <x:c r="E407" s="28" t="str">
        <x:v>Farma Vida</x:v>
      </x:c>
      <x:c r="F407" s="28" t="str">
        <x:v>Sudeste</x:v>
      </x:c>
      <x:c r="G407" s="28" t="str">
        <x:v>RápidoSul</x:v>
      </x:c>
      <x:c r="H407" s="28" t="str">
        <x:v>Campinas-Norte</x:v>
      </x:c>
      <x:c r="I407" s="34" t="n">
        <x:v>45519</x:v>
      </x:c>
      <x:c r="J407" s="34" t="n">
        <x:v>45522</x:v>
      </x:c>
      <x:c r="K407" s="32" t="n">
        <x:v>2116</x:v>
      </x:c>
      <x:c r="L407" s="32" t="n">
        <x:v>2116</x:v>
      </x:c>
      <x:c r="M407" s="30" t="n">
        <x:v>152352</x:v>
      </x:c>
      <x:c r="N407" s="28" t="str">
        <x:v>Em atraso</x:v>
      </x:c>
      <x:c r="O407" s="28" t="str">
        <x:v>Janela perdida no cliente</x:v>
      </x:c>
      <x:c r="P407" s="30" t="n">
        <x:v>152352</x:v>
      </x:c>
    </x:row>
    <x:row r="408">
      <x:c r="A408" s="28" t="str">
        <x:v>PED-48407</x:v>
      </x:c>
      <x:c r="B408" s="34" t="n">
        <x:v>45505</x:v>
      </x:c>
      <x:c r="C408" s="28" t="str">
        <x:v>Grupo Industrial S.A.</x:v>
      </x:c>
      <x:c r="D408" s="28" t="str">
        <x:v>Planta Campinas</x:v>
      </x:c>
      <x:c r="E408" s="28" t="str">
        <x:v>AutoPeças BR</x:v>
      </x:c>
      <x:c r="F408" s="28" t="str">
        <x:v>Sudeste</x:v>
      </x:c>
      <x:c r="G408" s="28" t="str">
        <x:v>RápidoSul</x:v>
      </x:c>
      <x:c r="H408" s="28" t="str">
        <x:v>Campinas-Norte</x:v>
      </x:c>
      <x:c r="I408" s="34" t="n">
        <x:v>45522</x:v>
      </x:c>
      <x:c r="J408" s="34" t="n">
        <x:v>45522</x:v>
      </x:c>
      <x:c r="K408" s="32" t="n">
        <x:v>870</x:v>
      </x:c>
      <x:c r="L408" s="32" t="n">
        <x:v>870</x:v>
      </x:c>
      <x:c r="M408" s="30" t="n">
        <x:v>67860</x:v>
      </x:c>
      <x:c r="N408" s="28" t="str">
        <x:v>OTIF</x:v>
      </x:c>
      <x:c r="O408" s="28" t="str">
        <x:v>Janela perdida no cliente</x:v>
      </x:c>
      <x:c r="P408" s="30" t="n">
        <x:v>0</x:v>
      </x:c>
    </x:row>
    <x:row r="409">
      <x:c r="A409" s="28" t="str">
        <x:v>PED-48408</x:v>
      </x:c>
      <x:c r="B409" s="34" t="n">
        <x:v>45505</x:v>
      </x:c>
      <x:c r="C409" s="28" t="str">
        <x:v>Grupo Industrial S.A.</x:v>
      </x:c>
      <x:c r="D409" s="28" t="str">
        <x:v>Planta Campinas</x:v>
      </x:c>
      <x:c r="E409" s="28" t="str">
        <x:v>Construbem</x:v>
      </x:c>
      <x:c r="F409" s="28" t="str">
        <x:v>Sudeste</x:v>
      </x:c>
      <x:c r="G409" s="28" t="str">
        <x:v>RápidoSul</x:v>
      </x:c>
      <x:c r="H409" s="28" t="str">
        <x:v>Campinas-Norte</x:v>
      </x:c>
      <x:c r="I409" s="34" t="n">
        <x:v>45525</x:v>
      </x:c>
      <x:c r="J409" s="34" t="n">
        <x:v>45529</x:v>
      </x:c>
      <x:c r="K409" s="32" t="n">
        <x:v>1945</x:v>
      </x:c>
      <x:c r="L409" s="32" t="n">
        <x:v>1945</x:v>
      </x:c>
      <x:c r="M409" s="30" t="n">
        <x:v>178940</x:v>
      </x:c>
      <x:c r="N409" s="28" t="str">
        <x:v>Em atraso</x:v>
      </x:c>
      <x:c r="O409" s="28" t="str">
        <x:v>Atraso transportadora</x:v>
      </x:c>
      <x:c r="P409" s="30" t="n">
        <x:v>178940</x:v>
      </x:c>
    </x:row>
    <x:row r="410">
      <x:c r="A410" s="28" t="str">
        <x:v>PED-48409</x:v>
      </x:c>
      <x:c r="B410" s="34" t="n">
        <x:v>45505</x:v>
      </x:c>
      <x:c r="C410" s="28" t="str">
        <x:v>Grupo Industrial S.A.</x:v>
      </x:c>
      <x:c r="D410" s="28" t="str">
        <x:v>Planta Campinas</x:v>
      </x:c>
      <x:c r="E410" s="28" t="str">
        <x:v>Farma Vida</x:v>
      </x:c>
      <x:c r="F410" s="28" t="str">
        <x:v>Sudeste</x:v>
      </x:c>
      <x:c r="G410" s="28" t="str">
        <x:v>NovaLog</x:v>
      </x:c>
      <x:c r="H410" s="28" t="str">
        <x:v>Campinas-Nordeste</x:v>
      </x:c>
      <x:c r="I410" s="34" t="n">
        <x:v>45510</x:v>
      </x:c>
      <x:c r="J410" s="34" t="n">
        <x:v>45511</x:v>
      </x:c>
      <x:c r="K410" s="32" t="n">
        <x:v>1241</x:v>
      </x:c>
      <x:c r="L410" s="32" t="n">
        <x:v>1241</x:v>
      </x:c>
      <x:c r="M410" s="30" t="n">
        <x:v>89352</x:v>
      </x:c>
      <x:c r="N410" s="28" t="str">
        <x:v>Em atraso</x:v>
      </x:c>
      <x:c r="O410" s="28" t="str">
        <x:v>Atraso transportadora</x:v>
      </x:c>
      <x:c r="P410" s="30" t="n">
        <x:v>89352</x:v>
      </x:c>
    </x:row>
    <x:row r="411">
      <x:c r="A411" s="28" t="str">
        <x:v>PED-48410</x:v>
      </x:c>
      <x:c r="B411" s="34" t="n">
        <x:v>45505</x:v>
      </x:c>
      <x:c r="C411" s="28" t="str">
        <x:v>Grupo Industrial S.A.</x:v>
      </x:c>
      <x:c r="D411" s="28" t="str">
        <x:v>Planta Campinas</x:v>
      </x:c>
      <x:c r="E411" s="28" t="str">
        <x:v>AutoPeças BR</x:v>
      </x:c>
      <x:c r="F411" s="28" t="str">
        <x:v>Sudeste</x:v>
      </x:c>
      <x:c r="G411" s="28" t="str">
        <x:v>NovaLog</x:v>
      </x:c>
      <x:c r="H411" s="28" t="str">
        <x:v>Campinas-Nordeste</x:v>
      </x:c>
      <x:c r="I411" s="34" t="n">
        <x:v>45513</x:v>
      </x:c>
      <x:c r="J411" s="34" t="n">
        <x:v>45515</x:v>
      </x:c>
      <x:c r="K411" s="32" t="n">
        <x:v>755</x:v>
      </x:c>
      <x:c r="L411" s="32" t="n">
        <x:v>755</x:v>
      </x:c>
      <x:c r="M411" s="30" t="n">
        <x:v>69460</x:v>
      </x:c>
      <x:c r="N411" s="28" t="str">
        <x:v>Em atraso</x:v>
      </x:c>
      <x:c r="O411" s="28" t="str">
        <x:v>Atraso transportadora</x:v>
      </x:c>
      <x:c r="P411" s="30" t="n">
        <x:v>69460</x:v>
      </x:c>
    </x:row>
    <x:row r="412">
      <x:c r="A412" s="28" t="str">
        <x:v>PED-48411</x:v>
      </x:c>
      <x:c r="B412" s="34" t="n">
        <x:v>45505</x:v>
      </x:c>
      <x:c r="C412" s="28" t="str">
        <x:v>Grupo Industrial S.A.</x:v>
      </x:c>
      <x:c r="D412" s="28" t="str">
        <x:v>Planta Campinas</x:v>
      </x:c>
      <x:c r="E412" s="28" t="str">
        <x:v>Construbem</x:v>
      </x:c>
      <x:c r="F412" s="28" t="str">
        <x:v>Sudeste</x:v>
      </x:c>
      <x:c r="G412" s="28" t="str">
        <x:v>NovaLog</x:v>
      </x:c>
      <x:c r="H412" s="28" t="str">
        <x:v>Campinas-Nordeste</x:v>
      </x:c>
      <x:c r="I412" s="34" t="n">
        <x:v>45516</x:v>
      </x:c>
      <x:c r="J412" s="34" t="n">
        <x:v>45517</x:v>
      </x:c>
      <x:c r="K412" s="32" t="n">
        <x:v>2052</x:v>
      </x:c>
      <x:c r="L412" s="32" t="n">
        <x:v>2052</x:v>
      </x:c>
      <x:c r="M412" s="30" t="n">
        <x:v>160056</x:v>
      </x:c>
      <x:c r="N412" s="28" t="str">
        <x:v>Em atraso</x:v>
      </x:c>
      <x:c r="O412" s="28" t="str">
        <x:v>Atraso transportadora</x:v>
      </x:c>
      <x:c r="P412" s="30" t="n">
        <x:v>160056</x:v>
      </x:c>
    </x:row>
    <x:row r="413">
      <x:c r="A413" s="28" t="str">
        <x:v>PED-48412</x:v>
      </x:c>
      <x:c r="B413" s="34" t="n">
        <x:v>45505</x:v>
      </x:c>
      <x:c r="C413" s="28" t="str">
        <x:v>Grupo Industrial S.A.</x:v>
      </x:c>
      <x:c r="D413" s="28" t="str">
        <x:v>Planta Campinas</x:v>
      </x:c>
      <x:c r="E413" s="28" t="str">
        <x:v>Alimentos SA</x:v>
      </x:c>
      <x:c r="F413" s="28" t="str">
        <x:v>Sudeste</x:v>
      </x:c>
      <x:c r="G413" s="28" t="str">
        <x:v>NovaLog</x:v>
      </x:c>
      <x:c r="H413" s="28" t="str">
        <x:v>Campinas-Nordeste</x:v>
      </x:c>
      <x:c r="I413" s="34" t="n">
        <x:v>45519</x:v>
      </x:c>
      <x:c r="J413" s="34" t="n">
        <x:v>45521</x:v>
      </x:c>
      <x:c r="K413" s="32" t="n">
        <x:v>934</x:v>
      </x:c>
      <x:c r="L413" s="32" t="n">
        <x:v>837</x:v>
      </x:c>
      <x:c r="M413" s="30" t="n">
        <x:v>78456</x:v>
      </x:c>
      <x:c r="N413" s="28" t="str">
        <x:v>Em atraso</x:v>
      </x:c>
      <x:c r="O413" s="28" t="str">
        <x:v>Atraso transportadora</x:v>
      </x:c>
      <x:c r="P413" s="30" t="n">
        <x:v>78456</x:v>
      </x:c>
    </x:row>
    <x:row r="414">
      <x:c r="A414" s="28" t="str">
        <x:v>PED-48413</x:v>
      </x:c>
      <x:c r="B414" s="34" t="n">
        <x:v>45505</x:v>
      </x:c>
      <x:c r="C414" s="28" t="str">
        <x:v>Grupo Industrial S.A.</x:v>
      </x:c>
      <x:c r="D414" s="28" t="str">
        <x:v>Planta Campinas</x:v>
      </x:c>
      <x:c r="E414" s="28" t="str">
        <x:v>Farma Vida</x:v>
      </x:c>
      <x:c r="F414" s="28" t="str">
        <x:v>Sudeste</x:v>
      </x:c>
      <x:c r="G414" s="28" t="str">
        <x:v>NovaLog</x:v>
      </x:c>
      <x:c r="H414" s="28" t="str">
        <x:v>Campinas-Nordeste</x:v>
      </x:c>
      <x:c r="I414" s="34" t="n">
        <x:v>45522</x:v>
      </x:c>
      <x:c r="J414" s="34" t="n">
        <x:v>45524</x:v>
      </x:c>
      <x:c r="K414" s="32" t="n">
        <x:v>1267</x:v>
      </x:c>
      <x:c r="L414" s="32" t="n">
        <x:v>1267</x:v>
      </x:c>
      <x:c r="M414" s="30" t="n">
        <x:v>98826</x:v>
      </x:c>
      <x:c r="N414" s="28" t="str">
        <x:v>Em atraso</x:v>
      </x:c>
      <x:c r="O414" s="28" t="str">
        <x:v>Janela perdida no cliente</x:v>
      </x:c>
      <x:c r="P414" s="30" t="n">
        <x:v>98826</x:v>
      </x:c>
    </x:row>
    <x:row r="415">
      <x:c r="A415" s="28" t="str">
        <x:v>PED-48414</x:v>
      </x:c>
      <x:c r="B415" s="34" t="n">
        <x:v>45505</x:v>
      </x:c>
      <x:c r="C415" s="28" t="str">
        <x:v>Grupo Industrial S.A.</x:v>
      </x:c>
      <x:c r="D415" s="28" t="str">
        <x:v>Planta Campinas</x:v>
      </x:c>
      <x:c r="E415" s="28" t="str">
        <x:v>AutoPeças BR</x:v>
      </x:c>
      <x:c r="F415" s="28" t="str">
        <x:v>Sudeste</x:v>
      </x:c>
      <x:c r="G415" s="28" t="str">
        <x:v>NovaLog</x:v>
      </x:c>
      <x:c r="H415" s="28" t="str">
        <x:v>Campinas-Nordeste</x:v>
      </x:c>
      <x:c r="I415" s="34" t="n">
        <x:v>45525</x:v>
      </x:c>
      <x:c r="J415" s="34" t="n">
        <x:v>45529</x:v>
      </x:c>
      <x:c r="K415" s="32" t="n">
        <x:v>1761</x:v>
      </x:c>
      <x:c r="L415" s="32" t="n">
        <x:v>1761</x:v>
      </x:c>
      <x:c r="M415" s="30" t="n">
        <x:v>137358</x:v>
      </x:c>
      <x:c r="N415" s="28" t="str">
        <x:v>Em atraso</x:v>
      </x:c>
      <x:c r="O415" s="28" t="str">
        <x:v>Janela perdida no cliente</x:v>
      </x:c>
      <x:c r="P415" s="30" t="n">
        <x:v>137358</x:v>
      </x:c>
    </x:row>
    <x:row r="416">
      <x:c r="A416" s="28" t="str">
        <x:v>PED-48415</x:v>
      </x:c>
      <x:c r="B416" s="34" t="n">
        <x:v>45505</x:v>
      </x:c>
      <x:c r="C416" s="28" t="str">
        <x:v>Grupo Industrial S.A.</x:v>
      </x:c>
      <x:c r="D416" s="28" t="str">
        <x:v>Planta Curitiba</x:v>
      </x:c>
      <x:c r="E416" s="28" t="str">
        <x:v>Alimentos SA</x:v>
      </x:c>
      <x:c r="F416" s="28" t="str">
        <x:v>Sul</x:v>
      </x:c>
      <x:c r="G416" s="28" t="str">
        <x:v>TransDados</x:v>
      </x:c>
      <x:c r="H416" s="28" t="str">
        <x:v>Curitiba-Sul</x:v>
      </x:c>
      <x:c r="I416" s="34" t="n">
        <x:v>45510</x:v>
      </x:c>
      <x:c r="J416" s="34" t="n">
        <x:v>45512</x:v>
      </x:c>
      <x:c r="K416" s="32" t="n">
        <x:v>1898</x:v>
      </x:c>
      <x:c r="L416" s="32" t="n">
        <x:v>1898</x:v>
      </x:c>
      <x:c r="M416" s="30" t="n">
        <x:v>136656</x:v>
      </x:c>
      <x:c r="N416" s="28" t="str">
        <x:v>Em atraso</x:v>
      </x:c>
      <x:c r="O416" s="28" t="str">
        <x:v>Janela perdida no cliente</x:v>
      </x:c>
      <x:c r="P416" s="30" t="n">
        <x:v>136656</x:v>
      </x:c>
    </x:row>
    <x:row r="417">
      <x:c r="A417" s="28" t="str">
        <x:v>PED-48416</x:v>
      </x:c>
      <x:c r="B417" s="34" t="n">
        <x:v>45505</x:v>
      </x:c>
      <x:c r="C417" s="28" t="str">
        <x:v>Grupo Industrial S.A.</x:v>
      </x:c>
      <x:c r="D417" s="28" t="str">
        <x:v>Planta Curitiba</x:v>
      </x:c>
      <x:c r="E417" s="28" t="str">
        <x:v>Farma Vida</x:v>
      </x:c>
      <x:c r="F417" s="28" t="str">
        <x:v>Sul</x:v>
      </x:c>
      <x:c r="G417" s="28" t="str">
        <x:v>TransDados</x:v>
      </x:c>
      <x:c r="H417" s="28" t="str">
        <x:v>Curitiba-Sul</x:v>
      </x:c>
      <x:c r="I417" s="34" t="n">
        <x:v>45513</x:v>
      </x:c>
      <x:c r="J417" s="34" t="n">
        <x:v>45515</x:v>
      </x:c>
      <x:c r="K417" s="32" t="n">
        <x:v>2136</x:v>
      </x:c>
      <x:c r="L417" s="32" t="n">
        <x:v>2136</x:v>
      </x:c>
      <x:c r="M417" s="30" t="n">
        <x:v>196512</x:v>
      </x:c>
      <x:c r="N417" s="28" t="str">
        <x:v>Em atraso</x:v>
      </x:c>
      <x:c r="O417" s="28" t="str">
        <x:v>Atraso transportadora</x:v>
      </x:c>
      <x:c r="P417" s="30" t="n">
        <x:v>196512</x:v>
      </x:c>
    </x:row>
    <x:row r="418">
      <x:c r="A418" s="28" t="str">
        <x:v>PED-48417</x:v>
      </x:c>
      <x:c r="B418" s="34" t="n">
        <x:v>45505</x:v>
      </x:c>
      <x:c r="C418" s="28" t="str">
        <x:v>Grupo Industrial S.A.</x:v>
      </x:c>
      <x:c r="D418" s="28" t="str">
        <x:v>Planta Curitiba</x:v>
      </x:c>
      <x:c r="E418" s="28" t="str">
        <x:v>AutoPeças BR</x:v>
      </x:c>
      <x:c r="F418" s="28" t="str">
        <x:v>Sul</x:v>
      </x:c>
      <x:c r="G418" s="28" t="str">
        <x:v>TransDados</x:v>
      </x:c>
      <x:c r="H418" s="28" t="str">
        <x:v>Curitiba-Sul</x:v>
      </x:c>
      <x:c r="I418" s="34" t="n">
        <x:v>45516</x:v>
      </x:c>
      <x:c r="J418" s="34" t="n">
        <x:v>45520</x:v>
      </x:c>
      <x:c r="K418" s="32" t="n">
        <x:v>2070</x:v>
      </x:c>
      <x:c r="L418" s="32" t="n">
        <x:v>2070</x:v>
      </x:c>
      <x:c r="M418" s="30" t="n">
        <x:v>173880</x:v>
      </x:c>
      <x:c r="N418" s="28" t="str">
        <x:v>Em atraso</x:v>
      </x:c>
      <x:c r="O418" s="28" t="str">
        <x:v>Atraso transportadora</x:v>
      </x:c>
      <x:c r="P418" s="30" t="n">
        <x:v>173880</x:v>
      </x:c>
    </x:row>
    <x:row r="419">
      <x:c r="A419" s="28" t="str">
        <x:v>PED-48418</x:v>
      </x:c>
      <x:c r="B419" s="34" t="n">
        <x:v>45505</x:v>
      </x:c>
      <x:c r="C419" s="28" t="str">
        <x:v>Grupo Industrial S.A.</x:v>
      </x:c>
      <x:c r="D419" s="28" t="str">
        <x:v>Planta Curitiba</x:v>
      </x:c>
      <x:c r="E419" s="28" t="str">
        <x:v>Construbem</x:v>
      </x:c>
      <x:c r="F419" s="28" t="str">
        <x:v>Sul</x:v>
      </x:c>
      <x:c r="G419" s="28" t="str">
        <x:v>TransDados</x:v>
      </x:c>
      <x:c r="H419" s="28" t="str">
        <x:v>Curitiba-Sul</x:v>
      </x:c>
      <x:c r="I419" s="34" t="n">
        <x:v>45519</x:v>
      </x:c>
      <x:c r="J419" s="34" t="n">
        <x:v>45519</x:v>
      </x:c>
      <x:c r="K419" s="32" t="n">
        <x:v>1634</x:v>
      </x:c>
      <x:c r="L419" s="32" t="n">
        <x:v>1534</x:v>
      </x:c>
      <x:c r="M419" s="30" t="n">
        <x:v>117648</x:v>
      </x:c>
      <x:c r="N419" s="28" t="str">
        <x:v>Incompleto</x:v>
      </x:c>
      <x:c r="O419" s="28" t="str">
        <x:v>Falta de produto</x:v>
      </x:c>
      <x:c r="P419" s="30" t="n">
        <x:v>117648</x:v>
      </x:c>
    </x:row>
    <x:row r="420">
      <x:c r="A420" s="28" t="str">
        <x:v>PED-48419</x:v>
      </x:c>
      <x:c r="B420" s="34" t="n">
        <x:v>45505</x:v>
      </x:c>
      <x:c r="C420" s="28" t="str">
        <x:v>Grupo Industrial S.A.</x:v>
      </x:c>
      <x:c r="D420" s="28" t="str">
        <x:v>Planta Curitiba</x:v>
      </x:c>
      <x:c r="E420" s="28" t="str">
        <x:v>Alimentos SA</x:v>
      </x:c>
      <x:c r="F420" s="28" t="str">
        <x:v>Sul</x:v>
      </x:c>
      <x:c r="G420" s="28" t="str">
        <x:v>TransDados</x:v>
      </x:c>
      <x:c r="H420" s="28" t="str">
        <x:v>Curitiba-Sul</x:v>
      </x:c>
      <x:c r="I420" s="34" t="n">
        <x:v>45522</x:v>
      </x:c>
      <x:c r="J420" s="34" t="n">
        <x:v>45522</x:v>
      </x:c>
      <x:c r="K420" s="32" t="n">
        <x:v>1364</x:v>
      </x:c>
      <x:c r="L420" s="32" t="n">
        <x:v>1364</x:v>
      </x:c>
      <x:c r="M420" s="30" t="n">
        <x:v>106392</x:v>
      </x:c>
      <x:c r="N420" s="28" t="str">
        <x:v>OTIF</x:v>
      </x:c>
      <x:c r="O420" s="28" t="str">
        <x:v>Janela perdida no cliente</x:v>
      </x:c>
      <x:c r="P420" s="30" t="n">
        <x:v>0</x:v>
      </x:c>
    </x:row>
    <x:row r="421">
      <x:c r="A421" s="28" t="str">
        <x:v>PED-48420</x:v>
      </x:c>
      <x:c r="B421" s="34" t="n">
        <x:v>45505</x:v>
      </x:c>
      <x:c r="C421" s="28" t="str">
        <x:v>Grupo Industrial S.A.</x:v>
      </x:c>
      <x:c r="D421" s="28" t="str">
        <x:v>Planta Curitiba</x:v>
      </x:c>
      <x:c r="E421" s="28" t="str">
        <x:v>Farma Vida</x:v>
      </x:c>
      <x:c r="F421" s="28" t="str">
        <x:v>Sul</x:v>
      </x:c>
      <x:c r="G421" s="28" t="str">
        <x:v>TransDados</x:v>
      </x:c>
      <x:c r="H421" s="28" t="str">
        <x:v>Curitiba-Sul</x:v>
      </x:c>
      <x:c r="I421" s="34" t="n">
        <x:v>45525</x:v>
      </x:c>
      <x:c r="J421" s="34" t="n">
        <x:v>45529</x:v>
      </x:c>
      <x:c r="K421" s="32" t="n">
        <x:v>2083</x:v>
      </x:c>
      <x:c r="L421" s="32" t="n">
        <x:v>1955</x:v>
      </x:c>
      <x:c r="M421" s="30" t="n">
        <x:v>162474</x:v>
      </x:c>
      <x:c r="N421" s="28" t="str">
        <x:v>Em atraso</x:v>
      </x:c>
      <x:c r="O421" s="28" t="str">
        <x:v>Atraso transportadora</x:v>
      </x:c>
      <x:c r="P421" s="30" t="n">
        <x:v>162474</x:v>
      </x:c>
    </x:row>
    <x:row r="422">
      <x:c r="A422" s="28" t="str">
        <x:v>PED-48421</x:v>
      </x:c>
      <x:c r="B422" s="34" t="n">
        <x:v>45505</x:v>
      </x:c>
      <x:c r="C422" s="28" t="str">
        <x:v>Grupo Industrial S.A.</x:v>
      </x:c>
      <x:c r="D422" s="28" t="str">
        <x:v>Planta Curitiba</x:v>
      </x:c>
      <x:c r="E422" s="28" t="str">
        <x:v>Construbem</x:v>
      </x:c>
      <x:c r="F422" s="28" t="str">
        <x:v>Sul</x:v>
      </x:c>
      <x:c r="G422" s="28" t="str">
        <x:v>RápidoSul</x:v>
      </x:c>
      <x:c r="H422" s="28" t="str">
        <x:v>Curitiba-Sudeste</x:v>
      </x:c>
      <x:c r="I422" s="34" t="n">
        <x:v>45510</x:v>
      </x:c>
      <x:c r="J422" s="34" t="n">
        <x:v>45510</x:v>
      </x:c>
      <x:c r="K422" s="32" t="n">
        <x:v>1135</x:v>
      </x:c>
      <x:c r="L422" s="32" t="n">
        <x:v>1135</x:v>
      </x:c>
      <x:c r="M422" s="30" t="n">
        <x:v>104420</x:v>
      </x:c>
      <x:c r="N422" s="28" t="str">
        <x:v>OTIF</x:v>
      </x:c>
      <x:c r="O422" s="28" t="str">
        <x:v>Janela perdida no cliente</x:v>
      </x:c>
      <x:c r="P422" s="30" t="n">
        <x:v>0</x:v>
      </x:c>
    </x:row>
    <x:row r="423">
      <x:c r="A423" s="28" t="str">
        <x:v>PED-48422</x:v>
      </x:c>
      <x:c r="B423" s="34" t="n">
        <x:v>45505</x:v>
      </x:c>
      <x:c r="C423" s="28" t="str">
        <x:v>Grupo Industrial S.A.</x:v>
      </x:c>
      <x:c r="D423" s="28" t="str">
        <x:v>Planta Curitiba</x:v>
      </x:c>
      <x:c r="E423" s="28" t="str">
        <x:v>Alimentos SA</x:v>
      </x:c>
      <x:c r="F423" s="28" t="str">
        <x:v>Sul</x:v>
      </x:c>
      <x:c r="G423" s="28" t="str">
        <x:v>RápidoSul</x:v>
      </x:c>
      <x:c r="H423" s="28" t="str">
        <x:v>Curitiba-Sudeste</x:v>
      </x:c>
      <x:c r="I423" s="34" t="n">
        <x:v>45513</x:v>
      </x:c>
      <x:c r="J423" s="34" t="n">
        <x:v>45514</x:v>
      </x:c>
      <x:c r="K423" s="32" t="n">
        <x:v>2046</x:v>
      </x:c>
      <x:c r="L423" s="32" t="n">
        <x:v>1945</x:v>
      </x:c>
      <x:c r="M423" s="30" t="n">
        <x:v>159588</x:v>
      </x:c>
      <x:c r="N423" s="28" t="str">
        <x:v>Em atraso</x:v>
      </x:c>
      <x:c r="O423" s="28" t="str">
        <x:v>Atraso transportadora</x:v>
      </x:c>
      <x:c r="P423" s="30" t="n">
        <x:v>159588</x:v>
      </x:c>
    </x:row>
    <x:row r="424">
      <x:c r="A424" s="28" t="str">
        <x:v>PED-48423</x:v>
      </x:c>
      <x:c r="B424" s="34" t="n">
        <x:v>45505</x:v>
      </x:c>
      <x:c r="C424" s="28" t="str">
        <x:v>Grupo Industrial S.A.</x:v>
      </x:c>
      <x:c r="D424" s="28" t="str">
        <x:v>Planta Curitiba</x:v>
      </x:c>
      <x:c r="E424" s="28" t="str">
        <x:v>Farma Vida</x:v>
      </x:c>
      <x:c r="F424" s="28" t="str">
        <x:v>Sul</x:v>
      </x:c>
      <x:c r="G424" s="28" t="str">
        <x:v>RápidoSul</x:v>
      </x:c>
      <x:c r="H424" s="28" t="str">
        <x:v>Curitiba-Sudeste</x:v>
      </x:c>
      <x:c r="I424" s="34" t="n">
        <x:v>45516</x:v>
      </x:c>
      <x:c r="J424" s="34" t="n">
        <x:v>45517</x:v>
      </x:c>
      <x:c r="K424" s="32" t="n">
        <x:v>2018</x:v>
      </x:c>
      <x:c r="L424" s="32" t="n">
        <x:v>2018</x:v>
      </x:c>
      <x:c r="M424" s="30" t="n">
        <x:v>157404</x:v>
      </x:c>
      <x:c r="N424" s="28" t="str">
        <x:v>Em atraso</x:v>
      </x:c>
      <x:c r="O424" s="28" t="str">
        <x:v>Janela perdida no cliente</x:v>
      </x:c>
      <x:c r="P424" s="30" t="n">
        <x:v>157404</x:v>
      </x:c>
    </x:row>
    <x:row r="425">
      <x:c r="A425" s="28" t="str">
        <x:v>PED-48424</x:v>
      </x:c>
      <x:c r="B425" s="34" t="n">
        <x:v>45505</x:v>
      </x:c>
      <x:c r="C425" s="28" t="str">
        <x:v>Grupo Industrial S.A.</x:v>
      </x:c>
      <x:c r="D425" s="28" t="str">
        <x:v>Planta Curitiba</x:v>
      </x:c>
      <x:c r="E425" s="28" t="str">
        <x:v>AutoPeças BR</x:v>
      </x:c>
      <x:c r="F425" s="28" t="str">
        <x:v>Sul</x:v>
      </x:c>
      <x:c r="G425" s="28" t="str">
        <x:v>RápidoSul</x:v>
      </x:c>
      <x:c r="H425" s="28" t="str">
        <x:v>Curitiba-Sudeste</x:v>
      </x:c>
      <x:c r="I425" s="34" t="n">
        <x:v>45519</x:v>
      </x:c>
      <x:c r="J425" s="34" t="n">
        <x:v>45519</x:v>
      </x:c>
      <x:c r="K425" s="32" t="n">
        <x:v>737</x:v>
      </x:c>
      <x:c r="L425" s="32" t="n">
        <x:v>737</x:v>
      </x:c>
      <x:c r="M425" s="30" t="n">
        <x:v>67804</x:v>
      </x:c>
      <x:c r="N425" s="28" t="str">
        <x:v>OTIF</x:v>
      </x:c>
      <x:c r="O425" s="28" t="str">
        <x:v>Janela perdida no cliente</x:v>
      </x:c>
      <x:c r="P425" s="30" t="n">
        <x:v>0</x:v>
      </x:c>
    </x:row>
    <x:row r="426">
      <x:c r="A426" s="28" t="str">
        <x:v>PED-48425</x:v>
      </x:c>
      <x:c r="B426" s="34" t="n">
        <x:v>45505</x:v>
      </x:c>
      <x:c r="C426" s="28" t="str">
        <x:v>Grupo Industrial S.A.</x:v>
      </x:c>
      <x:c r="D426" s="28" t="str">
        <x:v>Planta Curitiba</x:v>
      </x:c>
      <x:c r="E426" s="28" t="str">
        <x:v>Construbem</x:v>
      </x:c>
      <x:c r="F426" s="28" t="str">
        <x:v>Sul</x:v>
      </x:c>
      <x:c r="G426" s="28" t="str">
        <x:v>RápidoSul</x:v>
      </x:c>
      <x:c r="H426" s="28" t="str">
        <x:v>Curitiba-Sudeste</x:v>
      </x:c>
      <x:c r="I426" s="34" t="n">
        <x:v>45522</x:v>
      </x:c>
      <x:c r="J426" s="34" t="n">
        <x:v>45522</x:v>
      </x:c>
      <x:c r="K426" s="32" t="n">
        <x:v>896</x:v>
      </x:c>
      <x:c r="L426" s="32" t="n">
        <x:v>896</x:v>
      </x:c>
      <x:c r="M426" s="30" t="n">
        <x:v>64512</x:v>
      </x:c>
      <x:c r="N426" s="28" t="str">
        <x:v>OTIF</x:v>
      </x:c>
      <x:c r="O426" s="28" t="str">
        <x:v>Janela perdida no cliente</x:v>
      </x:c>
      <x:c r="P426" s="30" t="n">
        <x:v>0</x:v>
      </x:c>
    </x:row>
    <x:row r="427">
      <x:c r="A427" s="28" t="str">
        <x:v>PED-48426</x:v>
      </x:c>
      <x:c r="B427" s="34" t="n">
        <x:v>45505</x:v>
      </x:c>
      <x:c r="C427" s="28" t="str">
        <x:v>Grupo Industrial S.A.</x:v>
      </x:c>
      <x:c r="D427" s="28" t="str">
        <x:v>Planta Curitiba</x:v>
      </x:c>
      <x:c r="E427" s="28" t="str">
        <x:v>Alimentos SA</x:v>
      </x:c>
      <x:c r="F427" s="28" t="str">
        <x:v>Sul</x:v>
      </x:c>
      <x:c r="G427" s="28" t="str">
        <x:v>RápidoSul</x:v>
      </x:c>
      <x:c r="H427" s="28" t="str">
        <x:v>Curitiba-Sudeste</x:v>
      </x:c>
      <x:c r="I427" s="34" t="n">
        <x:v>45525</x:v>
      </x:c>
      <x:c r="J427" s="34" t="n">
        <x:v>45527</x:v>
      </x:c>
      <x:c r="K427" s="32" t="n">
        <x:v>2112</x:v>
      </x:c>
      <x:c r="L427" s="32" t="n">
        <x:v>2112</x:v>
      </x:c>
      <x:c r="M427" s="30" t="n">
        <x:v>194304</x:v>
      </x:c>
      <x:c r="N427" s="28" t="str">
        <x:v>Em atraso</x:v>
      </x:c>
      <x:c r="O427" s="28" t="str">
        <x:v>Atraso transportadora</x:v>
      </x:c>
      <x:c r="P427" s="30" t="n">
        <x:v>194304</x:v>
      </x:c>
    </x:row>
    <x:row r="428">
      <x:c r="A428" s="28" t="str">
        <x:v>PED-48427</x:v>
      </x:c>
      <x:c r="B428" s="34" t="n">
        <x:v>45505</x:v>
      </x:c>
      <x:c r="C428" s="28" t="str">
        <x:v>Grupo Industrial S.A.</x:v>
      </x:c>
      <x:c r="D428" s="28" t="str">
        <x:v>Planta Curitiba</x:v>
      </x:c>
      <x:c r="E428" s="28" t="str">
        <x:v>AutoPeças BR</x:v>
      </x:c>
      <x:c r="F428" s="28" t="str">
        <x:v>Sul</x:v>
      </x:c>
      <x:c r="G428" s="28" t="str">
        <x:v>NovaLog</x:v>
      </x:c>
      <x:c r="H428" s="28" t="str">
        <x:v>Curitiba-Centro-Oeste</x:v>
      </x:c>
      <x:c r="I428" s="34" t="n">
        <x:v>45510</x:v>
      </x:c>
      <x:c r="J428" s="34" t="n">
        <x:v>45510</x:v>
      </x:c>
      <x:c r="K428" s="32" t="n">
        <x:v>1340</x:v>
      </x:c>
      <x:c r="L428" s="32" t="n">
        <x:v>1340</x:v>
      </x:c>
      <x:c r="M428" s="30" t="n">
        <x:v>104520</x:v>
      </x:c>
      <x:c r="N428" s="28" t="str">
        <x:v>OTIF</x:v>
      </x:c>
      <x:c r="O428" s="28" t="str">
        <x:v>Janela perdida no cliente</x:v>
      </x:c>
      <x:c r="P428" s="30" t="n">
        <x:v>0</x:v>
      </x:c>
    </x:row>
    <x:row r="429">
      <x:c r="A429" s="28" t="str">
        <x:v>PED-48428</x:v>
      </x:c>
      <x:c r="B429" s="34" t="n">
        <x:v>45505</x:v>
      </x:c>
      <x:c r="C429" s="28" t="str">
        <x:v>Grupo Industrial S.A.</x:v>
      </x:c>
      <x:c r="D429" s="28" t="str">
        <x:v>Planta Curitiba</x:v>
      </x:c>
      <x:c r="E429" s="28" t="str">
        <x:v>Construbem</x:v>
      </x:c>
      <x:c r="F429" s="28" t="str">
        <x:v>Sul</x:v>
      </x:c>
      <x:c r="G429" s="28" t="str">
        <x:v>NovaLog</x:v>
      </x:c>
      <x:c r="H429" s="28" t="str">
        <x:v>Curitiba-Centro-Oeste</x:v>
      </x:c>
      <x:c r="I429" s="34" t="n">
        <x:v>45513</x:v>
      </x:c>
      <x:c r="J429" s="34" t="n">
        <x:v>45513</x:v>
      </x:c>
      <x:c r="K429" s="32" t="n">
        <x:v>1980</x:v>
      </x:c>
      <x:c r="L429" s="32" t="n">
        <x:v>1872</x:v>
      </x:c>
      <x:c r="M429" s="30" t="n">
        <x:v>154440</x:v>
      </x:c>
      <x:c r="N429" s="28" t="str">
        <x:v>Incompleto</x:v>
      </x:c>
      <x:c r="O429" s="28" t="str">
        <x:v>Falta de produto</x:v>
      </x:c>
      <x:c r="P429" s="30" t="n">
        <x:v>154440</x:v>
      </x:c>
    </x:row>
    <x:row r="430">
      <x:c r="A430" s="28" t="str">
        <x:v>PED-48429</x:v>
      </x:c>
      <x:c r="B430" s="34" t="n">
        <x:v>45505</x:v>
      </x:c>
      <x:c r="C430" s="28" t="str">
        <x:v>Grupo Industrial S.A.</x:v>
      </x:c>
      <x:c r="D430" s="28" t="str">
        <x:v>Planta Curitiba</x:v>
      </x:c>
      <x:c r="E430" s="28" t="str">
        <x:v>Alimentos SA</x:v>
      </x:c>
      <x:c r="F430" s="28" t="str">
        <x:v>Sul</x:v>
      </x:c>
      <x:c r="G430" s="28" t="str">
        <x:v>NovaLog</x:v>
      </x:c>
      <x:c r="H430" s="28" t="str">
        <x:v>Curitiba-Centro-Oeste</x:v>
      </x:c>
      <x:c r="I430" s="34" t="n">
        <x:v>45516</x:v>
      </x:c>
      <x:c r="J430" s="34" t="n">
        <x:v>45520</x:v>
      </x:c>
      <x:c r="K430" s="32" t="n">
        <x:v>2013</x:v>
      </x:c>
      <x:c r="L430" s="32" t="n">
        <x:v>2013</x:v>
      </x:c>
      <x:c r="M430" s="30" t="n">
        <x:v>185196</x:v>
      </x:c>
      <x:c r="N430" s="28" t="str">
        <x:v>Em atraso</x:v>
      </x:c>
      <x:c r="O430" s="28" t="str">
        <x:v>Janela perdida no cliente</x:v>
      </x:c>
      <x:c r="P430" s="30" t="n">
        <x:v>185196</x:v>
      </x:c>
    </x:row>
    <x:row r="431">
      <x:c r="A431" s="28" t="str">
        <x:v>PED-48430</x:v>
      </x:c>
      <x:c r="B431" s="34" t="n">
        <x:v>45505</x:v>
      </x:c>
      <x:c r="C431" s="28" t="str">
        <x:v>Grupo Industrial S.A.</x:v>
      </x:c>
      <x:c r="D431" s="28" t="str">
        <x:v>Planta Curitiba</x:v>
      </x:c>
      <x:c r="E431" s="28" t="str">
        <x:v>Farma Vida</x:v>
      </x:c>
      <x:c r="F431" s="28" t="str">
        <x:v>Sul</x:v>
      </x:c>
      <x:c r="G431" s="28" t="str">
        <x:v>NovaLog</x:v>
      </x:c>
      <x:c r="H431" s="28" t="str">
        <x:v>Curitiba-Centro-Oeste</x:v>
      </x:c>
      <x:c r="I431" s="34" t="n">
        <x:v>45519</x:v>
      </x:c>
      <x:c r="J431" s="34" t="n">
        <x:v>45520</x:v>
      </x:c>
      <x:c r="K431" s="32" t="n">
        <x:v>1415</x:v>
      </x:c>
      <x:c r="L431" s="32" t="n">
        <x:v>1415</x:v>
      </x:c>
      <x:c r="M431" s="30" t="n">
        <x:v>101880</x:v>
      </x:c>
      <x:c r="N431" s="28" t="str">
        <x:v>Em atraso</x:v>
      </x:c>
      <x:c r="O431" s="28" t="str">
        <x:v>Atraso transportadora</x:v>
      </x:c>
      <x:c r="P431" s="30" t="n">
        <x:v>101880</x:v>
      </x:c>
    </x:row>
    <x:row r="432">
      <x:c r="A432" s="28" t="str">
        <x:v>PED-48431</x:v>
      </x:c>
      <x:c r="B432" s="34" t="n">
        <x:v>45505</x:v>
      </x:c>
      <x:c r="C432" s="28" t="str">
        <x:v>Grupo Industrial S.A.</x:v>
      </x:c>
      <x:c r="D432" s="28" t="str">
        <x:v>Planta Curitiba</x:v>
      </x:c>
      <x:c r="E432" s="28" t="str">
        <x:v>AutoPeças BR</x:v>
      </x:c>
      <x:c r="F432" s="28" t="str">
        <x:v>Sul</x:v>
      </x:c>
      <x:c r="G432" s="28" t="str">
        <x:v>NovaLog</x:v>
      </x:c>
      <x:c r="H432" s="28" t="str">
        <x:v>Curitiba-Centro-Oeste</x:v>
      </x:c>
      <x:c r="I432" s="34" t="n">
        <x:v>45522</x:v>
      </x:c>
      <x:c r="J432" s="34" t="n">
        <x:v>45522</x:v>
      </x:c>
      <x:c r="K432" s="32" t="n">
        <x:v>1502</x:v>
      </x:c>
      <x:c r="L432" s="32" t="n">
        <x:v>1502</x:v>
      </x:c>
      <x:c r="M432" s="30" t="n">
        <x:v>117156</x:v>
      </x:c>
      <x:c r="N432" s="28" t="str">
        <x:v>OTIF</x:v>
      </x:c>
      <x:c r="O432" s="28" t="str">
        <x:v>Janela perdida no cliente</x:v>
      </x:c>
      <x:c r="P432" s="30" t="n">
        <x:v>0</x:v>
      </x:c>
    </x:row>
    <x:row r="433">
      <x:c r="A433" s="28" t="str">
        <x:v>PED-48432</x:v>
      </x:c>
      <x:c r="B433" s="34" t="n">
        <x:v>45505</x:v>
      </x:c>
      <x:c r="C433" s="28" t="str">
        <x:v>Grupo Industrial S.A.</x:v>
      </x:c>
      <x:c r="D433" s="28" t="str">
        <x:v>Planta Curitiba</x:v>
      </x:c>
      <x:c r="E433" s="28" t="str">
        <x:v>Construbem</x:v>
      </x:c>
      <x:c r="F433" s="28" t="str">
        <x:v>Sul</x:v>
      </x:c>
      <x:c r="G433" s="28" t="str">
        <x:v>NovaLog</x:v>
      </x:c>
      <x:c r="H433" s="28" t="str">
        <x:v>Curitiba-Centro-Oeste</x:v>
      </x:c>
      <x:c r="I433" s="34" t="n">
        <x:v>45525</x:v>
      </x:c>
      <x:c r="J433" s="34" t="n">
        <x:v>45526</x:v>
      </x:c>
      <x:c r="K433" s="32" t="n">
        <x:v>1019</x:v>
      </x:c>
      <x:c r="L433" s="32" t="n">
        <x:v>1019</x:v>
      </x:c>
      <x:c r="M433" s="30" t="n">
        <x:v>85596</x:v>
      </x:c>
      <x:c r="N433" s="28" t="str">
        <x:v>Em atraso</x:v>
      </x:c>
      <x:c r="O433" s="28" t="str">
        <x:v>Janela perdida no cliente</x:v>
      </x:c>
      <x:c r="P433" s="30" t="n">
        <x:v>85596</x:v>
      </x:c>
    </x:row>
    <x:row r="434">
      <x:c r="A434" s="28" t="str">
        <x:v>PED-48433</x:v>
      </x:c>
      <x:c r="B434" s="34" t="n">
        <x:v>45536</x:v>
      </x:c>
      <x:c r="C434" s="28" t="str">
        <x:v>Grupo Industrial S.A.</x:v>
      </x:c>
      <x:c r="D434" s="28" t="str">
        <x:v>Planta São Paulo</x:v>
      </x:c>
      <x:c r="E434" s="28" t="str">
        <x:v>Farma Vida</x:v>
      </x:c>
      <x:c r="F434" s="28" t="str">
        <x:v>Sudeste</x:v>
      </x:c>
      <x:c r="G434" s="28" t="str">
        <x:v>TransDados</x:v>
      </x:c>
      <x:c r="H434" s="28" t="str">
        <x:v>SP-Sudeste</x:v>
      </x:c>
      <x:c r="I434" s="34" t="n">
        <x:v>45541</x:v>
      </x:c>
      <x:c r="J434" s="34" t="n">
        <x:v>45541</x:v>
      </x:c>
      <x:c r="K434" s="32" t="n">
        <x:v>1136</x:v>
      </x:c>
      <x:c r="L434" s="32" t="n">
        <x:v>1136</x:v>
      </x:c>
      <x:c r="M434" s="30" t="n">
        <x:v>81792</x:v>
      </x:c>
      <x:c r="N434" s="28" t="str">
        <x:v>OTIF</x:v>
      </x:c>
      <x:c r="O434" s="28" t="str">
        <x:v>Janela perdida no cliente</x:v>
      </x:c>
      <x:c r="P434" s="30" t="n">
        <x:v>0</x:v>
      </x:c>
    </x:row>
    <x:row r="435">
      <x:c r="A435" s="28" t="str">
        <x:v>PED-48434</x:v>
      </x:c>
      <x:c r="B435" s="34" t="n">
        <x:v>45536</x:v>
      </x:c>
      <x:c r="C435" s="28" t="str">
        <x:v>Grupo Industrial S.A.</x:v>
      </x:c>
      <x:c r="D435" s="28" t="str">
        <x:v>Planta São Paulo</x:v>
      </x:c>
      <x:c r="E435" s="28" t="str">
        <x:v>AutoPeças BR</x:v>
      </x:c>
      <x:c r="F435" s="28" t="str">
        <x:v>Sudeste</x:v>
      </x:c>
      <x:c r="G435" s="28" t="str">
        <x:v>TransDados</x:v>
      </x:c>
      <x:c r="H435" s="28" t="str">
        <x:v>SP-Sudeste</x:v>
      </x:c>
      <x:c r="I435" s="34" t="n">
        <x:v>45544</x:v>
      </x:c>
      <x:c r="J435" s="34" t="n">
        <x:v>45545</x:v>
      </x:c>
      <x:c r="K435" s="32" t="n">
        <x:v>1512</x:v>
      </x:c>
      <x:c r="L435" s="32" t="n">
        <x:v>1512</x:v>
      </x:c>
      <x:c r="M435" s="30" t="n">
        <x:v>139104</x:v>
      </x:c>
      <x:c r="N435" s="28" t="str">
        <x:v>Em atraso</x:v>
      </x:c>
      <x:c r="O435" s="28" t="str">
        <x:v>Atraso transportadora</x:v>
      </x:c>
      <x:c r="P435" s="30" t="n">
        <x:v>139104</x:v>
      </x:c>
    </x:row>
    <x:row r="436">
      <x:c r="A436" s="28" t="str">
        <x:v>PED-48435</x:v>
      </x:c>
      <x:c r="B436" s="34" t="n">
        <x:v>45536</x:v>
      </x:c>
      <x:c r="C436" s="28" t="str">
        <x:v>Grupo Industrial S.A.</x:v>
      </x:c>
      <x:c r="D436" s="28" t="str">
        <x:v>Planta São Paulo</x:v>
      </x:c>
      <x:c r="E436" s="28" t="str">
        <x:v>Construbem</x:v>
      </x:c>
      <x:c r="F436" s="28" t="str">
        <x:v>Sudeste</x:v>
      </x:c>
      <x:c r="G436" s="28" t="str">
        <x:v>TransDados</x:v>
      </x:c>
      <x:c r="H436" s="28" t="str">
        <x:v>SP-Sudeste</x:v>
      </x:c>
      <x:c r="I436" s="34" t="n">
        <x:v>45547</x:v>
      </x:c>
      <x:c r="J436" s="34" t="n">
        <x:v>45549</x:v>
      </x:c>
      <x:c r="K436" s="32" t="n">
        <x:v>1815</x:v>
      </x:c>
      <x:c r="L436" s="32" t="n">
        <x:v>1815</x:v>
      </x:c>
      <x:c r="M436" s="30" t="n">
        <x:v>166980</x:v>
      </x:c>
      <x:c r="N436" s="28" t="str">
        <x:v>Em atraso</x:v>
      </x:c>
      <x:c r="O436" s="28" t="str">
        <x:v>Atraso transportadora</x:v>
      </x:c>
      <x:c r="P436" s="30" t="n">
        <x:v>166980</x:v>
      </x:c>
    </x:row>
    <x:row r="437">
      <x:c r="A437" s="28" t="str">
        <x:v>PED-48436</x:v>
      </x:c>
      <x:c r="B437" s="34" t="n">
        <x:v>45536</x:v>
      </x:c>
      <x:c r="C437" s="28" t="str">
        <x:v>Grupo Industrial S.A.</x:v>
      </x:c>
      <x:c r="D437" s="28" t="str">
        <x:v>Planta São Paulo</x:v>
      </x:c>
      <x:c r="E437" s="28" t="str">
        <x:v>Alimentos SA</x:v>
      </x:c>
      <x:c r="F437" s="28" t="str">
        <x:v>Sudeste</x:v>
      </x:c>
      <x:c r="G437" s="28" t="str">
        <x:v>TransDados</x:v>
      </x:c>
      <x:c r="H437" s="28" t="str">
        <x:v>SP-Sudeste</x:v>
      </x:c>
      <x:c r="I437" s="34" t="n">
        <x:v>45550</x:v>
      </x:c>
      <x:c r="J437" s="34" t="n">
        <x:v>45551</x:v>
      </x:c>
      <x:c r="K437" s="32" t="n">
        <x:v>1208</x:v>
      </x:c>
      <x:c r="L437" s="32" t="n">
        <x:v>1208</x:v>
      </x:c>
      <x:c r="M437" s="30" t="n">
        <x:v>86976</x:v>
      </x:c>
      <x:c r="N437" s="28" t="str">
        <x:v>Em atraso</x:v>
      </x:c>
      <x:c r="O437" s="28" t="str">
        <x:v>Atraso transportadora</x:v>
      </x:c>
      <x:c r="P437" s="30" t="n">
        <x:v>86976</x:v>
      </x:c>
    </x:row>
    <x:row r="438">
      <x:c r="A438" s="28" t="str">
        <x:v>PED-48437</x:v>
      </x:c>
      <x:c r="B438" s="34" t="n">
        <x:v>45536</x:v>
      </x:c>
      <x:c r="C438" s="28" t="str">
        <x:v>Grupo Industrial S.A.</x:v>
      </x:c>
      <x:c r="D438" s="28" t="str">
        <x:v>Planta São Paulo</x:v>
      </x:c>
      <x:c r="E438" s="28" t="str">
        <x:v>Farma Vida</x:v>
      </x:c>
      <x:c r="F438" s="28" t="str">
        <x:v>Sudeste</x:v>
      </x:c>
      <x:c r="G438" s="28" t="str">
        <x:v>TransDados</x:v>
      </x:c>
      <x:c r="H438" s="28" t="str">
        <x:v>SP-Sudeste</x:v>
      </x:c>
      <x:c r="I438" s="34" t="n">
        <x:v>45553</x:v>
      </x:c>
      <x:c r="J438" s="34" t="n">
        <x:v>45553</x:v>
      </x:c>
      <x:c r="K438" s="32" t="n">
        <x:v>913</x:v>
      </x:c>
      <x:c r="L438" s="32" t="n">
        <x:v>913</x:v>
      </x:c>
      <x:c r="M438" s="30" t="n">
        <x:v>76692</x:v>
      </x:c>
      <x:c r="N438" s="28" t="str">
        <x:v>OTIF</x:v>
      </x:c>
      <x:c r="O438" s="28" t="str">
        <x:v>Janela perdida no cliente</x:v>
      </x:c>
      <x:c r="P438" s="30" t="n">
        <x:v>0</x:v>
      </x:c>
    </x:row>
    <x:row r="439">
      <x:c r="A439" s="28" t="str">
        <x:v>PED-48438</x:v>
      </x:c>
      <x:c r="B439" s="34" t="n">
        <x:v>45536</x:v>
      </x:c>
      <x:c r="C439" s="28" t="str">
        <x:v>Grupo Industrial S.A.</x:v>
      </x:c>
      <x:c r="D439" s="28" t="str">
        <x:v>Planta São Paulo</x:v>
      </x:c>
      <x:c r="E439" s="28" t="str">
        <x:v>AutoPeças BR</x:v>
      </x:c>
      <x:c r="F439" s="28" t="str">
        <x:v>Sudeste</x:v>
      </x:c>
      <x:c r="G439" s="28" t="str">
        <x:v>TransDados</x:v>
      </x:c>
      <x:c r="H439" s="28" t="str">
        <x:v>SP-Sudeste</x:v>
      </x:c>
      <x:c r="I439" s="34" t="n">
        <x:v>45556</x:v>
      </x:c>
      <x:c r="J439" s="34" t="n">
        <x:v>45560</x:v>
      </x:c>
      <x:c r="K439" s="32" t="n">
        <x:v>1770</x:v>
      </x:c>
      <x:c r="L439" s="32" t="n">
        <x:v>1770</x:v>
      </x:c>
      <x:c r="M439" s="30" t="n">
        <x:v>148680</x:v>
      </x:c>
      <x:c r="N439" s="28" t="str">
        <x:v>Em atraso</x:v>
      </x:c>
      <x:c r="O439" s="28" t="str">
        <x:v>Janela perdida no cliente</x:v>
      </x:c>
      <x:c r="P439" s="30" t="n">
        <x:v>148680</x:v>
      </x:c>
    </x:row>
    <x:row r="440">
      <x:c r="A440" s="28" t="str">
        <x:v>PED-48439</x:v>
      </x:c>
      <x:c r="B440" s="34" t="n">
        <x:v>45536</x:v>
      </x:c>
      <x:c r="C440" s="28" t="str">
        <x:v>Grupo Industrial S.A.</x:v>
      </x:c>
      <x:c r="D440" s="28" t="str">
        <x:v>Planta São Paulo</x:v>
      </x:c>
      <x:c r="E440" s="28" t="str">
        <x:v>Alimentos SA</x:v>
      </x:c>
      <x:c r="F440" s="28" t="str">
        <x:v>Sudeste</x:v>
      </x:c>
      <x:c r="G440" s="28" t="str">
        <x:v>RápidoSul</x:v>
      </x:c>
      <x:c r="H440" s="28" t="str">
        <x:v>SP-Centro-Oeste</x:v>
      </x:c>
      <x:c r="I440" s="34" t="n">
        <x:v>45541</x:v>
      </x:c>
      <x:c r="J440" s="34" t="n">
        <x:v>45541</x:v>
      </x:c>
      <x:c r="K440" s="32" t="n">
        <x:v>1307</x:v>
      </x:c>
      <x:c r="L440" s="32" t="n">
        <x:v>1307</x:v>
      </x:c>
      <x:c r="M440" s="30" t="n">
        <x:v>109788</x:v>
      </x:c>
      <x:c r="N440" s="28" t="str">
        <x:v>OTIF</x:v>
      </x:c>
      <x:c r="O440" s="28" t="str">
        <x:v>Janela perdida no cliente</x:v>
      </x:c>
      <x:c r="P440" s="30" t="n">
        <x:v>0</x:v>
      </x:c>
    </x:row>
    <x:row r="441">
      <x:c r="A441" s="28" t="str">
        <x:v>PED-48440</x:v>
      </x:c>
      <x:c r="B441" s="34" t="n">
        <x:v>45536</x:v>
      </x:c>
      <x:c r="C441" s="28" t="str">
        <x:v>Grupo Industrial S.A.</x:v>
      </x:c>
      <x:c r="D441" s="28" t="str">
        <x:v>Planta São Paulo</x:v>
      </x:c>
      <x:c r="E441" s="28" t="str">
        <x:v>Farma Vida</x:v>
      </x:c>
      <x:c r="F441" s="28" t="str">
        <x:v>Sudeste</x:v>
      </x:c>
      <x:c r="G441" s="28" t="str">
        <x:v>RápidoSul</x:v>
      </x:c>
      <x:c r="H441" s="28" t="str">
        <x:v>SP-Centro-Oeste</x:v>
      </x:c>
      <x:c r="I441" s="34" t="n">
        <x:v>45544</x:v>
      </x:c>
      <x:c r="J441" s="34" t="n">
        <x:v>45548</x:v>
      </x:c>
      <x:c r="K441" s="32" t="n">
        <x:v>817</x:v>
      </x:c>
      <x:c r="L441" s="32" t="n">
        <x:v>817</x:v>
      </x:c>
      <x:c r="M441" s="30" t="n">
        <x:v>68628</x:v>
      </x:c>
      <x:c r="N441" s="28" t="str">
        <x:v>Em atraso</x:v>
      </x:c>
      <x:c r="O441" s="28" t="str">
        <x:v>Atraso transportadora</x:v>
      </x:c>
      <x:c r="P441" s="30" t="n">
        <x:v>68628</x:v>
      </x:c>
    </x:row>
    <x:row r="442">
      <x:c r="A442" s="28" t="str">
        <x:v>PED-48441</x:v>
      </x:c>
      <x:c r="B442" s="34" t="n">
        <x:v>45536</x:v>
      </x:c>
      <x:c r="C442" s="28" t="str">
        <x:v>Grupo Industrial S.A.</x:v>
      </x:c>
      <x:c r="D442" s="28" t="str">
        <x:v>Planta São Paulo</x:v>
      </x:c>
      <x:c r="E442" s="28" t="str">
        <x:v>AutoPeças BR</x:v>
      </x:c>
      <x:c r="F442" s="28" t="str">
        <x:v>Sudeste</x:v>
      </x:c>
      <x:c r="G442" s="28" t="str">
        <x:v>RápidoSul</x:v>
      </x:c>
      <x:c r="H442" s="28" t="str">
        <x:v>SP-Centro-Oeste</x:v>
      </x:c>
      <x:c r="I442" s="34" t="n">
        <x:v>45547</x:v>
      </x:c>
      <x:c r="J442" s="34" t="n">
        <x:v>45547</x:v>
      </x:c>
      <x:c r="K442" s="32" t="n">
        <x:v>2183</x:v>
      </x:c>
      <x:c r="L442" s="32" t="n">
        <x:v>2183</x:v>
      </x:c>
      <x:c r="M442" s="30" t="n">
        <x:v>200836</x:v>
      </x:c>
      <x:c r="N442" s="28" t="str">
        <x:v>OTIF</x:v>
      </x:c>
      <x:c r="O442" s="28" t="str">
        <x:v>Janela perdida no cliente</x:v>
      </x:c>
      <x:c r="P442" s="30" t="n">
        <x:v>0</x:v>
      </x:c>
    </x:row>
    <x:row r="443">
      <x:c r="A443" s="28" t="str">
        <x:v>PED-48442</x:v>
      </x:c>
      <x:c r="B443" s="34" t="n">
        <x:v>45536</x:v>
      </x:c>
      <x:c r="C443" s="28" t="str">
        <x:v>Grupo Industrial S.A.</x:v>
      </x:c>
      <x:c r="D443" s="28" t="str">
        <x:v>Planta São Paulo</x:v>
      </x:c>
      <x:c r="E443" s="28" t="str">
        <x:v>Construbem</x:v>
      </x:c>
      <x:c r="F443" s="28" t="str">
        <x:v>Sudeste</x:v>
      </x:c>
      <x:c r="G443" s="28" t="str">
        <x:v>RápidoSul</x:v>
      </x:c>
      <x:c r="H443" s="28" t="str">
        <x:v>SP-Centro-Oeste</x:v>
      </x:c>
      <x:c r="I443" s="34" t="n">
        <x:v>45550</x:v>
      </x:c>
      <x:c r="J443" s="34" t="n">
        <x:v>45550</x:v>
      </x:c>
      <x:c r="K443" s="32" t="n">
        <x:v>704</x:v>
      </x:c>
      <x:c r="L443" s="32" t="n">
        <x:v>704</x:v>
      </x:c>
      <x:c r="M443" s="30" t="n">
        <x:v>54912</x:v>
      </x:c>
      <x:c r="N443" s="28" t="str">
        <x:v>OTIF</x:v>
      </x:c>
      <x:c r="O443" s="28" t="str">
        <x:v>Janela perdida no cliente</x:v>
      </x:c>
      <x:c r="P443" s="30" t="n">
        <x:v>0</x:v>
      </x:c>
    </x:row>
    <x:row r="444">
      <x:c r="A444" s="28" t="str">
        <x:v>PED-48443</x:v>
      </x:c>
      <x:c r="B444" s="34" t="n">
        <x:v>45536</x:v>
      </x:c>
      <x:c r="C444" s="28" t="str">
        <x:v>Grupo Industrial S.A.</x:v>
      </x:c>
      <x:c r="D444" s="28" t="str">
        <x:v>Planta São Paulo</x:v>
      </x:c>
      <x:c r="E444" s="28" t="str">
        <x:v>Alimentos SA</x:v>
      </x:c>
      <x:c r="F444" s="28" t="str">
        <x:v>Sudeste</x:v>
      </x:c>
      <x:c r="G444" s="28" t="str">
        <x:v>RápidoSul</x:v>
      </x:c>
      <x:c r="H444" s="28" t="str">
        <x:v>SP-Centro-Oeste</x:v>
      </x:c>
      <x:c r="I444" s="34" t="n">
        <x:v>45553</x:v>
      </x:c>
      <x:c r="J444" s="34" t="n">
        <x:v>45554</x:v>
      </x:c>
      <x:c r="K444" s="32" t="n">
        <x:v>1834</x:v>
      </x:c>
      <x:c r="L444" s="32" t="n">
        <x:v>1834</x:v>
      </x:c>
      <x:c r="M444" s="30" t="n">
        <x:v>168728</x:v>
      </x:c>
      <x:c r="N444" s="28" t="str">
        <x:v>Em atraso</x:v>
      </x:c>
      <x:c r="O444" s="28" t="str">
        <x:v>Atraso transportadora</x:v>
      </x:c>
      <x:c r="P444" s="30" t="n">
        <x:v>168728</x:v>
      </x:c>
    </x:row>
    <x:row r="445">
      <x:c r="A445" s="28" t="str">
        <x:v>PED-48444</x:v>
      </x:c>
      <x:c r="B445" s="34" t="n">
        <x:v>45536</x:v>
      </x:c>
      <x:c r="C445" s="28" t="str">
        <x:v>Grupo Industrial S.A.</x:v>
      </x:c>
      <x:c r="D445" s="28" t="str">
        <x:v>Planta São Paulo</x:v>
      </x:c>
      <x:c r="E445" s="28" t="str">
        <x:v>Farma Vida</x:v>
      </x:c>
      <x:c r="F445" s="28" t="str">
        <x:v>Sudeste</x:v>
      </x:c>
      <x:c r="G445" s="28" t="str">
        <x:v>RápidoSul</x:v>
      </x:c>
      <x:c r="H445" s="28" t="str">
        <x:v>SP-Centro-Oeste</x:v>
      </x:c>
      <x:c r="I445" s="34" t="n">
        <x:v>45556</x:v>
      </x:c>
      <x:c r="J445" s="34" t="n">
        <x:v>45556</x:v>
      </x:c>
      <x:c r="K445" s="32" t="n">
        <x:v>2048</x:v>
      </x:c>
      <x:c r="L445" s="32" t="n">
        <x:v>2048</x:v>
      </x:c>
      <x:c r="M445" s="30" t="n">
        <x:v>147456</x:v>
      </x:c>
      <x:c r="N445" s="28" t="str">
        <x:v>OTIF</x:v>
      </x:c>
      <x:c r="O445" s="28" t="str">
        <x:v>Janela perdida no cliente</x:v>
      </x:c>
      <x:c r="P445" s="30" t="n">
        <x:v>0</x:v>
      </x:c>
    </x:row>
    <x:row r="446">
      <x:c r="A446" s="28" t="str">
        <x:v>PED-48445</x:v>
      </x:c>
      <x:c r="B446" s="34" t="n">
        <x:v>45536</x:v>
      </x:c>
      <x:c r="C446" s="28" t="str">
        <x:v>Grupo Industrial S.A.</x:v>
      </x:c>
      <x:c r="D446" s="28" t="str">
        <x:v>Planta São Paulo</x:v>
      </x:c>
      <x:c r="E446" s="28" t="str">
        <x:v>Construbem</x:v>
      </x:c>
      <x:c r="F446" s="28" t="str">
        <x:v>Sudeste</x:v>
      </x:c>
      <x:c r="G446" s="28" t="str">
        <x:v>NovaLog</x:v>
      </x:c>
      <x:c r="H446" s="28" t="str">
        <x:v>SP-Nordeste</x:v>
      </x:c>
      <x:c r="I446" s="34" t="n">
        <x:v>45541</x:v>
      </x:c>
      <x:c r="J446" s="34" t="n">
        <x:v>45545</x:v>
      </x:c>
      <x:c r="K446" s="32" t="n">
        <x:v>1897</x:v>
      </x:c>
      <x:c r="L446" s="32" t="n">
        <x:v>1897</x:v>
      </x:c>
      <x:c r="M446" s="30" t="n">
        <x:v>159348</x:v>
      </x:c>
      <x:c r="N446" s="28" t="str">
        <x:v>Em atraso</x:v>
      </x:c>
      <x:c r="O446" s="28" t="str">
        <x:v>Atraso transportadora</x:v>
      </x:c>
      <x:c r="P446" s="30" t="n">
        <x:v>159348</x:v>
      </x:c>
    </x:row>
    <x:row r="447">
      <x:c r="A447" s="28" t="str">
        <x:v>PED-48446</x:v>
      </x:c>
      <x:c r="B447" s="34" t="n">
        <x:v>45536</x:v>
      </x:c>
      <x:c r="C447" s="28" t="str">
        <x:v>Grupo Industrial S.A.</x:v>
      </x:c>
      <x:c r="D447" s="28" t="str">
        <x:v>Planta São Paulo</x:v>
      </x:c>
      <x:c r="E447" s="28" t="str">
        <x:v>Alimentos SA</x:v>
      </x:c>
      <x:c r="F447" s="28" t="str">
        <x:v>Sudeste</x:v>
      </x:c>
      <x:c r="G447" s="28" t="str">
        <x:v>NovaLog</x:v>
      </x:c>
      <x:c r="H447" s="28" t="str">
        <x:v>SP-Nordeste</x:v>
      </x:c>
      <x:c r="I447" s="34" t="n">
        <x:v>45544</x:v>
      </x:c>
      <x:c r="J447" s="34" t="n">
        <x:v>45546</x:v>
      </x:c>
      <x:c r="K447" s="32" t="n">
        <x:v>2076</x:v>
      </x:c>
      <x:c r="L447" s="32" t="n">
        <x:v>2076</x:v>
      </x:c>
      <x:c r="M447" s="30" t="n">
        <x:v>190992</x:v>
      </x:c>
      <x:c r="N447" s="28" t="str">
        <x:v>Em atraso</x:v>
      </x:c>
      <x:c r="O447" s="28" t="str">
        <x:v>Atraso transportadora</x:v>
      </x:c>
      <x:c r="P447" s="30" t="n">
        <x:v>190992</x:v>
      </x:c>
    </x:row>
    <x:row r="448">
      <x:c r="A448" s="28" t="str">
        <x:v>PED-48447</x:v>
      </x:c>
      <x:c r="B448" s="34" t="n">
        <x:v>45536</x:v>
      </x:c>
      <x:c r="C448" s="28" t="str">
        <x:v>Grupo Industrial S.A.</x:v>
      </x:c>
      <x:c r="D448" s="28" t="str">
        <x:v>Planta São Paulo</x:v>
      </x:c>
      <x:c r="E448" s="28" t="str">
        <x:v>Farma Vida</x:v>
      </x:c>
      <x:c r="F448" s="28" t="str">
        <x:v>Sudeste</x:v>
      </x:c>
      <x:c r="G448" s="28" t="str">
        <x:v>NovaLog</x:v>
      </x:c>
      <x:c r="H448" s="28" t="str">
        <x:v>SP-Nordeste</x:v>
      </x:c>
      <x:c r="I448" s="34" t="n">
        <x:v>45547</x:v>
      </x:c>
      <x:c r="J448" s="34" t="n">
        <x:v>45547</x:v>
      </x:c>
      <x:c r="K448" s="32" t="n">
        <x:v>1867</x:v>
      </x:c>
      <x:c r="L448" s="32" t="n">
        <x:v>1565</x:v>
      </x:c>
      <x:c r="M448" s="30" t="n">
        <x:v>134424</x:v>
      </x:c>
      <x:c r="N448" s="28" t="str">
        <x:v>Incompleto</x:v>
      </x:c>
      <x:c r="O448" s="28" t="str">
        <x:v>Falta de produto</x:v>
      </x:c>
      <x:c r="P448" s="30" t="n">
        <x:v>134424</x:v>
      </x:c>
    </x:row>
    <x:row r="449">
      <x:c r="A449" s="28" t="str">
        <x:v>PED-48448</x:v>
      </x:c>
      <x:c r="B449" s="34" t="n">
        <x:v>45536</x:v>
      </x:c>
      <x:c r="C449" s="28" t="str">
        <x:v>Grupo Industrial S.A.</x:v>
      </x:c>
      <x:c r="D449" s="28" t="str">
        <x:v>Planta São Paulo</x:v>
      </x:c>
      <x:c r="E449" s="28" t="str">
        <x:v>AutoPeças BR</x:v>
      </x:c>
      <x:c r="F449" s="28" t="str">
        <x:v>Sudeste</x:v>
      </x:c>
      <x:c r="G449" s="28" t="str">
        <x:v>NovaLog</x:v>
      </x:c>
      <x:c r="H449" s="28" t="str">
        <x:v>SP-Nordeste</x:v>
      </x:c>
      <x:c r="I449" s="34" t="n">
        <x:v>45550</x:v>
      </x:c>
      <x:c r="J449" s="34" t="n">
        <x:v>45552</x:v>
      </x:c>
      <x:c r="K449" s="32" t="n">
        <x:v>1800</x:v>
      </x:c>
      <x:c r="L449" s="32" t="n">
        <x:v>1549</x:v>
      </x:c>
      <x:c r="M449" s="30" t="n">
        <x:v>140400</x:v>
      </x:c>
      <x:c r="N449" s="28" t="str">
        <x:v>Em atraso</x:v>
      </x:c>
      <x:c r="O449" s="28" t="str">
        <x:v>Falta de produto</x:v>
      </x:c>
      <x:c r="P449" s="30" t="n">
        <x:v>140400</x:v>
      </x:c>
    </x:row>
    <x:row r="450">
      <x:c r="A450" s="28" t="str">
        <x:v>PED-48449</x:v>
      </x:c>
      <x:c r="B450" s="34" t="n">
        <x:v>45536</x:v>
      </x:c>
      <x:c r="C450" s="28" t="str">
        <x:v>Grupo Industrial S.A.</x:v>
      </x:c>
      <x:c r="D450" s="28" t="str">
        <x:v>Planta São Paulo</x:v>
      </x:c>
      <x:c r="E450" s="28" t="str">
        <x:v>Construbem</x:v>
      </x:c>
      <x:c r="F450" s="28" t="str">
        <x:v>Sudeste</x:v>
      </x:c>
      <x:c r="G450" s="28" t="str">
        <x:v>NovaLog</x:v>
      </x:c>
      <x:c r="H450" s="28" t="str">
        <x:v>SP-Nordeste</x:v>
      </x:c>
      <x:c r="I450" s="34" t="n">
        <x:v>45553</x:v>
      </x:c>
      <x:c r="J450" s="34" t="n">
        <x:v>45553</x:v>
      </x:c>
      <x:c r="K450" s="32" t="n">
        <x:v>2021</x:v>
      </x:c>
      <x:c r="L450" s="32" t="n">
        <x:v>2021</x:v>
      </x:c>
      <x:c r="M450" s="30" t="n">
        <x:v>145512</x:v>
      </x:c>
      <x:c r="N450" s="28" t="str">
        <x:v>OTIF</x:v>
      </x:c>
      <x:c r="O450" s="28" t="str">
        <x:v>Janela perdida no cliente</x:v>
      </x:c>
      <x:c r="P450" s="30" t="n">
        <x:v>0</x:v>
      </x:c>
    </x:row>
    <x:row r="451">
      <x:c r="A451" s="28" t="str">
        <x:v>PED-48450</x:v>
      </x:c>
      <x:c r="B451" s="34" t="n">
        <x:v>45536</x:v>
      </x:c>
      <x:c r="C451" s="28" t="str">
        <x:v>Grupo Industrial S.A.</x:v>
      </x:c>
      <x:c r="D451" s="28" t="str">
        <x:v>Planta São Paulo</x:v>
      </x:c>
      <x:c r="E451" s="28" t="str">
        <x:v>Alimentos SA</x:v>
      </x:c>
      <x:c r="F451" s="28" t="str">
        <x:v>Sudeste</x:v>
      </x:c>
      <x:c r="G451" s="28" t="str">
        <x:v>NovaLog</x:v>
      </x:c>
      <x:c r="H451" s="28" t="str">
        <x:v>SP-Nordeste</x:v>
      </x:c>
      <x:c r="I451" s="34" t="n">
        <x:v>45556</x:v>
      </x:c>
      <x:c r="J451" s="34" t="n">
        <x:v>45557</x:v>
      </x:c>
      <x:c r="K451" s="32" t="n">
        <x:v>924</x:v>
      </x:c>
      <x:c r="L451" s="32" t="n">
        <x:v>924</x:v>
      </x:c>
      <x:c r="M451" s="30" t="n">
        <x:v>66528</x:v>
      </x:c>
      <x:c r="N451" s="28" t="str">
        <x:v>Em atraso</x:v>
      </x:c>
      <x:c r="O451" s="28" t="str">
        <x:v>Janela perdida no cliente</x:v>
      </x:c>
      <x:c r="P451" s="30" t="n">
        <x:v>66528</x:v>
      </x:c>
    </x:row>
    <x:row r="452">
      <x:c r="A452" s="28" t="str">
        <x:v>PED-48451</x:v>
      </x:c>
      <x:c r="B452" s="34" t="n">
        <x:v>45536</x:v>
      </x:c>
      <x:c r="C452" s="28" t="str">
        <x:v>Grupo Industrial S.A.</x:v>
      </x:c>
      <x:c r="D452" s="28" t="str">
        <x:v>Planta Campinas</x:v>
      </x:c>
      <x:c r="E452" s="28" t="str">
        <x:v>AutoPeças BR</x:v>
      </x:c>
      <x:c r="F452" s="28" t="str">
        <x:v>Sudeste</x:v>
      </x:c>
      <x:c r="G452" s="28" t="str">
        <x:v>TransDados</x:v>
      </x:c>
      <x:c r="H452" s="28" t="str">
        <x:v>Campinas-Sudeste</x:v>
      </x:c>
      <x:c r="I452" s="34" t="n">
        <x:v>45541</x:v>
      </x:c>
      <x:c r="J452" s="34" t="n">
        <x:v>45544</x:v>
      </x:c>
      <x:c r="K452" s="32" t="n">
        <x:v>1432</x:v>
      </x:c>
      <x:c r="L452" s="32" t="n">
        <x:v>1432</x:v>
      </x:c>
      <x:c r="M452" s="30" t="n">
        <x:v>120288</x:v>
      </x:c>
      <x:c r="N452" s="28" t="str">
        <x:v>Em atraso</x:v>
      </x:c>
      <x:c r="O452" s="28" t="str">
        <x:v>Atraso transportadora</x:v>
      </x:c>
      <x:c r="P452" s="30" t="n">
        <x:v>120288</x:v>
      </x:c>
    </x:row>
    <x:row r="453">
      <x:c r="A453" s="28" t="str">
        <x:v>PED-48452</x:v>
      </x:c>
      <x:c r="B453" s="34" t="n">
        <x:v>45536</x:v>
      </x:c>
      <x:c r="C453" s="28" t="str">
        <x:v>Grupo Industrial S.A.</x:v>
      </x:c>
      <x:c r="D453" s="28" t="str">
        <x:v>Planta Campinas</x:v>
      </x:c>
      <x:c r="E453" s="28" t="str">
        <x:v>Construbem</x:v>
      </x:c>
      <x:c r="F453" s="28" t="str">
        <x:v>Sudeste</x:v>
      </x:c>
      <x:c r="G453" s="28" t="str">
        <x:v>TransDados</x:v>
      </x:c>
      <x:c r="H453" s="28" t="str">
        <x:v>Campinas-Sudeste</x:v>
      </x:c>
      <x:c r="I453" s="34" t="n">
        <x:v>45544</x:v>
      </x:c>
      <x:c r="J453" s="34" t="n">
        <x:v>45545</x:v>
      </x:c>
      <x:c r="K453" s="32" t="n">
        <x:v>2185</x:v>
      </x:c>
      <x:c r="L453" s="32" t="n">
        <x:v>2185</x:v>
      </x:c>
      <x:c r="M453" s="30" t="n">
        <x:v>170430</x:v>
      </x:c>
      <x:c r="N453" s="28" t="str">
        <x:v>Em atraso</x:v>
      </x:c>
      <x:c r="O453" s="28" t="str">
        <x:v>Atraso transportadora</x:v>
      </x:c>
      <x:c r="P453" s="30" t="n">
        <x:v>170430</x:v>
      </x:c>
    </x:row>
    <x:row r="454">
      <x:c r="A454" s="28" t="str">
        <x:v>PED-48453</x:v>
      </x:c>
      <x:c r="B454" s="34" t="n">
        <x:v>45536</x:v>
      </x:c>
      <x:c r="C454" s="28" t="str">
        <x:v>Grupo Industrial S.A.</x:v>
      </x:c>
      <x:c r="D454" s="28" t="str">
        <x:v>Planta Campinas</x:v>
      </x:c>
      <x:c r="E454" s="28" t="str">
        <x:v>Alimentos SA</x:v>
      </x:c>
      <x:c r="F454" s="28" t="str">
        <x:v>Sudeste</x:v>
      </x:c>
      <x:c r="G454" s="28" t="str">
        <x:v>TransDados</x:v>
      </x:c>
      <x:c r="H454" s="28" t="str">
        <x:v>Campinas-Sudeste</x:v>
      </x:c>
      <x:c r="I454" s="34" t="n">
        <x:v>45547</x:v>
      </x:c>
      <x:c r="J454" s="34" t="n">
        <x:v>45547</x:v>
      </x:c>
      <x:c r="K454" s="32" t="n">
        <x:v>906</x:v>
      </x:c>
      <x:c r="L454" s="32" t="n">
        <x:v>906</x:v>
      </x:c>
      <x:c r="M454" s="30" t="n">
        <x:v>65232</x:v>
      </x:c>
      <x:c r="N454" s="28" t="str">
        <x:v>OTIF</x:v>
      </x:c>
      <x:c r="O454" s="28" t="str">
        <x:v>Janela perdida no cliente</x:v>
      </x:c>
      <x:c r="P454" s="30" t="n">
        <x:v>0</x:v>
      </x:c>
    </x:row>
    <x:row r="455">
      <x:c r="A455" s="28" t="str">
        <x:v>PED-48454</x:v>
      </x:c>
      <x:c r="B455" s="34" t="n">
        <x:v>45536</x:v>
      </x:c>
      <x:c r="C455" s="28" t="str">
        <x:v>Grupo Industrial S.A.</x:v>
      </x:c>
      <x:c r="D455" s="28" t="str">
        <x:v>Planta Campinas</x:v>
      </x:c>
      <x:c r="E455" s="28" t="str">
        <x:v>Farma Vida</x:v>
      </x:c>
      <x:c r="F455" s="28" t="str">
        <x:v>Sudeste</x:v>
      </x:c>
      <x:c r="G455" s="28" t="str">
        <x:v>TransDados</x:v>
      </x:c>
      <x:c r="H455" s="28" t="str">
        <x:v>Campinas-Sudeste</x:v>
      </x:c>
      <x:c r="I455" s="34" t="n">
        <x:v>45550</x:v>
      </x:c>
      <x:c r="J455" s="34" t="n">
        <x:v>45555</x:v>
      </x:c>
      <x:c r="K455" s="32" t="n">
        <x:v>1380</x:v>
      </x:c>
      <x:c r="L455" s="32" t="n">
        <x:v>1380</x:v>
      </x:c>
      <x:c r="M455" s="30" t="n">
        <x:v>126960</x:v>
      </x:c>
      <x:c r="N455" s="28" t="str">
        <x:v>Em atraso</x:v>
      </x:c>
      <x:c r="O455" s="28" t="str">
        <x:v>Atraso transportadora</x:v>
      </x:c>
      <x:c r="P455" s="30" t="n">
        <x:v>126960</x:v>
      </x:c>
    </x:row>
    <x:row r="456">
      <x:c r="A456" s="28" t="str">
        <x:v>PED-48455</x:v>
      </x:c>
      <x:c r="B456" s="34" t="n">
        <x:v>45536</x:v>
      </x:c>
      <x:c r="C456" s="28" t="str">
        <x:v>Grupo Industrial S.A.</x:v>
      </x:c>
      <x:c r="D456" s="28" t="str">
        <x:v>Planta Campinas</x:v>
      </x:c>
      <x:c r="E456" s="28" t="str">
        <x:v>AutoPeças BR</x:v>
      </x:c>
      <x:c r="F456" s="28" t="str">
        <x:v>Sudeste</x:v>
      </x:c>
      <x:c r="G456" s="28" t="str">
        <x:v>TransDados</x:v>
      </x:c>
      <x:c r="H456" s="28" t="str">
        <x:v>Campinas-Sudeste</x:v>
      </x:c>
      <x:c r="I456" s="34" t="n">
        <x:v>45553</x:v>
      </x:c>
      <x:c r="J456" s="34" t="n">
        <x:v>45553</x:v>
      </x:c>
      <x:c r="K456" s="32" t="n">
        <x:v>1610</x:v>
      </x:c>
      <x:c r="L456" s="32" t="n">
        <x:v>1610</x:v>
      </x:c>
      <x:c r="M456" s="30" t="n">
        <x:v>148120</x:v>
      </x:c>
      <x:c r="N456" s="28" t="str">
        <x:v>OTIF</x:v>
      </x:c>
      <x:c r="O456" s="28" t="str">
        <x:v>Janela perdida no cliente</x:v>
      </x:c>
      <x:c r="P456" s="30" t="n">
        <x:v>0</x:v>
      </x:c>
    </x:row>
    <x:row r="457">
      <x:c r="A457" s="28" t="str">
        <x:v>PED-48456</x:v>
      </x:c>
      <x:c r="B457" s="34" t="n">
        <x:v>45536</x:v>
      </x:c>
      <x:c r="C457" s="28" t="str">
        <x:v>Grupo Industrial S.A.</x:v>
      </x:c>
      <x:c r="D457" s="28" t="str">
        <x:v>Planta Campinas</x:v>
      </x:c>
      <x:c r="E457" s="28" t="str">
        <x:v>Construbem</x:v>
      </x:c>
      <x:c r="F457" s="28" t="str">
        <x:v>Sudeste</x:v>
      </x:c>
      <x:c r="G457" s="28" t="str">
        <x:v>TransDados</x:v>
      </x:c>
      <x:c r="H457" s="28" t="str">
        <x:v>Campinas-Sudeste</x:v>
      </x:c>
      <x:c r="I457" s="34" t="n">
        <x:v>45556</x:v>
      </x:c>
      <x:c r="J457" s="34" t="n">
        <x:v>45560</x:v>
      </x:c>
      <x:c r="K457" s="32" t="n">
        <x:v>2016</x:v>
      </x:c>
      <x:c r="L457" s="32" t="n">
        <x:v>2016</x:v>
      </x:c>
      <x:c r="M457" s="30" t="n">
        <x:v>157248</x:v>
      </x:c>
      <x:c r="N457" s="28" t="str">
        <x:v>Em atraso</x:v>
      </x:c>
      <x:c r="O457" s="28" t="str">
        <x:v>Atraso transportadora</x:v>
      </x:c>
      <x:c r="P457" s="30" t="n">
        <x:v>157248</x:v>
      </x:c>
    </x:row>
    <x:row r="458">
      <x:c r="A458" s="28" t="str">
        <x:v>PED-48457</x:v>
      </x:c>
      <x:c r="B458" s="34" t="n">
        <x:v>45536</x:v>
      </x:c>
      <x:c r="C458" s="28" t="str">
        <x:v>Grupo Industrial S.A.</x:v>
      </x:c>
      <x:c r="D458" s="28" t="str">
        <x:v>Planta Campinas</x:v>
      </x:c>
      <x:c r="E458" s="28" t="str">
        <x:v>Farma Vida</x:v>
      </x:c>
      <x:c r="F458" s="28" t="str">
        <x:v>Sudeste</x:v>
      </x:c>
      <x:c r="G458" s="28" t="str">
        <x:v>RápidoSul</x:v>
      </x:c>
      <x:c r="H458" s="28" t="str">
        <x:v>Campinas-Norte</x:v>
      </x:c>
      <x:c r="I458" s="34" t="n">
        <x:v>45541</x:v>
      </x:c>
      <x:c r="J458" s="34" t="n">
        <x:v>45542</x:v>
      </x:c>
      <x:c r="K458" s="32" t="n">
        <x:v>2124</x:v>
      </x:c>
      <x:c r="L458" s="32" t="n">
        <x:v>2124</x:v>
      </x:c>
      <x:c r="M458" s="30" t="n">
        <x:v>152928</x:v>
      </x:c>
      <x:c r="N458" s="28" t="str">
        <x:v>Em atraso</x:v>
      </x:c>
      <x:c r="O458" s="28" t="str">
        <x:v>Janela perdida no cliente</x:v>
      </x:c>
      <x:c r="P458" s="30" t="n">
        <x:v>152928</x:v>
      </x:c>
    </x:row>
    <x:row r="459">
      <x:c r="A459" s="28" t="str">
        <x:v>PED-48458</x:v>
      </x:c>
      <x:c r="B459" s="34" t="n">
        <x:v>45536</x:v>
      </x:c>
      <x:c r="C459" s="28" t="str">
        <x:v>Grupo Industrial S.A.</x:v>
      </x:c>
      <x:c r="D459" s="28" t="str">
        <x:v>Planta Campinas</x:v>
      </x:c>
      <x:c r="E459" s="28" t="str">
        <x:v>AutoPeças BR</x:v>
      </x:c>
      <x:c r="F459" s="28" t="str">
        <x:v>Sudeste</x:v>
      </x:c>
      <x:c r="G459" s="28" t="str">
        <x:v>RápidoSul</x:v>
      </x:c>
      <x:c r="H459" s="28" t="str">
        <x:v>Campinas-Norte</x:v>
      </x:c>
      <x:c r="I459" s="34" t="n">
        <x:v>45544</x:v>
      </x:c>
      <x:c r="J459" s="34" t="n">
        <x:v>45544</x:v>
      </x:c>
      <x:c r="K459" s="32" t="n">
        <x:v>1029</x:v>
      </x:c>
      <x:c r="L459" s="32" t="n">
        <x:v>1029</x:v>
      </x:c>
      <x:c r="M459" s="30" t="n">
        <x:v>94668</x:v>
      </x:c>
      <x:c r="N459" s="28" t="str">
        <x:v>OTIF</x:v>
      </x:c>
      <x:c r="O459" s="28" t="str">
        <x:v>Janela perdida no cliente</x:v>
      </x:c>
      <x:c r="P459" s="30" t="n">
        <x:v>0</x:v>
      </x:c>
    </x:row>
    <x:row r="460">
      <x:c r="A460" s="28" t="str">
        <x:v>PED-48459</x:v>
      </x:c>
      <x:c r="B460" s="34" t="n">
        <x:v>45536</x:v>
      </x:c>
      <x:c r="C460" s="28" t="str">
        <x:v>Grupo Industrial S.A.</x:v>
      </x:c>
      <x:c r="D460" s="28" t="str">
        <x:v>Planta Campinas</x:v>
      </x:c>
      <x:c r="E460" s="28" t="str">
        <x:v>Construbem</x:v>
      </x:c>
      <x:c r="F460" s="28" t="str">
        <x:v>Sudeste</x:v>
      </x:c>
      <x:c r="G460" s="28" t="str">
        <x:v>RápidoSul</x:v>
      </x:c>
      <x:c r="H460" s="28" t="str">
        <x:v>Campinas-Norte</x:v>
      </x:c>
      <x:c r="I460" s="34" t="n">
        <x:v>45547</x:v>
      </x:c>
      <x:c r="J460" s="34" t="n">
        <x:v>45548</x:v>
      </x:c>
      <x:c r="K460" s="32" t="n">
        <x:v>2041</x:v>
      </x:c>
      <x:c r="L460" s="32" t="n">
        <x:v>2041</x:v>
      </x:c>
      <x:c r="M460" s="30" t="n">
        <x:v>159198</x:v>
      </x:c>
      <x:c r="N460" s="28" t="str">
        <x:v>Em atraso</x:v>
      </x:c>
      <x:c r="O460" s="28" t="str">
        <x:v>Janela perdida no cliente</x:v>
      </x:c>
      <x:c r="P460" s="30" t="n">
        <x:v>159198</x:v>
      </x:c>
    </x:row>
    <x:row r="461">
      <x:c r="A461" s="28" t="str">
        <x:v>PED-48460</x:v>
      </x:c>
      <x:c r="B461" s="34" t="n">
        <x:v>45536</x:v>
      </x:c>
      <x:c r="C461" s="28" t="str">
        <x:v>Grupo Industrial S.A.</x:v>
      </x:c>
      <x:c r="D461" s="28" t="str">
        <x:v>Planta Campinas</x:v>
      </x:c>
      <x:c r="E461" s="28" t="str">
        <x:v>Alimentos SA</x:v>
      </x:c>
      <x:c r="F461" s="28" t="str">
        <x:v>Sudeste</x:v>
      </x:c>
      <x:c r="G461" s="28" t="str">
        <x:v>RápidoSul</x:v>
      </x:c>
      <x:c r="H461" s="28" t="str">
        <x:v>Campinas-Norte</x:v>
      </x:c>
      <x:c r="I461" s="34" t="n">
        <x:v>45550</x:v>
      </x:c>
      <x:c r="J461" s="34" t="n">
        <x:v>45551</x:v>
      </x:c>
      <x:c r="K461" s="32" t="n">
        <x:v>1145</x:v>
      </x:c>
      <x:c r="L461" s="32" t="n">
        <x:v>1145</x:v>
      </x:c>
      <x:c r="M461" s="30" t="n">
        <x:v>105340</x:v>
      </x:c>
      <x:c r="N461" s="28" t="str">
        <x:v>Em atraso</x:v>
      </x:c>
      <x:c r="O461" s="28" t="str">
        <x:v>Atraso transportadora</x:v>
      </x:c>
      <x:c r="P461" s="30" t="n">
        <x:v>105340</x:v>
      </x:c>
    </x:row>
    <x:row r="462">
      <x:c r="A462" s="28" t="str">
        <x:v>PED-48461</x:v>
      </x:c>
      <x:c r="B462" s="34" t="n">
        <x:v>45536</x:v>
      </x:c>
      <x:c r="C462" s="28" t="str">
        <x:v>Grupo Industrial S.A.</x:v>
      </x:c>
      <x:c r="D462" s="28" t="str">
        <x:v>Planta Campinas</x:v>
      </x:c>
      <x:c r="E462" s="28" t="str">
        <x:v>Farma Vida</x:v>
      </x:c>
      <x:c r="F462" s="28" t="str">
        <x:v>Sudeste</x:v>
      </x:c>
      <x:c r="G462" s="28" t="str">
        <x:v>RápidoSul</x:v>
      </x:c>
      <x:c r="H462" s="28" t="str">
        <x:v>Campinas-Norte</x:v>
      </x:c>
      <x:c r="I462" s="34" t="n">
        <x:v>45553</x:v>
      </x:c>
      <x:c r="J462" s="34" t="n">
        <x:v>45554</x:v>
      </x:c>
      <x:c r="K462" s="32" t="n">
        <x:v>1264</x:v>
      </x:c>
      <x:c r="L462" s="32" t="n">
        <x:v>1264</x:v>
      </x:c>
      <x:c r="M462" s="30" t="n">
        <x:v>106176</x:v>
      </x:c>
      <x:c r="N462" s="28" t="str">
        <x:v>Em atraso</x:v>
      </x:c>
      <x:c r="O462" s="28" t="str">
        <x:v>Janela perdida no cliente</x:v>
      </x:c>
      <x:c r="P462" s="30" t="n">
        <x:v>106176</x:v>
      </x:c>
    </x:row>
    <x:row r="463">
      <x:c r="A463" s="28" t="str">
        <x:v>PED-48462</x:v>
      </x:c>
      <x:c r="B463" s="34" t="n">
        <x:v>45536</x:v>
      </x:c>
      <x:c r="C463" s="28" t="str">
        <x:v>Grupo Industrial S.A.</x:v>
      </x:c>
      <x:c r="D463" s="28" t="str">
        <x:v>Planta Campinas</x:v>
      </x:c>
      <x:c r="E463" s="28" t="str">
        <x:v>AutoPeças BR</x:v>
      </x:c>
      <x:c r="F463" s="28" t="str">
        <x:v>Sudeste</x:v>
      </x:c>
      <x:c r="G463" s="28" t="str">
        <x:v>RápidoSul</x:v>
      </x:c>
      <x:c r="H463" s="28" t="str">
        <x:v>Campinas-Norte</x:v>
      </x:c>
      <x:c r="I463" s="34" t="n">
        <x:v>45556</x:v>
      </x:c>
      <x:c r="J463" s="34" t="n">
        <x:v>45558</x:v>
      </x:c>
      <x:c r="K463" s="32" t="n">
        <x:v>915</x:v>
      </x:c>
      <x:c r="L463" s="32" t="n">
        <x:v>915</x:v>
      </x:c>
      <x:c r="M463" s="30" t="n">
        <x:v>76860</x:v>
      </x:c>
      <x:c r="N463" s="28" t="str">
        <x:v>Em atraso</x:v>
      </x:c>
      <x:c r="O463" s="28" t="str">
        <x:v>Atraso transportadora</x:v>
      </x:c>
      <x:c r="P463" s="30" t="n">
        <x:v>76860</x:v>
      </x:c>
    </x:row>
    <x:row r="464">
      <x:c r="A464" s="28" t="str">
        <x:v>PED-48463</x:v>
      </x:c>
      <x:c r="B464" s="34" t="n">
        <x:v>45536</x:v>
      </x:c>
      <x:c r="C464" s="28" t="str">
        <x:v>Grupo Industrial S.A.</x:v>
      </x:c>
      <x:c r="D464" s="28" t="str">
        <x:v>Planta Campinas</x:v>
      </x:c>
      <x:c r="E464" s="28" t="str">
        <x:v>Alimentos SA</x:v>
      </x:c>
      <x:c r="F464" s="28" t="str">
        <x:v>Sudeste</x:v>
      </x:c>
      <x:c r="G464" s="28" t="str">
        <x:v>NovaLog</x:v>
      </x:c>
      <x:c r="H464" s="28" t="str">
        <x:v>Campinas-Nordeste</x:v>
      </x:c>
      <x:c r="I464" s="34" t="n">
        <x:v>45541</x:v>
      </x:c>
      <x:c r="J464" s="34" t="n">
        <x:v>45544</x:v>
      </x:c>
      <x:c r="K464" s="32" t="n">
        <x:v>769</x:v>
      </x:c>
      <x:c r="L464" s="32" t="n">
        <x:v>769</x:v>
      </x:c>
      <x:c r="M464" s="30" t="n">
        <x:v>64596</x:v>
      </x:c>
      <x:c r="N464" s="28" t="str">
        <x:v>Em atraso</x:v>
      </x:c>
      <x:c r="O464" s="28" t="str">
        <x:v>Atraso transportadora</x:v>
      </x:c>
      <x:c r="P464" s="30" t="n">
        <x:v>64596</x:v>
      </x:c>
    </x:row>
    <x:row r="465">
      <x:c r="A465" s="28" t="str">
        <x:v>PED-48464</x:v>
      </x:c>
      <x:c r="B465" s="34" t="n">
        <x:v>45536</x:v>
      </x:c>
      <x:c r="C465" s="28" t="str">
        <x:v>Grupo Industrial S.A.</x:v>
      </x:c>
      <x:c r="D465" s="28" t="str">
        <x:v>Planta Campinas</x:v>
      </x:c>
      <x:c r="E465" s="28" t="str">
        <x:v>Farma Vida</x:v>
      </x:c>
      <x:c r="F465" s="28" t="str">
        <x:v>Sudeste</x:v>
      </x:c>
      <x:c r="G465" s="28" t="str">
        <x:v>NovaLog</x:v>
      </x:c>
      <x:c r="H465" s="28" t="str">
        <x:v>Campinas-Nordeste</x:v>
      </x:c>
      <x:c r="I465" s="34" t="n">
        <x:v>45544</x:v>
      </x:c>
      <x:c r="J465" s="34" t="n">
        <x:v>45544</x:v>
      </x:c>
      <x:c r="K465" s="32" t="n">
        <x:v>790</x:v>
      </x:c>
      <x:c r="L465" s="32" t="n">
        <x:v>790</x:v>
      </x:c>
      <x:c r="M465" s="30" t="n">
        <x:v>56880</x:v>
      </x:c>
      <x:c r="N465" s="28" t="str">
        <x:v>OTIF</x:v>
      </x:c>
      <x:c r="O465" s="28" t="str">
        <x:v>Janela perdida no cliente</x:v>
      </x:c>
      <x:c r="P465" s="30" t="n">
        <x:v>0</x:v>
      </x:c>
    </x:row>
    <x:row r="466">
      <x:c r="A466" s="28" t="str">
        <x:v>PED-48465</x:v>
      </x:c>
      <x:c r="B466" s="34" t="n">
        <x:v>45536</x:v>
      </x:c>
      <x:c r="C466" s="28" t="str">
        <x:v>Grupo Industrial S.A.</x:v>
      </x:c>
      <x:c r="D466" s="28" t="str">
        <x:v>Planta Campinas</x:v>
      </x:c>
      <x:c r="E466" s="28" t="str">
        <x:v>AutoPeças BR</x:v>
      </x:c>
      <x:c r="F466" s="28" t="str">
        <x:v>Sudeste</x:v>
      </x:c>
      <x:c r="G466" s="28" t="str">
        <x:v>NovaLog</x:v>
      </x:c>
      <x:c r="H466" s="28" t="str">
        <x:v>Campinas-Nordeste</x:v>
      </x:c>
      <x:c r="I466" s="34" t="n">
        <x:v>45547</x:v>
      </x:c>
      <x:c r="J466" s="34" t="n">
        <x:v>45547</x:v>
      </x:c>
      <x:c r="K466" s="32" t="n">
        <x:v>1519</x:v>
      </x:c>
      <x:c r="L466" s="32" t="n">
        <x:v>1519</x:v>
      </x:c>
      <x:c r="M466" s="30" t="n">
        <x:v>109368</x:v>
      </x:c>
      <x:c r="N466" s="28" t="str">
        <x:v>OTIF</x:v>
      </x:c>
      <x:c r="O466" s="28" t="str">
        <x:v>Janela perdida no cliente</x:v>
      </x:c>
      <x:c r="P466" s="30" t="n">
        <x:v>0</x:v>
      </x:c>
    </x:row>
    <x:row r="467">
      <x:c r="A467" s="28" t="str">
        <x:v>PED-48466</x:v>
      </x:c>
      <x:c r="B467" s="34" t="n">
        <x:v>45536</x:v>
      </x:c>
      <x:c r="C467" s="28" t="str">
        <x:v>Grupo Industrial S.A.</x:v>
      </x:c>
      <x:c r="D467" s="28" t="str">
        <x:v>Planta Campinas</x:v>
      </x:c>
      <x:c r="E467" s="28" t="str">
        <x:v>Construbem</x:v>
      </x:c>
      <x:c r="F467" s="28" t="str">
        <x:v>Sudeste</x:v>
      </x:c>
      <x:c r="G467" s="28" t="str">
        <x:v>NovaLog</x:v>
      </x:c>
      <x:c r="H467" s="28" t="str">
        <x:v>Campinas-Nordeste</x:v>
      </x:c>
      <x:c r="I467" s="34" t="n">
        <x:v>45550</x:v>
      </x:c>
      <x:c r="J467" s="34" t="n">
        <x:v>45551</x:v>
      </x:c>
      <x:c r="K467" s="32" t="n">
        <x:v>976</x:v>
      </x:c>
      <x:c r="L467" s="32" t="n">
        <x:v>976</x:v>
      </x:c>
      <x:c r="M467" s="30" t="n">
        <x:v>81984</x:v>
      </x:c>
      <x:c r="N467" s="28" t="str">
        <x:v>Em atraso</x:v>
      </x:c>
      <x:c r="O467" s="28" t="str">
        <x:v>Atraso transportadora</x:v>
      </x:c>
      <x:c r="P467" s="30" t="n">
        <x:v>81984</x:v>
      </x:c>
    </x:row>
    <x:row r="468">
      <x:c r="A468" s="28" t="str">
        <x:v>PED-48467</x:v>
      </x:c>
      <x:c r="B468" s="34" t="n">
        <x:v>45536</x:v>
      </x:c>
      <x:c r="C468" s="28" t="str">
        <x:v>Grupo Industrial S.A.</x:v>
      </x:c>
      <x:c r="D468" s="28" t="str">
        <x:v>Planta Campinas</x:v>
      </x:c>
      <x:c r="E468" s="28" t="str">
        <x:v>Alimentos SA</x:v>
      </x:c>
      <x:c r="F468" s="28" t="str">
        <x:v>Sudeste</x:v>
      </x:c>
      <x:c r="G468" s="28" t="str">
        <x:v>NovaLog</x:v>
      </x:c>
      <x:c r="H468" s="28" t="str">
        <x:v>Campinas-Nordeste</x:v>
      </x:c>
      <x:c r="I468" s="34" t="n">
        <x:v>45553</x:v>
      </x:c>
      <x:c r="J468" s="34" t="n">
        <x:v>45557</x:v>
      </x:c>
      <x:c r="K468" s="32" t="n">
        <x:v>1197</x:v>
      </x:c>
      <x:c r="L468" s="32" t="n">
        <x:v>1197</x:v>
      </x:c>
      <x:c r="M468" s="30" t="n">
        <x:v>93366</x:v>
      </x:c>
      <x:c r="N468" s="28" t="str">
        <x:v>Em atraso</x:v>
      </x:c>
      <x:c r="O468" s="28" t="str">
        <x:v>Janela perdida no cliente</x:v>
      </x:c>
      <x:c r="P468" s="30" t="n">
        <x:v>93366</x:v>
      </x:c>
    </x:row>
    <x:row r="469">
      <x:c r="A469" s="28" t="str">
        <x:v>PED-48468</x:v>
      </x:c>
      <x:c r="B469" s="34" t="n">
        <x:v>45536</x:v>
      </x:c>
      <x:c r="C469" s="28" t="str">
        <x:v>Grupo Industrial S.A.</x:v>
      </x:c>
      <x:c r="D469" s="28" t="str">
        <x:v>Planta Campinas</x:v>
      </x:c>
      <x:c r="E469" s="28" t="str">
        <x:v>Farma Vida</x:v>
      </x:c>
      <x:c r="F469" s="28" t="str">
        <x:v>Sudeste</x:v>
      </x:c>
      <x:c r="G469" s="28" t="str">
        <x:v>NovaLog</x:v>
      </x:c>
      <x:c r="H469" s="28" t="str">
        <x:v>Campinas-Nordeste</x:v>
      </x:c>
      <x:c r="I469" s="34" t="n">
        <x:v>45556</x:v>
      </x:c>
      <x:c r="J469" s="34" t="n">
        <x:v>45560</x:v>
      </x:c>
      <x:c r="K469" s="32" t="n">
        <x:v>728</x:v>
      </x:c>
      <x:c r="L469" s="32" t="n">
        <x:v>728</x:v>
      </x:c>
      <x:c r="M469" s="30" t="n">
        <x:v>66976</x:v>
      </x:c>
      <x:c r="N469" s="28" t="str">
        <x:v>Em atraso</x:v>
      </x:c>
      <x:c r="O469" s="28" t="str">
        <x:v>Janela perdida no cliente</x:v>
      </x:c>
      <x:c r="P469" s="30" t="n">
        <x:v>66976</x:v>
      </x:c>
    </x:row>
    <x:row r="470">
      <x:c r="A470" s="28" t="str">
        <x:v>PED-48469</x:v>
      </x:c>
      <x:c r="B470" s="34" t="n">
        <x:v>45536</x:v>
      </x:c>
      <x:c r="C470" s="28" t="str">
        <x:v>Grupo Industrial S.A.</x:v>
      </x:c>
      <x:c r="D470" s="28" t="str">
        <x:v>Planta Curitiba</x:v>
      </x:c>
      <x:c r="E470" s="28" t="str">
        <x:v>Construbem</x:v>
      </x:c>
      <x:c r="F470" s="28" t="str">
        <x:v>Sul</x:v>
      </x:c>
      <x:c r="G470" s="28" t="str">
        <x:v>TransDados</x:v>
      </x:c>
      <x:c r="H470" s="28" t="str">
        <x:v>Curitiba-Sul</x:v>
      </x:c>
      <x:c r="I470" s="34" t="n">
        <x:v>45541</x:v>
      </x:c>
      <x:c r="J470" s="34" t="n">
        <x:v>45541</x:v>
      </x:c>
      <x:c r="K470" s="32" t="n">
        <x:v>952</x:v>
      </x:c>
      <x:c r="L470" s="32" t="n">
        <x:v>952</x:v>
      </x:c>
      <x:c r="M470" s="30" t="n">
        <x:v>87584</x:v>
      </x:c>
      <x:c r="N470" s="28" t="str">
        <x:v>OTIF</x:v>
      </x:c>
      <x:c r="O470" s="28" t="str">
        <x:v>Janela perdida no cliente</x:v>
      </x:c>
      <x:c r="P470" s="30" t="n">
        <x:v>0</x:v>
      </x:c>
    </x:row>
    <x:row r="471">
      <x:c r="A471" s="28" t="str">
        <x:v>PED-48470</x:v>
      </x:c>
      <x:c r="B471" s="34" t="n">
        <x:v>45536</x:v>
      </x:c>
      <x:c r="C471" s="28" t="str">
        <x:v>Grupo Industrial S.A.</x:v>
      </x:c>
      <x:c r="D471" s="28" t="str">
        <x:v>Planta Curitiba</x:v>
      </x:c>
      <x:c r="E471" s="28" t="str">
        <x:v>Alimentos SA</x:v>
      </x:c>
      <x:c r="F471" s="28" t="str">
        <x:v>Sul</x:v>
      </x:c>
      <x:c r="G471" s="28" t="str">
        <x:v>TransDados</x:v>
      </x:c>
      <x:c r="H471" s="28" t="str">
        <x:v>Curitiba-Sul</x:v>
      </x:c>
      <x:c r="I471" s="34" t="n">
        <x:v>45544</x:v>
      </x:c>
      <x:c r="J471" s="34" t="n">
        <x:v>45546</x:v>
      </x:c>
      <x:c r="K471" s="32" t="n">
        <x:v>898</x:v>
      </x:c>
      <x:c r="L471" s="32" t="n">
        <x:v>898</x:v>
      </x:c>
      <x:c r="M471" s="30" t="n">
        <x:v>64656</x:v>
      </x:c>
      <x:c r="N471" s="28" t="str">
        <x:v>Em atraso</x:v>
      </x:c>
      <x:c r="O471" s="28" t="str">
        <x:v>Atraso transportadora</x:v>
      </x:c>
      <x:c r="P471" s="30" t="n">
        <x:v>64656</x:v>
      </x:c>
    </x:row>
    <x:row r="472">
      <x:c r="A472" s="28" t="str">
        <x:v>PED-48471</x:v>
      </x:c>
      <x:c r="B472" s="34" t="n">
        <x:v>45536</x:v>
      </x:c>
      <x:c r="C472" s="28" t="str">
        <x:v>Grupo Industrial S.A.</x:v>
      </x:c>
      <x:c r="D472" s="28" t="str">
        <x:v>Planta Curitiba</x:v>
      </x:c>
      <x:c r="E472" s="28" t="str">
        <x:v>Farma Vida</x:v>
      </x:c>
      <x:c r="F472" s="28" t="str">
        <x:v>Sul</x:v>
      </x:c>
      <x:c r="G472" s="28" t="str">
        <x:v>TransDados</x:v>
      </x:c>
      <x:c r="H472" s="28" t="str">
        <x:v>Curitiba-Sul</x:v>
      </x:c>
      <x:c r="I472" s="34" t="n">
        <x:v>45547</x:v>
      </x:c>
      <x:c r="J472" s="34" t="n">
        <x:v>45547</x:v>
      </x:c>
      <x:c r="K472" s="32" t="n">
        <x:v>824</x:v>
      </x:c>
      <x:c r="L472" s="32" t="n">
        <x:v>824</x:v>
      </x:c>
      <x:c r="M472" s="30" t="n">
        <x:v>69216</x:v>
      </x:c>
      <x:c r="N472" s="28" t="str">
        <x:v>OTIF</x:v>
      </x:c>
      <x:c r="O472" s="28" t="str">
        <x:v>Janela perdida no cliente</x:v>
      </x:c>
      <x:c r="P472" s="30" t="n">
        <x:v>0</x:v>
      </x:c>
    </x:row>
    <x:row r="473">
      <x:c r="A473" s="28" t="str">
        <x:v>PED-48472</x:v>
      </x:c>
      <x:c r="B473" s="34" t="n">
        <x:v>45536</x:v>
      </x:c>
      <x:c r="C473" s="28" t="str">
        <x:v>Grupo Industrial S.A.</x:v>
      </x:c>
      <x:c r="D473" s="28" t="str">
        <x:v>Planta Curitiba</x:v>
      </x:c>
      <x:c r="E473" s="28" t="str">
        <x:v>AutoPeças BR</x:v>
      </x:c>
      <x:c r="F473" s="28" t="str">
        <x:v>Sul</x:v>
      </x:c>
      <x:c r="G473" s="28" t="str">
        <x:v>TransDados</x:v>
      </x:c>
      <x:c r="H473" s="28" t="str">
        <x:v>Curitiba-Sul</x:v>
      </x:c>
      <x:c r="I473" s="34" t="n">
        <x:v>45550</x:v>
      </x:c>
      <x:c r="J473" s="34" t="n">
        <x:v>45554</x:v>
      </x:c>
      <x:c r="K473" s="32" t="n">
        <x:v>1034</x:v>
      </x:c>
      <x:c r="L473" s="32" t="n">
        <x:v>1034</x:v>
      </x:c>
      <x:c r="M473" s="30" t="n">
        <x:v>80652</x:v>
      </x:c>
      <x:c r="N473" s="28" t="str">
        <x:v>Em atraso</x:v>
      </x:c>
      <x:c r="O473" s="28" t="str">
        <x:v>Atraso transportadora</x:v>
      </x:c>
      <x:c r="P473" s="30" t="n">
        <x:v>80652</x:v>
      </x:c>
    </x:row>
    <x:row r="474">
      <x:c r="A474" s="28" t="str">
        <x:v>PED-48473</x:v>
      </x:c>
      <x:c r="B474" s="34" t="n">
        <x:v>45536</x:v>
      </x:c>
      <x:c r="C474" s="28" t="str">
        <x:v>Grupo Industrial S.A.</x:v>
      </x:c>
      <x:c r="D474" s="28" t="str">
        <x:v>Planta Curitiba</x:v>
      </x:c>
      <x:c r="E474" s="28" t="str">
        <x:v>Construbem</x:v>
      </x:c>
      <x:c r="F474" s="28" t="str">
        <x:v>Sul</x:v>
      </x:c>
      <x:c r="G474" s="28" t="str">
        <x:v>TransDados</x:v>
      </x:c>
      <x:c r="H474" s="28" t="str">
        <x:v>Curitiba-Sul</x:v>
      </x:c>
      <x:c r="I474" s="34" t="n">
        <x:v>45553</x:v>
      </x:c>
      <x:c r="J474" s="34" t="n">
        <x:v>45554</x:v>
      </x:c>
      <x:c r="K474" s="32" t="n">
        <x:v>1348</x:v>
      </x:c>
      <x:c r="L474" s="32" t="n">
        <x:v>1348</x:v>
      </x:c>
      <x:c r="M474" s="30" t="n">
        <x:v>97056</x:v>
      </x:c>
      <x:c r="N474" s="28" t="str">
        <x:v>Em atraso</x:v>
      </x:c>
      <x:c r="O474" s="28" t="str">
        <x:v>Atraso transportadora</x:v>
      </x:c>
      <x:c r="P474" s="30" t="n">
        <x:v>97056</x:v>
      </x:c>
    </x:row>
    <x:row r="475">
      <x:c r="A475" s="28" t="str">
        <x:v>PED-48474</x:v>
      </x:c>
      <x:c r="B475" s="34" t="n">
        <x:v>45536</x:v>
      </x:c>
      <x:c r="C475" s="28" t="str">
        <x:v>Grupo Industrial S.A.</x:v>
      </x:c>
      <x:c r="D475" s="28" t="str">
        <x:v>Planta Curitiba</x:v>
      </x:c>
      <x:c r="E475" s="28" t="str">
        <x:v>Alimentos SA</x:v>
      </x:c>
      <x:c r="F475" s="28" t="str">
        <x:v>Sul</x:v>
      </x:c>
      <x:c r="G475" s="28" t="str">
        <x:v>TransDados</x:v>
      </x:c>
      <x:c r="H475" s="28" t="str">
        <x:v>Curitiba-Sul</x:v>
      </x:c>
      <x:c r="I475" s="34" t="n">
        <x:v>45556</x:v>
      </x:c>
      <x:c r="J475" s="34" t="n">
        <x:v>45560</x:v>
      </x:c>
      <x:c r="K475" s="32" t="n">
        <x:v>896</x:v>
      </x:c>
      <x:c r="L475" s="32" t="n">
        <x:v>896</x:v>
      </x:c>
      <x:c r="M475" s="30" t="n">
        <x:v>75264</x:v>
      </x:c>
      <x:c r="N475" s="28" t="str">
        <x:v>Em atraso</x:v>
      </x:c>
      <x:c r="O475" s="28" t="str">
        <x:v>Janela perdida no cliente</x:v>
      </x:c>
      <x:c r="P475" s="30" t="n">
        <x:v>75264</x:v>
      </x:c>
    </x:row>
    <x:row r="476">
      <x:c r="A476" s="28" t="str">
        <x:v>PED-48475</x:v>
      </x:c>
      <x:c r="B476" s="34" t="n">
        <x:v>45536</x:v>
      </x:c>
      <x:c r="C476" s="28" t="str">
        <x:v>Grupo Industrial S.A.</x:v>
      </x:c>
      <x:c r="D476" s="28" t="str">
        <x:v>Planta Curitiba</x:v>
      </x:c>
      <x:c r="E476" s="28" t="str">
        <x:v>AutoPeças BR</x:v>
      </x:c>
      <x:c r="F476" s="28" t="str">
        <x:v>Sul</x:v>
      </x:c>
      <x:c r="G476" s="28" t="str">
        <x:v>RápidoSul</x:v>
      </x:c>
      <x:c r="H476" s="28" t="str">
        <x:v>Curitiba-Sudeste</x:v>
      </x:c>
      <x:c r="I476" s="34" t="n">
        <x:v>45541</x:v>
      </x:c>
      <x:c r="J476" s="34" t="n">
        <x:v>45542</x:v>
      </x:c>
      <x:c r="K476" s="32" t="n">
        <x:v>1993</x:v>
      </x:c>
      <x:c r="L476" s="32" t="n">
        <x:v>1993</x:v>
      </x:c>
      <x:c r="M476" s="30" t="n">
        <x:v>155454</x:v>
      </x:c>
      <x:c r="N476" s="28" t="str">
        <x:v>Em atraso</x:v>
      </x:c>
      <x:c r="O476" s="28" t="str">
        <x:v>Janela perdida no cliente</x:v>
      </x:c>
      <x:c r="P476" s="30" t="n">
        <x:v>155454</x:v>
      </x:c>
    </x:row>
    <x:row r="477">
      <x:c r="A477" s="28" t="str">
        <x:v>PED-48476</x:v>
      </x:c>
      <x:c r="B477" s="34" t="n">
        <x:v>45536</x:v>
      </x:c>
      <x:c r="C477" s="28" t="str">
        <x:v>Grupo Industrial S.A.</x:v>
      </x:c>
      <x:c r="D477" s="28" t="str">
        <x:v>Planta Curitiba</x:v>
      </x:c>
      <x:c r="E477" s="28" t="str">
        <x:v>Construbem</x:v>
      </x:c>
      <x:c r="F477" s="28" t="str">
        <x:v>Sul</x:v>
      </x:c>
      <x:c r="G477" s="28" t="str">
        <x:v>RápidoSul</x:v>
      </x:c>
      <x:c r="H477" s="28" t="str">
        <x:v>Curitiba-Sudeste</x:v>
      </x:c>
      <x:c r="I477" s="34" t="n">
        <x:v>45544</x:v>
      </x:c>
      <x:c r="J477" s="34" t="n">
        <x:v>45544</x:v>
      </x:c>
      <x:c r="K477" s="32" t="n">
        <x:v>2022</x:v>
      </x:c>
      <x:c r="L477" s="32" t="n">
        <x:v>2022</x:v>
      </x:c>
      <x:c r="M477" s="30" t="n">
        <x:v>169848</x:v>
      </x:c>
      <x:c r="N477" s="28" t="str">
        <x:v>OTIF</x:v>
      </x:c>
      <x:c r="O477" s="28" t="str">
        <x:v>Janela perdida no cliente</x:v>
      </x:c>
      <x:c r="P477" s="30" t="n">
        <x:v>0</x:v>
      </x:c>
    </x:row>
    <x:row r="478">
      <x:c r="A478" s="28" t="str">
        <x:v>PED-48477</x:v>
      </x:c>
      <x:c r="B478" s="34" t="n">
        <x:v>45536</x:v>
      </x:c>
      <x:c r="C478" s="28" t="str">
        <x:v>Grupo Industrial S.A.</x:v>
      </x:c>
      <x:c r="D478" s="28" t="str">
        <x:v>Planta Curitiba</x:v>
      </x:c>
      <x:c r="E478" s="28" t="str">
        <x:v>Alimentos SA</x:v>
      </x:c>
      <x:c r="F478" s="28" t="str">
        <x:v>Sul</x:v>
      </x:c>
      <x:c r="G478" s="28" t="str">
        <x:v>RápidoSul</x:v>
      </x:c>
      <x:c r="H478" s="28" t="str">
        <x:v>Curitiba-Sudeste</x:v>
      </x:c>
      <x:c r="I478" s="34" t="n">
        <x:v>45547</x:v>
      </x:c>
      <x:c r="J478" s="34" t="n">
        <x:v>45548</x:v>
      </x:c>
      <x:c r="K478" s="32" t="n">
        <x:v>1093</x:v>
      </x:c>
      <x:c r="L478" s="32" t="n">
        <x:v>1093</x:v>
      </x:c>
      <x:c r="M478" s="30" t="n">
        <x:v>85254</x:v>
      </x:c>
      <x:c r="N478" s="28" t="str">
        <x:v>Em atraso</x:v>
      </x:c>
      <x:c r="O478" s="28" t="str">
        <x:v>Janela perdida no cliente</x:v>
      </x:c>
      <x:c r="P478" s="30" t="n">
        <x:v>85254</x:v>
      </x:c>
    </x:row>
    <x:row r="479">
      <x:c r="A479" s="28" t="str">
        <x:v>PED-48478</x:v>
      </x:c>
      <x:c r="B479" s="34" t="n">
        <x:v>45536</x:v>
      </x:c>
      <x:c r="C479" s="28" t="str">
        <x:v>Grupo Industrial S.A.</x:v>
      </x:c>
      <x:c r="D479" s="28" t="str">
        <x:v>Planta Curitiba</x:v>
      </x:c>
      <x:c r="E479" s="28" t="str">
        <x:v>Farma Vida</x:v>
      </x:c>
      <x:c r="F479" s="28" t="str">
        <x:v>Sul</x:v>
      </x:c>
      <x:c r="G479" s="28" t="str">
        <x:v>RápidoSul</x:v>
      </x:c>
      <x:c r="H479" s="28" t="str">
        <x:v>Curitiba-Sudeste</x:v>
      </x:c>
      <x:c r="I479" s="34" t="n">
        <x:v>45550</x:v>
      </x:c>
      <x:c r="J479" s="34" t="n">
        <x:v>45550</x:v>
      </x:c>
      <x:c r="K479" s="32" t="n">
        <x:v>841</x:v>
      </x:c>
      <x:c r="L479" s="32" t="n">
        <x:v>841</x:v>
      </x:c>
      <x:c r="M479" s="30" t="n">
        <x:v>77372</x:v>
      </x:c>
      <x:c r="N479" s="28" t="str">
        <x:v>OTIF</x:v>
      </x:c>
      <x:c r="O479" s="28" t="str">
        <x:v>Janela perdida no cliente</x:v>
      </x:c>
      <x:c r="P479" s="30" t="n">
        <x:v>0</x:v>
      </x:c>
    </x:row>
    <x:row r="480">
      <x:c r="A480" s="28" t="str">
        <x:v>PED-48479</x:v>
      </x:c>
      <x:c r="B480" s="34" t="n">
        <x:v>45536</x:v>
      </x:c>
      <x:c r="C480" s="28" t="str">
        <x:v>Grupo Industrial S.A.</x:v>
      </x:c>
      <x:c r="D480" s="28" t="str">
        <x:v>Planta Curitiba</x:v>
      </x:c>
      <x:c r="E480" s="28" t="str">
        <x:v>AutoPeças BR</x:v>
      </x:c>
      <x:c r="F480" s="28" t="str">
        <x:v>Sul</x:v>
      </x:c>
      <x:c r="G480" s="28" t="str">
        <x:v>RápidoSul</x:v>
      </x:c>
      <x:c r="H480" s="28" t="str">
        <x:v>Curitiba-Sudeste</x:v>
      </x:c>
      <x:c r="I480" s="34" t="n">
        <x:v>45553</x:v>
      </x:c>
      <x:c r="J480" s="34" t="n">
        <x:v>45553</x:v>
      </x:c>
      <x:c r="K480" s="32" t="n">
        <x:v>1929</x:v>
      </x:c>
      <x:c r="L480" s="32" t="n">
        <x:v>1929</x:v>
      </x:c>
      <x:c r="M480" s="30" t="n">
        <x:v>150462</x:v>
      </x:c>
      <x:c r="N480" s="28" t="str">
        <x:v>OTIF</x:v>
      </x:c>
      <x:c r="O480" s="28" t="str">
        <x:v>Janela perdida no cliente</x:v>
      </x:c>
      <x:c r="P480" s="30" t="n">
        <x:v>0</x:v>
      </x:c>
    </x:row>
    <x:row r="481">
      <x:c r="A481" s="28" t="str">
        <x:v>PED-48480</x:v>
      </x:c>
      <x:c r="B481" s="34" t="n">
        <x:v>45536</x:v>
      </x:c>
      <x:c r="C481" s="28" t="str">
        <x:v>Grupo Industrial S.A.</x:v>
      </x:c>
      <x:c r="D481" s="28" t="str">
        <x:v>Planta Curitiba</x:v>
      </x:c>
      <x:c r="E481" s="28" t="str">
        <x:v>Construbem</x:v>
      </x:c>
      <x:c r="F481" s="28" t="str">
        <x:v>Sul</x:v>
      </x:c>
      <x:c r="G481" s="28" t="str">
        <x:v>RápidoSul</x:v>
      </x:c>
      <x:c r="H481" s="28" t="str">
        <x:v>Curitiba-Sudeste</x:v>
      </x:c>
      <x:c r="I481" s="34" t="n">
        <x:v>45556</x:v>
      </x:c>
      <x:c r="J481" s="34" t="n">
        <x:v>45558</x:v>
      </x:c>
      <x:c r="K481" s="32" t="n">
        <x:v>1931</x:v>
      </x:c>
      <x:c r="L481" s="32" t="n">
        <x:v>1931</x:v>
      </x:c>
      <x:c r="M481" s="30" t="n">
        <x:v>162204</x:v>
      </x:c>
      <x:c r="N481" s="28" t="str">
        <x:v>Em atraso</x:v>
      </x:c>
      <x:c r="O481" s="28" t="str">
        <x:v>Atraso transportadora</x:v>
      </x:c>
      <x:c r="P481" s="30" t="n">
        <x:v>162204</x:v>
      </x:c>
    </x:row>
    <x:row r="482">
      <x:c r="A482" s="28" t="str">
        <x:v>PED-48481</x:v>
      </x:c>
      <x:c r="B482" s="34" t="n">
        <x:v>45536</x:v>
      </x:c>
      <x:c r="C482" s="28" t="str">
        <x:v>Grupo Industrial S.A.</x:v>
      </x:c>
      <x:c r="D482" s="28" t="str">
        <x:v>Planta Curitiba</x:v>
      </x:c>
      <x:c r="E482" s="28" t="str">
        <x:v>Farma Vida</x:v>
      </x:c>
      <x:c r="F482" s="28" t="str">
        <x:v>Sul</x:v>
      </x:c>
      <x:c r="G482" s="28" t="str">
        <x:v>NovaLog</x:v>
      </x:c>
      <x:c r="H482" s="28" t="str">
        <x:v>Curitiba-Centro-Oeste</x:v>
      </x:c>
      <x:c r="I482" s="34" t="n">
        <x:v>45541</x:v>
      </x:c>
      <x:c r="J482" s="34" t="n">
        <x:v>45545</x:v>
      </x:c>
      <x:c r="K482" s="32" t="n">
        <x:v>1189</x:v>
      </x:c>
      <x:c r="L482" s="32" t="n">
        <x:v>1189</x:v>
      </x:c>
      <x:c r="M482" s="30" t="n">
        <x:v>92742</x:v>
      </x:c>
      <x:c r="N482" s="28" t="str">
        <x:v>Em atraso</x:v>
      </x:c>
      <x:c r="O482" s="28" t="str">
        <x:v>Atraso transportadora</x:v>
      </x:c>
      <x:c r="P482" s="30" t="n">
        <x:v>92742</x:v>
      </x:c>
    </x:row>
    <x:row r="483">
      <x:c r="A483" s="28" t="str">
        <x:v>PED-48482</x:v>
      </x:c>
      <x:c r="B483" s="34" t="n">
        <x:v>45536</x:v>
      </x:c>
      <x:c r="C483" s="28" t="str">
        <x:v>Grupo Industrial S.A.</x:v>
      </x:c>
      <x:c r="D483" s="28" t="str">
        <x:v>Planta Curitiba</x:v>
      </x:c>
      <x:c r="E483" s="28" t="str">
        <x:v>AutoPeças BR</x:v>
      </x:c>
      <x:c r="F483" s="28" t="str">
        <x:v>Sul</x:v>
      </x:c>
      <x:c r="G483" s="28" t="str">
        <x:v>NovaLog</x:v>
      </x:c>
      <x:c r="H483" s="28" t="str">
        <x:v>Curitiba-Centro-Oeste</x:v>
      </x:c>
      <x:c r="I483" s="34" t="n">
        <x:v>45544</x:v>
      </x:c>
      <x:c r="J483" s="34" t="n">
        <x:v>45545</x:v>
      </x:c>
      <x:c r="K483" s="32" t="n">
        <x:v>1918</x:v>
      </x:c>
      <x:c r="L483" s="32" t="n">
        <x:v>1918</x:v>
      </x:c>
      <x:c r="M483" s="30" t="n">
        <x:v>149604</x:v>
      </x:c>
      <x:c r="N483" s="28" t="str">
        <x:v>Em atraso</x:v>
      </x:c>
      <x:c r="O483" s="28" t="str">
        <x:v>Atraso transportadora</x:v>
      </x:c>
      <x:c r="P483" s="30" t="n">
        <x:v>149604</x:v>
      </x:c>
    </x:row>
    <x:row r="484">
      <x:c r="A484" s="28" t="str">
        <x:v>PED-48483</x:v>
      </x:c>
      <x:c r="B484" s="34" t="n">
        <x:v>45536</x:v>
      </x:c>
      <x:c r="C484" s="28" t="str">
        <x:v>Grupo Industrial S.A.</x:v>
      </x:c>
      <x:c r="D484" s="28" t="str">
        <x:v>Planta Curitiba</x:v>
      </x:c>
      <x:c r="E484" s="28" t="str">
        <x:v>Construbem</x:v>
      </x:c>
      <x:c r="F484" s="28" t="str">
        <x:v>Sul</x:v>
      </x:c>
      <x:c r="G484" s="28" t="str">
        <x:v>NovaLog</x:v>
      </x:c>
      <x:c r="H484" s="28" t="str">
        <x:v>Curitiba-Centro-Oeste</x:v>
      </x:c>
      <x:c r="I484" s="34" t="n">
        <x:v>45547</x:v>
      </x:c>
      <x:c r="J484" s="34" t="n">
        <x:v>45548</x:v>
      </x:c>
      <x:c r="K484" s="32" t="n">
        <x:v>924</x:v>
      </x:c>
      <x:c r="L484" s="32" t="n">
        <x:v>924</x:v>
      </x:c>
      <x:c r="M484" s="30" t="n">
        <x:v>66528</x:v>
      </x:c>
      <x:c r="N484" s="28" t="str">
        <x:v>Em atraso</x:v>
      </x:c>
      <x:c r="O484" s="28" t="str">
        <x:v>Atraso transportadora</x:v>
      </x:c>
      <x:c r="P484" s="30" t="n">
        <x:v>66528</x:v>
      </x:c>
    </x:row>
    <x:row r="485">
      <x:c r="A485" s="28" t="str">
        <x:v>PED-48484</x:v>
      </x:c>
      <x:c r="B485" s="34" t="n">
        <x:v>45536</x:v>
      </x:c>
      <x:c r="C485" s="28" t="str">
        <x:v>Grupo Industrial S.A.</x:v>
      </x:c>
      <x:c r="D485" s="28" t="str">
        <x:v>Planta Curitiba</x:v>
      </x:c>
      <x:c r="E485" s="28" t="str">
        <x:v>Alimentos SA</x:v>
      </x:c>
      <x:c r="F485" s="28" t="str">
        <x:v>Sul</x:v>
      </x:c>
      <x:c r="G485" s="28" t="str">
        <x:v>NovaLog</x:v>
      </x:c>
      <x:c r="H485" s="28" t="str">
        <x:v>Curitiba-Centro-Oeste</x:v>
      </x:c>
      <x:c r="I485" s="34" t="n">
        <x:v>45550</x:v>
      </x:c>
      <x:c r="J485" s="34" t="n">
        <x:v>45554</x:v>
      </x:c>
      <x:c r="K485" s="32" t="n">
        <x:v>1747</x:v>
      </x:c>
      <x:c r="L485" s="32" t="n">
        <x:v>1747</x:v>
      </x:c>
      <x:c r="M485" s="30" t="n">
        <x:v>160724</x:v>
      </x:c>
      <x:c r="N485" s="28" t="str">
        <x:v>Em atraso</x:v>
      </x:c>
      <x:c r="O485" s="28" t="str">
        <x:v>Atraso transportadora</x:v>
      </x:c>
      <x:c r="P485" s="30" t="n">
        <x:v>160724</x:v>
      </x:c>
    </x:row>
    <x:row r="486">
      <x:c r="A486" s="28" t="str">
        <x:v>PED-48485</x:v>
      </x:c>
      <x:c r="B486" s="34" t="n">
        <x:v>45536</x:v>
      </x:c>
      <x:c r="C486" s="28" t="str">
        <x:v>Grupo Industrial S.A.</x:v>
      </x:c>
      <x:c r="D486" s="28" t="str">
        <x:v>Planta Curitiba</x:v>
      </x:c>
      <x:c r="E486" s="28" t="str">
        <x:v>Farma Vida</x:v>
      </x:c>
      <x:c r="F486" s="28" t="str">
        <x:v>Sul</x:v>
      </x:c>
      <x:c r="G486" s="28" t="str">
        <x:v>NovaLog</x:v>
      </x:c>
      <x:c r="H486" s="28" t="str">
        <x:v>Curitiba-Centro-Oeste</x:v>
      </x:c>
      <x:c r="I486" s="34" t="n">
        <x:v>45553</x:v>
      </x:c>
      <x:c r="J486" s="34" t="n">
        <x:v>45553</x:v>
      </x:c>
      <x:c r="K486" s="32" t="n">
        <x:v>755</x:v>
      </x:c>
      <x:c r="L486" s="32" t="n">
        <x:v>755</x:v>
      </x:c>
      <x:c r="M486" s="30" t="n">
        <x:v>54360</x:v>
      </x:c>
      <x:c r="N486" s="28" t="str">
        <x:v>OTIF</x:v>
      </x:c>
      <x:c r="O486" s="28" t="str">
        <x:v>Janela perdida no cliente</x:v>
      </x:c>
      <x:c r="P486" s="30" t="n">
        <x:v>0</x:v>
      </x:c>
    </x:row>
    <x:row r="487">
      <x:c r="A487" s="28" t="str">
        <x:v>PED-48486</x:v>
      </x:c>
      <x:c r="B487" s="34" t="n">
        <x:v>45536</x:v>
      </x:c>
      <x:c r="C487" s="28" t="str">
        <x:v>Grupo Industrial S.A.</x:v>
      </x:c>
      <x:c r="D487" s="28" t="str">
        <x:v>Planta Curitiba</x:v>
      </x:c>
      <x:c r="E487" s="28" t="str">
        <x:v>AutoPeças BR</x:v>
      </x:c>
      <x:c r="F487" s="28" t="str">
        <x:v>Sul</x:v>
      </x:c>
      <x:c r="G487" s="28" t="str">
        <x:v>NovaLog</x:v>
      </x:c>
      <x:c r="H487" s="28" t="str">
        <x:v>Curitiba-Centro-Oeste</x:v>
      </x:c>
      <x:c r="I487" s="34" t="n">
        <x:v>45556</x:v>
      </x:c>
      <x:c r="J487" s="34" t="n">
        <x:v>45556</x:v>
      </x:c>
      <x:c r="K487" s="32" t="n">
        <x:v>1486</x:v>
      </x:c>
      <x:c r="L487" s="32" t="n">
        <x:v>1486</x:v>
      </x:c>
      <x:c r="M487" s="30" t="n">
        <x:v>124824</x:v>
      </x:c>
      <x:c r="N487" s="28" t="str">
        <x:v>OTIF</x:v>
      </x:c>
      <x:c r="O487" s="28" t="str">
        <x:v>Janela perdida no cliente</x:v>
      </x:c>
      <x:c r="P487" s="30" t="n">
        <x:v>0</x:v>
      </x:c>
    </x:row>
    <x:row r="488">
      <x:c r="A488" s="28" t="str">
        <x:v>PED-48487</x:v>
      </x:c>
      <x:c r="B488" s="34" t="n">
        <x:v>45566</x:v>
      </x:c>
      <x:c r="C488" s="28" t="str">
        <x:v>Grupo Industrial S.A.</x:v>
      </x:c>
      <x:c r="D488" s="28" t="str">
        <x:v>Planta São Paulo</x:v>
      </x:c>
      <x:c r="E488" s="28" t="str">
        <x:v>Alimentos SA</x:v>
      </x:c>
      <x:c r="F488" s="28" t="str">
        <x:v>Sudeste</x:v>
      </x:c>
      <x:c r="G488" s="28" t="str">
        <x:v>TransDados</x:v>
      </x:c>
      <x:c r="H488" s="28" t="str">
        <x:v>SP-Sudeste</x:v>
      </x:c>
      <x:c r="I488" s="34" t="n">
        <x:v>45571</x:v>
      </x:c>
      <x:c r="J488" s="34" t="n">
        <x:v>45572</x:v>
      </x:c>
      <x:c r="K488" s="32" t="n">
        <x:v>1154</x:v>
      </x:c>
      <x:c r="L488" s="32" t="n">
        <x:v>1154</x:v>
      </x:c>
      <x:c r="M488" s="30" t="n">
        <x:v>90012</x:v>
      </x:c>
      <x:c r="N488" s="28" t="str">
        <x:v>Em atraso</x:v>
      </x:c>
      <x:c r="O488" s="28" t="str">
        <x:v>Janela perdida no cliente</x:v>
      </x:c>
      <x:c r="P488" s="30" t="n">
        <x:v>90012</x:v>
      </x:c>
    </x:row>
    <x:row r="489">
      <x:c r="A489" s="28" t="str">
        <x:v>PED-48488</x:v>
      </x:c>
      <x:c r="B489" s="34" t="n">
        <x:v>45566</x:v>
      </x:c>
      <x:c r="C489" s="28" t="str">
        <x:v>Grupo Industrial S.A.</x:v>
      </x:c>
      <x:c r="D489" s="28" t="str">
        <x:v>Planta São Paulo</x:v>
      </x:c>
      <x:c r="E489" s="28" t="str">
        <x:v>Farma Vida</x:v>
      </x:c>
      <x:c r="F489" s="28" t="str">
        <x:v>Sudeste</x:v>
      </x:c>
      <x:c r="G489" s="28" t="str">
        <x:v>TransDados</x:v>
      </x:c>
      <x:c r="H489" s="28" t="str">
        <x:v>SP-Sudeste</x:v>
      </x:c>
      <x:c r="I489" s="34" t="n">
        <x:v>45574</x:v>
      </x:c>
      <x:c r="J489" s="34" t="n">
        <x:v>45578</x:v>
      </x:c>
      <x:c r="K489" s="32" t="n">
        <x:v>2196</x:v>
      </x:c>
      <x:c r="L489" s="32" t="n">
        <x:v>2196</x:v>
      </x:c>
      <x:c r="M489" s="30" t="n">
        <x:v>171288</x:v>
      </x:c>
      <x:c r="N489" s="28" t="str">
        <x:v>Em atraso</x:v>
      </x:c>
      <x:c r="O489" s="28" t="str">
        <x:v>Atraso transportadora</x:v>
      </x:c>
      <x:c r="P489" s="30" t="n">
        <x:v>171288</x:v>
      </x:c>
    </x:row>
    <x:row r="490">
      <x:c r="A490" s="28" t="str">
        <x:v>PED-48489</x:v>
      </x:c>
      <x:c r="B490" s="34" t="n">
        <x:v>45566</x:v>
      </x:c>
      <x:c r="C490" s="28" t="str">
        <x:v>Grupo Industrial S.A.</x:v>
      </x:c>
      <x:c r="D490" s="28" t="str">
        <x:v>Planta São Paulo</x:v>
      </x:c>
      <x:c r="E490" s="28" t="str">
        <x:v>AutoPeças BR</x:v>
      </x:c>
      <x:c r="F490" s="28" t="str">
        <x:v>Sudeste</x:v>
      </x:c>
      <x:c r="G490" s="28" t="str">
        <x:v>TransDados</x:v>
      </x:c>
      <x:c r="H490" s="28" t="str">
        <x:v>SP-Sudeste</x:v>
      </x:c>
      <x:c r="I490" s="34" t="n">
        <x:v>45577</x:v>
      </x:c>
      <x:c r="J490" s="34" t="n">
        <x:v>45577</x:v>
      </x:c>
      <x:c r="K490" s="32" t="n">
        <x:v>966</x:v>
      </x:c>
      <x:c r="L490" s="32" t="n">
        <x:v>966</x:v>
      </x:c>
      <x:c r="M490" s="30" t="n">
        <x:v>75348</x:v>
      </x:c>
      <x:c r="N490" s="28" t="str">
        <x:v>OTIF</x:v>
      </x:c>
      <x:c r="O490" s="28" t="str">
        <x:v>Janela perdida no cliente</x:v>
      </x:c>
      <x:c r="P490" s="30" t="n">
        <x:v>0</x:v>
      </x:c>
    </x:row>
    <x:row r="491">
      <x:c r="A491" s="28" t="str">
        <x:v>PED-48490</x:v>
      </x:c>
      <x:c r="B491" s="34" t="n">
        <x:v>45566</x:v>
      </x:c>
      <x:c r="C491" s="28" t="str">
        <x:v>Grupo Industrial S.A.</x:v>
      </x:c>
      <x:c r="D491" s="28" t="str">
        <x:v>Planta São Paulo</x:v>
      </x:c>
      <x:c r="E491" s="28" t="str">
        <x:v>Construbem</x:v>
      </x:c>
      <x:c r="F491" s="28" t="str">
        <x:v>Sudeste</x:v>
      </x:c>
      <x:c r="G491" s="28" t="str">
        <x:v>TransDados</x:v>
      </x:c>
      <x:c r="H491" s="28" t="str">
        <x:v>SP-Sudeste</x:v>
      </x:c>
      <x:c r="I491" s="34" t="n">
        <x:v>45580</x:v>
      </x:c>
      <x:c r="J491" s="34" t="n">
        <x:v>45581</x:v>
      </x:c>
      <x:c r="K491" s="32" t="n">
        <x:v>845</x:v>
      </x:c>
      <x:c r="L491" s="32" t="n">
        <x:v>845</x:v>
      </x:c>
      <x:c r="M491" s="30" t="n">
        <x:v>70980</x:v>
      </x:c>
      <x:c r="N491" s="28" t="str">
        <x:v>Em atraso</x:v>
      </x:c>
      <x:c r="O491" s="28" t="str">
        <x:v>Janela perdida no cliente</x:v>
      </x:c>
      <x:c r="P491" s="30" t="n">
        <x:v>70980</x:v>
      </x:c>
    </x:row>
    <x:row r="492">
      <x:c r="A492" s="28" t="str">
        <x:v>PED-48491</x:v>
      </x:c>
      <x:c r="B492" s="34" t="n">
        <x:v>45566</x:v>
      </x:c>
      <x:c r="C492" s="28" t="str">
        <x:v>Grupo Industrial S.A.</x:v>
      </x:c>
      <x:c r="D492" s="28" t="str">
        <x:v>Planta São Paulo</x:v>
      </x:c>
      <x:c r="E492" s="28" t="str">
        <x:v>Alimentos SA</x:v>
      </x:c>
      <x:c r="F492" s="28" t="str">
        <x:v>Sudeste</x:v>
      </x:c>
      <x:c r="G492" s="28" t="str">
        <x:v>TransDados</x:v>
      </x:c>
      <x:c r="H492" s="28" t="str">
        <x:v>SP-Sudeste</x:v>
      </x:c>
      <x:c r="I492" s="34" t="n">
        <x:v>45583</x:v>
      </x:c>
      <x:c r="J492" s="34" t="n">
        <x:v>45583</x:v>
      </x:c>
      <x:c r="K492" s="32" t="n">
        <x:v>1868</x:v>
      </x:c>
      <x:c r="L492" s="32" t="n">
        <x:v>1868</x:v>
      </x:c>
      <x:c r="M492" s="30" t="n">
        <x:v>134496</x:v>
      </x:c>
      <x:c r="N492" s="28" t="str">
        <x:v>OTIF</x:v>
      </x:c>
      <x:c r="O492" s="28" t="str">
        <x:v>Janela perdida no cliente</x:v>
      </x:c>
      <x:c r="P492" s="30" t="n">
        <x:v>0</x:v>
      </x:c>
    </x:row>
    <x:row r="493">
      <x:c r="A493" s="28" t="str">
        <x:v>PED-48492</x:v>
      </x:c>
      <x:c r="B493" s="34" t="n">
        <x:v>45566</x:v>
      </x:c>
      <x:c r="C493" s="28" t="str">
        <x:v>Grupo Industrial S.A.</x:v>
      </x:c>
      <x:c r="D493" s="28" t="str">
        <x:v>Planta São Paulo</x:v>
      </x:c>
      <x:c r="E493" s="28" t="str">
        <x:v>Farma Vida</x:v>
      </x:c>
      <x:c r="F493" s="28" t="str">
        <x:v>Sudeste</x:v>
      </x:c>
      <x:c r="G493" s="28" t="str">
        <x:v>TransDados</x:v>
      </x:c>
      <x:c r="H493" s="28" t="str">
        <x:v>SP-Sudeste</x:v>
      </x:c>
      <x:c r="I493" s="34" t="n">
        <x:v>45586</x:v>
      </x:c>
      <x:c r="J493" s="34" t="n">
        <x:v>45588</x:v>
      </x:c>
      <x:c r="K493" s="32" t="n">
        <x:v>2049</x:v>
      </x:c>
      <x:c r="L493" s="32" t="n">
        <x:v>2049</x:v>
      </x:c>
      <x:c r="M493" s="30" t="n">
        <x:v>172116</x:v>
      </x:c>
      <x:c r="N493" s="28" t="str">
        <x:v>Em atraso</x:v>
      </x:c>
      <x:c r="O493" s="28" t="str">
        <x:v>Atraso transportadora</x:v>
      </x:c>
      <x:c r="P493" s="30" t="n">
        <x:v>172116</x:v>
      </x:c>
    </x:row>
    <x:row r="494">
      <x:c r="A494" s="28" t="str">
        <x:v>PED-48493</x:v>
      </x:c>
      <x:c r="B494" s="34" t="n">
        <x:v>45566</x:v>
      </x:c>
      <x:c r="C494" s="28" t="str">
        <x:v>Grupo Industrial S.A.</x:v>
      </x:c>
      <x:c r="D494" s="28" t="str">
        <x:v>Planta São Paulo</x:v>
      </x:c>
      <x:c r="E494" s="28" t="str">
        <x:v>Construbem</x:v>
      </x:c>
      <x:c r="F494" s="28" t="str">
        <x:v>Sudeste</x:v>
      </x:c>
      <x:c r="G494" s="28" t="str">
        <x:v>RápidoSul</x:v>
      </x:c>
      <x:c r="H494" s="28" t="str">
        <x:v>SP-Centro-Oeste</x:v>
      </x:c>
      <x:c r="I494" s="34" t="n">
        <x:v>45571</x:v>
      </x:c>
      <x:c r="J494" s="34" t="n">
        <x:v>45573</x:v>
      </x:c>
      <x:c r="K494" s="32" t="n">
        <x:v>1038</x:v>
      </x:c>
      <x:c r="L494" s="32" t="n">
        <x:v>1038</x:v>
      </x:c>
      <x:c r="M494" s="30" t="n">
        <x:v>74736</x:v>
      </x:c>
      <x:c r="N494" s="28" t="str">
        <x:v>Em atraso</x:v>
      </x:c>
      <x:c r="O494" s="28" t="str">
        <x:v>Atraso transportadora</x:v>
      </x:c>
      <x:c r="P494" s="30" t="n">
        <x:v>74736</x:v>
      </x:c>
    </x:row>
    <x:row r="495">
      <x:c r="A495" s="28" t="str">
        <x:v>PED-48494</x:v>
      </x:c>
      <x:c r="B495" s="34" t="n">
        <x:v>45566</x:v>
      </x:c>
      <x:c r="C495" s="28" t="str">
        <x:v>Grupo Industrial S.A.</x:v>
      </x:c>
      <x:c r="D495" s="28" t="str">
        <x:v>Planta São Paulo</x:v>
      </x:c>
      <x:c r="E495" s="28" t="str">
        <x:v>Alimentos SA</x:v>
      </x:c>
      <x:c r="F495" s="28" t="str">
        <x:v>Sudeste</x:v>
      </x:c>
      <x:c r="G495" s="28" t="str">
        <x:v>RápidoSul</x:v>
      </x:c>
      <x:c r="H495" s="28" t="str">
        <x:v>SP-Centro-Oeste</x:v>
      </x:c>
      <x:c r="I495" s="34" t="n">
        <x:v>45574</x:v>
      </x:c>
      <x:c r="J495" s="34" t="n">
        <x:v>45575</x:v>
      </x:c>
      <x:c r="K495" s="32" t="n">
        <x:v>1167</x:v>
      </x:c>
      <x:c r="L495" s="32" t="n">
        <x:v>1167</x:v>
      </x:c>
      <x:c r="M495" s="30" t="n">
        <x:v>98028</x:v>
      </x:c>
      <x:c r="N495" s="28" t="str">
        <x:v>Em atraso</x:v>
      </x:c>
      <x:c r="O495" s="28" t="str">
        <x:v>Janela perdida no cliente</x:v>
      </x:c>
      <x:c r="P495" s="30" t="n">
        <x:v>98028</x:v>
      </x:c>
    </x:row>
    <x:row r="496">
      <x:c r="A496" s="28" t="str">
        <x:v>PED-48495</x:v>
      </x:c>
      <x:c r="B496" s="34" t="n">
        <x:v>45566</x:v>
      </x:c>
      <x:c r="C496" s="28" t="str">
        <x:v>Grupo Industrial S.A.</x:v>
      </x:c>
      <x:c r="D496" s="28" t="str">
        <x:v>Planta São Paulo</x:v>
      </x:c>
      <x:c r="E496" s="28" t="str">
        <x:v>Farma Vida</x:v>
      </x:c>
      <x:c r="F496" s="28" t="str">
        <x:v>Sudeste</x:v>
      </x:c>
      <x:c r="G496" s="28" t="str">
        <x:v>RápidoSul</x:v>
      </x:c>
      <x:c r="H496" s="28" t="str">
        <x:v>SP-Centro-Oeste</x:v>
      </x:c>
      <x:c r="I496" s="34" t="n">
        <x:v>45577</x:v>
      </x:c>
      <x:c r="J496" s="34" t="n">
        <x:v>45578</x:v>
      </x:c>
      <x:c r="K496" s="32" t="n">
        <x:v>1964</x:v>
      </x:c>
      <x:c r="L496" s="32" t="n">
        <x:v>1964</x:v>
      </x:c>
      <x:c r="M496" s="30" t="n">
        <x:v>180688</x:v>
      </x:c>
      <x:c r="N496" s="28" t="str">
        <x:v>Em atraso</x:v>
      </x:c>
      <x:c r="O496" s="28" t="str">
        <x:v>Janela perdida no cliente</x:v>
      </x:c>
      <x:c r="P496" s="30" t="n">
        <x:v>180688</x:v>
      </x:c>
    </x:row>
    <x:row r="497">
      <x:c r="A497" s="28" t="str">
        <x:v>PED-48496</x:v>
      </x:c>
      <x:c r="B497" s="34" t="n">
        <x:v>45566</x:v>
      </x:c>
      <x:c r="C497" s="28" t="str">
        <x:v>Grupo Industrial S.A.</x:v>
      </x:c>
      <x:c r="D497" s="28" t="str">
        <x:v>Planta São Paulo</x:v>
      </x:c>
      <x:c r="E497" s="28" t="str">
        <x:v>AutoPeças BR</x:v>
      </x:c>
      <x:c r="F497" s="28" t="str">
        <x:v>Sudeste</x:v>
      </x:c>
      <x:c r="G497" s="28" t="str">
        <x:v>RápidoSul</x:v>
      </x:c>
      <x:c r="H497" s="28" t="str">
        <x:v>SP-Centro-Oeste</x:v>
      </x:c>
      <x:c r="I497" s="34" t="n">
        <x:v>45580</x:v>
      </x:c>
      <x:c r="J497" s="34" t="n">
        <x:v>45581</x:v>
      </x:c>
      <x:c r="K497" s="32" t="n">
        <x:v>1984</x:v>
      </x:c>
      <x:c r="L497" s="32" t="n">
        <x:v>1984</x:v>
      </x:c>
      <x:c r="M497" s="30" t="n">
        <x:v>142848</x:v>
      </x:c>
      <x:c r="N497" s="28" t="str">
        <x:v>Em atraso</x:v>
      </x:c>
      <x:c r="O497" s="28" t="str">
        <x:v>Atraso transportadora</x:v>
      </x:c>
      <x:c r="P497" s="30" t="n">
        <x:v>142848</x:v>
      </x:c>
    </x:row>
    <x:row r="498">
      <x:c r="A498" s="28" t="str">
        <x:v>PED-48497</x:v>
      </x:c>
      <x:c r="B498" s="34" t="n">
        <x:v>45566</x:v>
      </x:c>
      <x:c r="C498" s="28" t="str">
        <x:v>Grupo Industrial S.A.</x:v>
      </x:c>
      <x:c r="D498" s="28" t="str">
        <x:v>Planta São Paulo</x:v>
      </x:c>
      <x:c r="E498" s="28" t="str">
        <x:v>Construbem</x:v>
      </x:c>
      <x:c r="F498" s="28" t="str">
        <x:v>Sudeste</x:v>
      </x:c>
      <x:c r="G498" s="28" t="str">
        <x:v>RápidoSul</x:v>
      </x:c>
      <x:c r="H498" s="28" t="str">
        <x:v>SP-Centro-Oeste</x:v>
      </x:c>
      <x:c r="I498" s="34" t="n">
        <x:v>45583</x:v>
      </x:c>
      <x:c r="J498" s="34" t="n">
        <x:v>45585</x:v>
      </x:c>
      <x:c r="K498" s="32" t="n">
        <x:v>1929</x:v>
      </x:c>
      <x:c r="L498" s="32" t="n">
        <x:v>1716</x:v>
      </x:c>
      <x:c r="M498" s="30" t="n">
        <x:v>177468</x:v>
      </x:c>
      <x:c r="N498" s="28" t="str">
        <x:v>Em atraso</x:v>
      </x:c>
      <x:c r="O498" s="28" t="str">
        <x:v>Atraso transportadora</x:v>
      </x:c>
      <x:c r="P498" s="30" t="n">
        <x:v>177468</x:v>
      </x:c>
    </x:row>
    <x:row r="499">
      <x:c r="A499" s="28" t="str">
        <x:v>PED-48498</x:v>
      </x:c>
      <x:c r="B499" s="34" t="n">
        <x:v>45566</x:v>
      </x:c>
      <x:c r="C499" s="28" t="str">
        <x:v>Grupo Industrial S.A.</x:v>
      </x:c>
      <x:c r="D499" s="28" t="str">
        <x:v>Planta São Paulo</x:v>
      </x:c>
      <x:c r="E499" s="28" t="str">
        <x:v>Alimentos SA</x:v>
      </x:c>
      <x:c r="F499" s="28" t="str">
        <x:v>Sudeste</x:v>
      </x:c>
      <x:c r="G499" s="28" t="str">
        <x:v>RápidoSul</x:v>
      </x:c>
      <x:c r="H499" s="28" t="str">
        <x:v>SP-Centro-Oeste</x:v>
      </x:c>
      <x:c r="I499" s="34" t="n">
        <x:v>45586</x:v>
      </x:c>
      <x:c r="J499" s="34" t="n">
        <x:v>45586</x:v>
      </x:c>
      <x:c r="K499" s="32" t="n">
        <x:v>1008</x:v>
      </x:c>
      <x:c r="L499" s="32" t="n">
        <x:v>1008</x:v>
      </x:c>
      <x:c r="M499" s="30" t="n">
        <x:v>78624</x:v>
      </x:c>
      <x:c r="N499" s="28" t="str">
        <x:v>OTIF</x:v>
      </x:c>
      <x:c r="O499" s="28" t="str">
        <x:v>Janela perdida no cliente</x:v>
      </x:c>
      <x:c r="P499" s="30" t="n">
        <x:v>0</x:v>
      </x:c>
    </x:row>
    <x:row r="500">
      <x:c r="A500" s="28" t="str">
        <x:v>PED-48499</x:v>
      </x:c>
      <x:c r="B500" s="34" t="n">
        <x:v>45566</x:v>
      </x:c>
      <x:c r="C500" s="28" t="str">
        <x:v>Grupo Industrial S.A.</x:v>
      </x:c>
      <x:c r="D500" s="28" t="str">
        <x:v>Planta São Paulo</x:v>
      </x:c>
      <x:c r="E500" s="28" t="str">
        <x:v>AutoPeças BR</x:v>
      </x:c>
      <x:c r="F500" s="28" t="str">
        <x:v>Sudeste</x:v>
      </x:c>
      <x:c r="G500" s="28" t="str">
        <x:v>NovaLog</x:v>
      </x:c>
      <x:c r="H500" s="28" t="str">
        <x:v>SP-Nordeste</x:v>
      </x:c>
      <x:c r="I500" s="34" t="n">
        <x:v>45571</x:v>
      </x:c>
      <x:c r="J500" s="34" t="n">
        <x:v>45571</x:v>
      </x:c>
      <x:c r="K500" s="32" t="n">
        <x:v>1696</x:v>
      </x:c>
      <x:c r="L500" s="32" t="n">
        <x:v>1696</x:v>
      </x:c>
      <x:c r="M500" s="30" t="n">
        <x:v>122112</x:v>
      </x:c>
      <x:c r="N500" s="28" t="str">
        <x:v>OTIF</x:v>
      </x:c>
      <x:c r="O500" s="28" t="str">
        <x:v>Janela perdida no cliente</x:v>
      </x:c>
      <x:c r="P500" s="30" t="n">
        <x:v>0</x:v>
      </x:c>
    </x:row>
    <x:row r="501">
      <x:c r="A501" s="28" t="str">
        <x:v>PED-48500</x:v>
      </x:c>
      <x:c r="B501" s="34" t="n">
        <x:v>45566</x:v>
      </x:c>
      <x:c r="C501" s="28" t="str">
        <x:v>Grupo Industrial S.A.</x:v>
      </x:c>
      <x:c r="D501" s="28" t="str">
        <x:v>Planta São Paulo</x:v>
      </x:c>
      <x:c r="E501" s="28" t="str">
        <x:v>Construbem</x:v>
      </x:c>
      <x:c r="F501" s="28" t="str">
        <x:v>Sudeste</x:v>
      </x:c>
      <x:c r="G501" s="28" t="str">
        <x:v>NovaLog</x:v>
      </x:c>
      <x:c r="H501" s="28" t="str">
        <x:v>SP-Nordeste</x:v>
      </x:c>
      <x:c r="I501" s="34" t="n">
        <x:v>45574</x:v>
      </x:c>
      <x:c r="J501" s="34" t="n">
        <x:v>45576</x:v>
      </x:c>
      <x:c r="K501" s="32" t="n">
        <x:v>1880</x:v>
      </x:c>
      <x:c r="L501" s="32" t="n">
        <x:v>1880</x:v>
      </x:c>
      <x:c r="M501" s="30" t="n">
        <x:v>135360</x:v>
      </x:c>
      <x:c r="N501" s="28" t="str">
        <x:v>Em atraso</x:v>
      </x:c>
      <x:c r="O501" s="28" t="str">
        <x:v>Atraso transportadora</x:v>
      </x:c>
      <x:c r="P501" s="30" t="n">
        <x:v>135360</x:v>
      </x:c>
    </x:row>
    <x:row r="502">
      <x:c r="A502" s="28" t="str">
        <x:v>PED-48501</x:v>
      </x:c>
      <x:c r="B502" s="34" t="n">
        <x:v>45566</x:v>
      </x:c>
      <x:c r="C502" s="28" t="str">
        <x:v>Grupo Industrial S.A.</x:v>
      </x:c>
      <x:c r="D502" s="28" t="str">
        <x:v>Planta São Paulo</x:v>
      </x:c>
      <x:c r="E502" s="28" t="str">
        <x:v>Alimentos SA</x:v>
      </x:c>
      <x:c r="F502" s="28" t="str">
        <x:v>Sudeste</x:v>
      </x:c>
      <x:c r="G502" s="28" t="str">
        <x:v>NovaLog</x:v>
      </x:c>
      <x:c r="H502" s="28" t="str">
        <x:v>SP-Nordeste</x:v>
      </x:c>
      <x:c r="I502" s="34" t="n">
        <x:v>45577</x:v>
      </x:c>
      <x:c r="J502" s="34" t="n">
        <x:v>45577</x:v>
      </x:c>
      <x:c r="K502" s="32" t="n">
        <x:v>796</x:v>
      </x:c>
      <x:c r="L502" s="32" t="n">
        <x:v>796</x:v>
      </x:c>
      <x:c r="M502" s="30" t="n">
        <x:v>73232</x:v>
      </x:c>
      <x:c r="N502" s="28" t="str">
        <x:v>OTIF</x:v>
      </x:c>
      <x:c r="O502" s="28" t="str">
        <x:v>Janela perdida no cliente</x:v>
      </x:c>
      <x:c r="P502" s="30" t="n">
        <x:v>0</x:v>
      </x:c>
    </x:row>
    <x:row r="503">
      <x:c r="A503" s="28" t="str">
        <x:v>PED-48502</x:v>
      </x:c>
      <x:c r="B503" s="34" t="n">
        <x:v>45566</x:v>
      </x:c>
      <x:c r="C503" s="28" t="str">
        <x:v>Grupo Industrial S.A.</x:v>
      </x:c>
      <x:c r="D503" s="28" t="str">
        <x:v>Planta São Paulo</x:v>
      </x:c>
      <x:c r="E503" s="28" t="str">
        <x:v>Farma Vida</x:v>
      </x:c>
      <x:c r="F503" s="28" t="str">
        <x:v>Sudeste</x:v>
      </x:c>
      <x:c r="G503" s="28" t="str">
        <x:v>NovaLog</x:v>
      </x:c>
      <x:c r="H503" s="28" t="str">
        <x:v>SP-Nordeste</x:v>
      </x:c>
      <x:c r="I503" s="34" t="n">
        <x:v>45580</x:v>
      </x:c>
      <x:c r="J503" s="34" t="n">
        <x:v>45580</x:v>
      </x:c>
      <x:c r="K503" s="32" t="n">
        <x:v>1308</x:v>
      </x:c>
      <x:c r="L503" s="32" t="n">
        <x:v>1099</x:v>
      </x:c>
      <x:c r="M503" s="30" t="n">
        <x:v>102024</x:v>
      </x:c>
      <x:c r="N503" s="28" t="str">
        <x:v>Incompleto</x:v>
      </x:c>
      <x:c r="O503" s="28" t="str">
        <x:v>Falta de produto</x:v>
      </x:c>
      <x:c r="P503" s="30" t="n">
        <x:v>102024</x:v>
      </x:c>
    </x:row>
    <x:row r="504">
      <x:c r="A504" s="28" t="str">
        <x:v>PED-48503</x:v>
      </x:c>
      <x:c r="B504" s="34" t="n">
        <x:v>45566</x:v>
      </x:c>
      <x:c r="C504" s="28" t="str">
        <x:v>Grupo Industrial S.A.</x:v>
      </x:c>
      <x:c r="D504" s="28" t="str">
        <x:v>Planta São Paulo</x:v>
      </x:c>
      <x:c r="E504" s="28" t="str">
        <x:v>AutoPeças BR</x:v>
      </x:c>
      <x:c r="F504" s="28" t="str">
        <x:v>Sudeste</x:v>
      </x:c>
      <x:c r="G504" s="28" t="str">
        <x:v>NovaLog</x:v>
      </x:c>
      <x:c r="H504" s="28" t="str">
        <x:v>SP-Nordeste</x:v>
      </x:c>
      <x:c r="I504" s="34" t="n">
        <x:v>45583</x:v>
      </x:c>
      <x:c r="J504" s="34" t="n">
        <x:v>45583</x:v>
      </x:c>
      <x:c r="K504" s="32" t="n">
        <x:v>1904</x:v>
      </x:c>
      <x:c r="L504" s="32" t="n">
        <x:v>1904</x:v>
      </x:c>
      <x:c r="M504" s="30" t="n">
        <x:v>159936</x:v>
      </x:c>
      <x:c r="N504" s="28" t="str">
        <x:v>OTIF</x:v>
      </x:c>
      <x:c r="O504" s="28" t="str">
        <x:v>Janela perdida no cliente</x:v>
      </x:c>
      <x:c r="P504" s="30" t="n">
        <x:v>0</x:v>
      </x:c>
    </x:row>
    <x:row r="505">
      <x:c r="A505" s="28" t="str">
        <x:v>PED-48504</x:v>
      </x:c>
      <x:c r="B505" s="34" t="n">
        <x:v>45566</x:v>
      </x:c>
      <x:c r="C505" s="28" t="str">
        <x:v>Grupo Industrial S.A.</x:v>
      </x:c>
      <x:c r="D505" s="28" t="str">
        <x:v>Planta São Paulo</x:v>
      </x:c>
      <x:c r="E505" s="28" t="str">
        <x:v>Construbem</x:v>
      </x:c>
      <x:c r="F505" s="28" t="str">
        <x:v>Sudeste</x:v>
      </x:c>
      <x:c r="G505" s="28" t="str">
        <x:v>NovaLog</x:v>
      </x:c>
      <x:c r="H505" s="28" t="str">
        <x:v>SP-Nordeste</x:v>
      </x:c>
      <x:c r="I505" s="34" t="n">
        <x:v>45586</x:v>
      </x:c>
      <x:c r="J505" s="34" t="n">
        <x:v>45588</x:v>
      </x:c>
      <x:c r="K505" s="32" t="n">
        <x:v>1413</x:v>
      </x:c>
      <x:c r="L505" s="32" t="n">
        <x:v>1413</x:v>
      </x:c>
      <x:c r="M505" s="30" t="n">
        <x:v>129996</x:v>
      </x:c>
      <x:c r="N505" s="28" t="str">
        <x:v>Em atraso</x:v>
      </x:c>
      <x:c r="O505" s="28" t="str">
        <x:v>Atraso transportadora</x:v>
      </x:c>
      <x:c r="P505" s="30" t="n">
        <x:v>129996</x:v>
      </x:c>
    </x:row>
    <x:row r="506">
      <x:c r="A506" s="28" t="str">
        <x:v>PED-48505</x:v>
      </x:c>
      <x:c r="B506" s="34" t="n">
        <x:v>45566</x:v>
      </x:c>
      <x:c r="C506" s="28" t="str">
        <x:v>Grupo Industrial S.A.</x:v>
      </x:c>
      <x:c r="D506" s="28" t="str">
        <x:v>Planta Campinas</x:v>
      </x:c>
      <x:c r="E506" s="28" t="str">
        <x:v>Farma Vida</x:v>
      </x:c>
      <x:c r="F506" s="28" t="str">
        <x:v>Sudeste</x:v>
      </x:c>
      <x:c r="G506" s="28" t="str">
        <x:v>TransDados</x:v>
      </x:c>
      <x:c r="H506" s="28" t="str">
        <x:v>Campinas-Sudeste</x:v>
      </x:c>
      <x:c r="I506" s="34" t="n">
        <x:v>45571</x:v>
      </x:c>
      <x:c r="J506" s="34" t="n">
        <x:v>45572</x:v>
      </x:c>
      <x:c r="K506" s="32" t="n">
        <x:v>896</x:v>
      </x:c>
      <x:c r="L506" s="32" t="n">
        <x:v>896</x:v>
      </x:c>
      <x:c r="M506" s="30" t="n">
        <x:v>75264</x:v>
      </x:c>
      <x:c r="N506" s="28" t="str">
        <x:v>Em atraso</x:v>
      </x:c>
      <x:c r="O506" s="28" t="str">
        <x:v>Atraso transportadora</x:v>
      </x:c>
      <x:c r="P506" s="30" t="n">
        <x:v>75264</x:v>
      </x:c>
    </x:row>
    <x:row r="507">
      <x:c r="A507" s="28" t="str">
        <x:v>PED-48506</x:v>
      </x:c>
      <x:c r="B507" s="34" t="n">
        <x:v>45566</x:v>
      </x:c>
      <x:c r="C507" s="28" t="str">
        <x:v>Grupo Industrial S.A.</x:v>
      </x:c>
      <x:c r="D507" s="28" t="str">
        <x:v>Planta Campinas</x:v>
      </x:c>
      <x:c r="E507" s="28" t="str">
        <x:v>AutoPeças BR</x:v>
      </x:c>
      <x:c r="F507" s="28" t="str">
        <x:v>Sudeste</x:v>
      </x:c>
      <x:c r="G507" s="28" t="str">
        <x:v>TransDados</x:v>
      </x:c>
      <x:c r="H507" s="28" t="str">
        <x:v>Campinas-Sudeste</x:v>
      </x:c>
      <x:c r="I507" s="34" t="n">
        <x:v>45574</x:v>
      </x:c>
      <x:c r="J507" s="34" t="n">
        <x:v>45574</x:v>
      </x:c>
      <x:c r="K507" s="32" t="n">
        <x:v>1133</x:v>
      </x:c>
      <x:c r="L507" s="32" t="n">
        <x:v>1133</x:v>
      </x:c>
      <x:c r="M507" s="30" t="n">
        <x:v>95172</x:v>
      </x:c>
      <x:c r="N507" s="28" t="str">
        <x:v>OTIF</x:v>
      </x:c>
      <x:c r="O507" s="28" t="str">
        <x:v>Janela perdida no cliente</x:v>
      </x:c>
      <x:c r="P507" s="30" t="n">
        <x:v>0</x:v>
      </x:c>
    </x:row>
    <x:row r="508">
      <x:c r="A508" s="28" t="str">
        <x:v>PED-48507</x:v>
      </x:c>
      <x:c r="B508" s="34" t="n">
        <x:v>45566</x:v>
      </x:c>
      <x:c r="C508" s="28" t="str">
        <x:v>Grupo Industrial S.A.</x:v>
      </x:c>
      <x:c r="D508" s="28" t="str">
        <x:v>Planta Campinas</x:v>
      </x:c>
      <x:c r="E508" s="28" t="str">
        <x:v>Construbem</x:v>
      </x:c>
      <x:c r="F508" s="28" t="str">
        <x:v>Sudeste</x:v>
      </x:c>
      <x:c r="G508" s="28" t="str">
        <x:v>TransDados</x:v>
      </x:c>
      <x:c r="H508" s="28" t="str">
        <x:v>Campinas-Sudeste</x:v>
      </x:c>
      <x:c r="I508" s="34" t="n">
        <x:v>45577</x:v>
      </x:c>
      <x:c r="J508" s="34" t="n">
        <x:v>45579</x:v>
      </x:c>
      <x:c r="K508" s="32" t="n">
        <x:v>1039</x:v>
      </x:c>
      <x:c r="L508" s="32" t="n">
        <x:v>936</x:v>
      </x:c>
      <x:c r="M508" s="30" t="n">
        <x:v>81042</x:v>
      </x:c>
      <x:c r="N508" s="28" t="str">
        <x:v>Em atraso</x:v>
      </x:c>
      <x:c r="O508" s="28" t="str">
        <x:v>Atraso transportadora</x:v>
      </x:c>
      <x:c r="P508" s="30" t="n">
        <x:v>81042</x:v>
      </x:c>
    </x:row>
    <x:row r="509">
      <x:c r="A509" s="28" t="str">
        <x:v>PED-48508</x:v>
      </x:c>
      <x:c r="B509" s="34" t="n">
        <x:v>45566</x:v>
      </x:c>
      <x:c r="C509" s="28" t="str">
        <x:v>Grupo Industrial S.A.</x:v>
      </x:c>
      <x:c r="D509" s="28" t="str">
        <x:v>Planta Campinas</x:v>
      </x:c>
      <x:c r="E509" s="28" t="str">
        <x:v>Alimentos SA</x:v>
      </x:c>
      <x:c r="F509" s="28" t="str">
        <x:v>Sudeste</x:v>
      </x:c>
      <x:c r="G509" s="28" t="str">
        <x:v>TransDados</x:v>
      </x:c>
      <x:c r="H509" s="28" t="str">
        <x:v>Campinas-Sudeste</x:v>
      </x:c>
      <x:c r="I509" s="34" t="n">
        <x:v>45580</x:v>
      </x:c>
      <x:c r="J509" s="34" t="n">
        <x:v>45585</x:v>
      </x:c>
      <x:c r="K509" s="32" t="n">
        <x:v>1486</x:v>
      </x:c>
      <x:c r="L509" s="32" t="n">
        <x:v>1486</x:v>
      </x:c>
      <x:c r="M509" s="30" t="n">
        <x:v>136712</x:v>
      </x:c>
      <x:c r="N509" s="28" t="str">
        <x:v>Em atraso</x:v>
      </x:c>
      <x:c r="O509" s="28" t="str">
        <x:v>Atraso transportadora</x:v>
      </x:c>
      <x:c r="P509" s="30" t="n">
        <x:v>136712</x:v>
      </x:c>
    </x:row>
    <x:row r="510">
      <x:c r="A510" s="28" t="str">
        <x:v>PED-48509</x:v>
      </x:c>
      <x:c r="B510" s="34" t="n">
        <x:v>45566</x:v>
      </x:c>
      <x:c r="C510" s="28" t="str">
        <x:v>Grupo Industrial S.A.</x:v>
      </x:c>
      <x:c r="D510" s="28" t="str">
        <x:v>Planta Campinas</x:v>
      </x:c>
      <x:c r="E510" s="28" t="str">
        <x:v>Farma Vida</x:v>
      </x:c>
      <x:c r="F510" s="28" t="str">
        <x:v>Sudeste</x:v>
      </x:c>
      <x:c r="G510" s="28" t="str">
        <x:v>TransDados</x:v>
      </x:c>
      <x:c r="H510" s="28" t="str">
        <x:v>Campinas-Sudeste</x:v>
      </x:c>
      <x:c r="I510" s="34" t="n">
        <x:v>45583</x:v>
      </x:c>
      <x:c r="J510" s="34" t="n">
        <x:v>45587</x:v>
      </x:c>
      <x:c r="K510" s="32" t="n">
        <x:v>1984</x:v>
      </x:c>
      <x:c r="L510" s="32" t="n">
        <x:v>1984</x:v>
      </x:c>
      <x:c r="M510" s="30" t="n">
        <x:v>182528</x:v>
      </x:c>
      <x:c r="N510" s="28" t="str">
        <x:v>Em atraso</x:v>
      </x:c>
      <x:c r="O510" s="28" t="str">
        <x:v>Janela perdida no cliente</x:v>
      </x:c>
      <x:c r="P510" s="30" t="n">
        <x:v>182528</x:v>
      </x:c>
    </x:row>
    <x:row r="511">
      <x:c r="A511" s="28" t="str">
        <x:v>PED-48510</x:v>
      </x:c>
      <x:c r="B511" s="34" t="n">
        <x:v>45566</x:v>
      </x:c>
      <x:c r="C511" s="28" t="str">
        <x:v>Grupo Industrial S.A.</x:v>
      </x:c>
      <x:c r="D511" s="28" t="str">
        <x:v>Planta Campinas</x:v>
      </x:c>
      <x:c r="E511" s="28" t="str">
        <x:v>AutoPeças BR</x:v>
      </x:c>
      <x:c r="F511" s="28" t="str">
        <x:v>Sudeste</x:v>
      </x:c>
      <x:c r="G511" s="28" t="str">
        <x:v>TransDados</x:v>
      </x:c>
      <x:c r="H511" s="28" t="str">
        <x:v>Campinas-Sudeste</x:v>
      </x:c>
      <x:c r="I511" s="34" t="n">
        <x:v>45586</x:v>
      </x:c>
      <x:c r="J511" s="34" t="n">
        <x:v>45586</x:v>
      </x:c>
      <x:c r="K511" s="32" t="n">
        <x:v>1504</x:v>
      </x:c>
      <x:c r="L511" s="32" t="n">
        <x:v>1504</x:v>
      </x:c>
      <x:c r="M511" s="30" t="n">
        <x:v>117312</x:v>
      </x:c>
      <x:c r="N511" s="28" t="str">
        <x:v>OTIF</x:v>
      </x:c>
      <x:c r="O511" s="28" t="str">
        <x:v>Janela perdida no cliente</x:v>
      </x:c>
      <x:c r="P511" s="30" t="n">
        <x:v>0</x:v>
      </x:c>
    </x:row>
    <x:row r="512">
      <x:c r="A512" s="28" t="str">
        <x:v>PED-48511</x:v>
      </x:c>
      <x:c r="B512" s="34" t="n">
        <x:v>45566</x:v>
      </x:c>
      <x:c r="C512" s="28" t="str">
        <x:v>Grupo Industrial S.A.</x:v>
      </x:c>
      <x:c r="D512" s="28" t="str">
        <x:v>Planta Campinas</x:v>
      </x:c>
      <x:c r="E512" s="28" t="str">
        <x:v>Alimentos SA</x:v>
      </x:c>
      <x:c r="F512" s="28" t="str">
        <x:v>Sudeste</x:v>
      </x:c>
      <x:c r="G512" s="28" t="str">
        <x:v>RápidoSul</x:v>
      </x:c>
      <x:c r="H512" s="28" t="str">
        <x:v>Campinas-Norte</x:v>
      </x:c>
      <x:c r="I512" s="34" t="n">
        <x:v>45571</x:v>
      </x:c>
      <x:c r="J512" s="34" t="n">
        <x:v>45572</x:v>
      </x:c>
      <x:c r="K512" s="32" t="n">
        <x:v>1208</x:v>
      </x:c>
      <x:c r="L512" s="32" t="n">
        <x:v>1208</x:v>
      </x:c>
      <x:c r="M512" s="30" t="n">
        <x:v>111136</x:v>
      </x:c>
      <x:c r="N512" s="28" t="str">
        <x:v>Em atraso</x:v>
      </x:c>
      <x:c r="O512" s="28" t="str">
        <x:v>Atraso transportadora</x:v>
      </x:c>
      <x:c r="P512" s="30" t="n">
        <x:v>111136</x:v>
      </x:c>
    </x:row>
    <x:row r="513">
      <x:c r="A513" s="28" t="str">
        <x:v>PED-48512</x:v>
      </x:c>
      <x:c r="B513" s="34" t="n">
        <x:v>45566</x:v>
      </x:c>
      <x:c r="C513" s="28" t="str">
        <x:v>Grupo Industrial S.A.</x:v>
      </x:c>
      <x:c r="D513" s="28" t="str">
        <x:v>Planta Campinas</x:v>
      </x:c>
      <x:c r="E513" s="28" t="str">
        <x:v>Farma Vida</x:v>
      </x:c>
      <x:c r="F513" s="28" t="str">
        <x:v>Sudeste</x:v>
      </x:c>
      <x:c r="G513" s="28" t="str">
        <x:v>RápidoSul</x:v>
      </x:c>
      <x:c r="H513" s="28" t="str">
        <x:v>Campinas-Norte</x:v>
      </x:c>
      <x:c r="I513" s="34" t="n">
        <x:v>45574</x:v>
      </x:c>
      <x:c r="J513" s="34" t="n">
        <x:v>45574</x:v>
      </x:c>
      <x:c r="K513" s="32" t="n">
        <x:v>1043</x:v>
      </x:c>
      <x:c r="L513" s="32" t="n">
        <x:v>1043</x:v>
      </x:c>
      <x:c r="M513" s="30" t="n">
        <x:v>87612</x:v>
      </x:c>
      <x:c r="N513" s="28" t="str">
        <x:v>OTIF</x:v>
      </x:c>
      <x:c r="O513" s="28" t="str">
        <x:v>Janela perdida no cliente</x:v>
      </x:c>
      <x:c r="P513" s="30" t="n">
        <x:v>0</x:v>
      </x:c>
    </x:row>
    <x:row r="514">
      <x:c r="A514" s="28" t="str">
        <x:v>PED-48513</x:v>
      </x:c>
      <x:c r="B514" s="34" t="n">
        <x:v>45566</x:v>
      </x:c>
      <x:c r="C514" s="28" t="str">
        <x:v>Grupo Industrial S.A.</x:v>
      </x:c>
      <x:c r="D514" s="28" t="str">
        <x:v>Planta Campinas</x:v>
      </x:c>
      <x:c r="E514" s="28" t="str">
        <x:v>AutoPeças BR</x:v>
      </x:c>
      <x:c r="F514" s="28" t="str">
        <x:v>Sudeste</x:v>
      </x:c>
      <x:c r="G514" s="28" t="str">
        <x:v>RápidoSul</x:v>
      </x:c>
      <x:c r="H514" s="28" t="str">
        <x:v>Campinas-Norte</x:v>
      </x:c>
      <x:c r="I514" s="34" t="n">
        <x:v>45577</x:v>
      </x:c>
      <x:c r="J514" s="34" t="n">
        <x:v>45578</x:v>
      </x:c>
      <x:c r="K514" s="32" t="n">
        <x:v>1331</x:v>
      </x:c>
      <x:c r="L514" s="32" t="n">
        <x:v>1331</x:v>
      </x:c>
      <x:c r="M514" s="30" t="n">
        <x:v>95832</x:v>
      </x:c>
      <x:c r="N514" s="28" t="str">
        <x:v>Em atraso</x:v>
      </x:c>
      <x:c r="O514" s="28" t="str">
        <x:v>Janela perdida no cliente</x:v>
      </x:c>
      <x:c r="P514" s="30" t="n">
        <x:v>95832</x:v>
      </x:c>
    </x:row>
    <x:row r="515">
      <x:c r="A515" s="28" t="str">
        <x:v>PED-48514</x:v>
      </x:c>
      <x:c r="B515" s="34" t="n">
        <x:v>45566</x:v>
      </x:c>
      <x:c r="C515" s="28" t="str">
        <x:v>Grupo Industrial S.A.</x:v>
      </x:c>
      <x:c r="D515" s="28" t="str">
        <x:v>Planta Campinas</x:v>
      </x:c>
      <x:c r="E515" s="28" t="str">
        <x:v>Construbem</x:v>
      </x:c>
      <x:c r="F515" s="28" t="str">
        <x:v>Sudeste</x:v>
      </x:c>
      <x:c r="G515" s="28" t="str">
        <x:v>RápidoSul</x:v>
      </x:c>
      <x:c r="H515" s="28" t="str">
        <x:v>Campinas-Norte</x:v>
      </x:c>
      <x:c r="I515" s="34" t="n">
        <x:v>45580</x:v>
      </x:c>
      <x:c r="J515" s="34" t="n">
        <x:v>45581</x:v>
      </x:c>
      <x:c r="K515" s="32" t="n">
        <x:v>1440</x:v>
      </x:c>
      <x:c r="L515" s="32" t="n">
        <x:v>1440</x:v>
      </x:c>
      <x:c r="M515" s="30" t="n">
        <x:v>112320</x:v>
      </x:c>
      <x:c r="N515" s="28" t="str">
        <x:v>Em atraso</x:v>
      </x:c>
      <x:c r="O515" s="28" t="str">
        <x:v>Atraso transportadora</x:v>
      </x:c>
      <x:c r="P515" s="30" t="n">
        <x:v>112320</x:v>
      </x:c>
    </x:row>
    <x:row r="516">
      <x:c r="A516" s="28" t="str">
        <x:v>PED-48515</x:v>
      </x:c>
      <x:c r="B516" s="34" t="n">
        <x:v>45566</x:v>
      </x:c>
      <x:c r="C516" s="28" t="str">
        <x:v>Grupo Industrial S.A.</x:v>
      </x:c>
      <x:c r="D516" s="28" t="str">
        <x:v>Planta Campinas</x:v>
      </x:c>
      <x:c r="E516" s="28" t="str">
        <x:v>Alimentos SA</x:v>
      </x:c>
      <x:c r="F516" s="28" t="str">
        <x:v>Sudeste</x:v>
      </x:c>
      <x:c r="G516" s="28" t="str">
        <x:v>RápidoSul</x:v>
      </x:c>
      <x:c r="H516" s="28" t="str">
        <x:v>Campinas-Norte</x:v>
      </x:c>
      <x:c r="I516" s="34" t="n">
        <x:v>45583</x:v>
      </x:c>
      <x:c r="J516" s="34" t="n">
        <x:v>45583</x:v>
      </x:c>
      <x:c r="K516" s="32" t="n">
        <x:v>1018</x:v>
      </x:c>
      <x:c r="L516" s="32" t="n">
        <x:v>1018</x:v>
      </x:c>
      <x:c r="M516" s="30" t="n">
        <x:v>79404</x:v>
      </x:c>
      <x:c r="N516" s="28" t="str">
        <x:v>OTIF</x:v>
      </x:c>
      <x:c r="O516" s="28" t="str">
        <x:v>Janela perdida no cliente</x:v>
      </x:c>
      <x:c r="P516" s="30" t="n">
        <x:v>0</x:v>
      </x:c>
    </x:row>
    <x:row r="517">
      <x:c r="A517" s="28" t="str">
        <x:v>PED-48516</x:v>
      </x:c>
      <x:c r="B517" s="34" t="n">
        <x:v>45566</x:v>
      </x:c>
      <x:c r="C517" s="28" t="str">
        <x:v>Grupo Industrial S.A.</x:v>
      </x:c>
      <x:c r="D517" s="28" t="str">
        <x:v>Planta Campinas</x:v>
      </x:c>
      <x:c r="E517" s="28" t="str">
        <x:v>Farma Vida</x:v>
      </x:c>
      <x:c r="F517" s="28" t="str">
        <x:v>Sudeste</x:v>
      </x:c>
      <x:c r="G517" s="28" t="str">
        <x:v>RápidoSul</x:v>
      </x:c>
      <x:c r="H517" s="28" t="str">
        <x:v>Campinas-Norte</x:v>
      </x:c>
      <x:c r="I517" s="34" t="n">
        <x:v>45586</x:v>
      </x:c>
      <x:c r="J517" s="34" t="n">
        <x:v>45590</x:v>
      </x:c>
      <x:c r="K517" s="32" t="n">
        <x:v>1219</x:v>
      </x:c>
      <x:c r="L517" s="32" t="n">
        <x:v>1219</x:v>
      </x:c>
      <x:c r="M517" s="30" t="n">
        <x:v>102396</x:v>
      </x:c>
      <x:c r="N517" s="28" t="str">
        <x:v>Em atraso</x:v>
      </x:c>
      <x:c r="O517" s="28" t="str">
        <x:v>Atraso transportadora</x:v>
      </x:c>
      <x:c r="P517" s="30" t="n">
        <x:v>102396</x:v>
      </x:c>
    </x:row>
    <x:row r="518">
      <x:c r="A518" s="28" t="str">
        <x:v>PED-48517</x:v>
      </x:c>
      <x:c r="B518" s="34" t="n">
        <x:v>45566</x:v>
      </x:c>
      <x:c r="C518" s="28" t="str">
        <x:v>Grupo Industrial S.A.</x:v>
      </x:c>
      <x:c r="D518" s="28" t="str">
        <x:v>Planta Campinas</x:v>
      </x:c>
      <x:c r="E518" s="28" t="str">
        <x:v>Construbem</x:v>
      </x:c>
      <x:c r="F518" s="28" t="str">
        <x:v>Sudeste</x:v>
      </x:c>
      <x:c r="G518" s="28" t="str">
        <x:v>NovaLog</x:v>
      </x:c>
      <x:c r="H518" s="28" t="str">
        <x:v>Campinas-Nordeste</x:v>
      </x:c>
      <x:c r="I518" s="34" t="n">
        <x:v>45571</x:v>
      </x:c>
      <x:c r="J518" s="34" t="n">
        <x:v>45573</x:v>
      </x:c>
      <x:c r="K518" s="32" t="n">
        <x:v>1366</x:v>
      </x:c>
      <x:c r="L518" s="32" t="n">
        <x:v>1366</x:v>
      </x:c>
      <x:c r="M518" s="30" t="n">
        <x:v>106548</x:v>
      </x:c>
      <x:c r="N518" s="28" t="str">
        <x:v>Em atraso</x:v>
      </x:c>
      <x:c r="O518" s="28" t="str">
        <x:v>Atraso transportadora</x:v>
      </x:c>
      <x:c r="P518" s="30" t="n">
        <x:v>106548</x:v>
      </x:c>
    </x:row>
    <x:row r="519">
      <x:c r="A519" s="28" t="str">
        <x:v>PED-48518</x:v>
      </x:c>
      <x:c r="B519" s="34" t="n">
        <x:v>45566</x:v>
      </x:c>
      <x:c r="C519" s="28" t="str">
        <x:v>Grupo Industrial S.A.</x:v>
      </x:c>
      <x:c r="D519" s="28" t="str">
        <x:v>Planta Campinas</x:v>
      </x:c>
      <x:c r="E519" s="28" t="str">
        <x:v>Alimentos SA</x:v>
      </x:c>
      <x:c r="F519" s="28" t="str">
        <x:v>Sudeste</x:v>
      </x:c>
      <x:c r="G519" s="28" t="str">
        <x:v>NovaLog</x:v>
      </x:c>
      <x:c r="H519" s="28" t="str">
        <x:v>Campinas-Nordeste</x:v>
      </x:c>
      <x:c r="I519" s="34" t="n">
        <x:v>45574</x:v>
      </x:c>
      <x:c r="J519" s="34" t="n">
        <x:v>45574</x:v>
      </x:c>
      <x:c r="K519" s="32" t="n">
        <x:v>1140</x:v>
      </x:c>
      <x:c r="L519" s="32" t="n">
        <x:v>1140</x:v>
      </x:c>
      <x:c r="M519" s="30" t="n">
        <x:v>82080</x:v>
      </x:c>
      <x:c r="N519" s="28" t="str">
        <x:v>OTIF</x:v>
      </x:c>
      <x:c r="O519" s="28" t="str">
        <x:v>Janela perdida no cliente</x:v>
      </x:c>
      <x:c r="P519" s="30" t="n">
        <x:v>0</x:v>
      </x:c>
    </x:row>
    <x:row r="520">
      <x:c r="A520" s="28" t="str">
        <x:v>PED-48519</x:v>
      </x:c>
      <x:c r="B520" s="34" t="n">
        <x:v>45566</x:v>
      </x:c>
      <x:c r="C520" s="28" t="str">
        <x:v>Grupo Industrial S.A.</x:v>
      </x:c>
      <x:c r="D520" s="28" t="str">
        <x:v>Planta Campinas</x:v>
      </x:c>
      <x:c r="E520" s="28" t="str">
        <x:v>Farma Vida</x:v>
      </x:c>
      <x:c r="F520" s="28" t="str">
        <x:v>Sudeste</x:v>
      </x:c>
      <x:c r="G520" s="28" t="str">
        <x:v>NovaLog</x:v>
      </x:c>
      <x:c r="H520" s="28" t="str">
        <x:v>Campinas-Nordeste</x:v>
      </x:c>
      <x:c r="I520" s="34" t="n">
        <x:v>45577</x:v>
      </x:c>
      <x:c r="J520" s="34" t="n">
        <x:v>45579</x:v>
      </x:c>
      <x:c r="K520" s="32" t="n">
        <x:v>2165</x:v>
      </x:c>
      <x:c r="L520" s="32" t="n">
        <x:v>2028</x:v>
      </x:c>
      <x:c r="M520" s="30" t="n">
        <x:v>181860</x:v>
      </x:c>
      <x:c r="N520" s="28" t="str">
        <x:v>Em atraso</x:v>
      </x:c>
      <x:c r="O520" s="28" t="str">
        <x:v>Atraso transportadora</x:v>
      </x:c>
      <x:c r="P520" s="30" t="n">
        <x:v>181860</x:v>
      </x:c>
    </x:row>
    <x:row r="521">
      <x:c r="A521" s="28" t="str">
        <x:v>PED-48520</x:v>
      </x:c>
      <x:c r="B521" s="34" t="n">
        <x:v>45566</x:v>
      </x:c>
      <x:c r="C521" s="28" t="str">
        <x:v>Grupo Industrial S.A.</x:v>
      </x:c>
      <x:c r="D521" s="28" t="str">
        <x:v>Planta Campinas</x:v>
      </x:c>
      <x:c r="E521" s="28" t="str">
        <x:v>AutoPeças BR</x:v>
      </x:c>
      <x:c r="F521" s="28" t="str">
        <x:v>Sudeste</x:v>
      </x:c>
      <x:c r="G521" s="28" t="str">
        <x:v>NovaLog</x:v>
      </x:c>
      <x:c r="H521" s="28" t="str">
        <x:v>Campinas-Nordeste</x:v>
      </x:c>
      <x:c r="I521" s="34" t="n">
        <x:v>45580</x:v>
      </x:c>
      <x:c r="J521" s="34" t="n">
        <x:v>45583</x:v>
      </x:c>
      <x:c r="K521" s="32" t="n">
        <x:v>964</x:v>
      </x:c>
      <x:c r="L521" s="32" t="n">
        <x:v>964</x:v>
      </x:c>
      <x:c r="M521" s="30" t="n">
        <x:v>88688</x:v>
      </x:c>
      <x:c r="N521" s="28" t="str">
        <x:v>Em atraso</x:v>
      </x:c>
      <x:c r="O521" s="28" t="str">
        <x:v>Janela perdida no cliente</x:v>
      </x:c>
      <x:c r="P521" s="30" t="n">
        <x:v>88688</x:v>
      </x:c>
    </x:row>
    <x:row r="522">
      <x:c r="A522" s="28" t="str">
        <x:v>PED-48521</x:v>
      </x:c>
      <x:c r="B522" s="34" t="n">
        <x:v>45566</x:v>
      </x:c>
      <x:c r="C522" s="28" t="str">
        <x:v>Grupo Industrial S.A.</x:v>
      </x:c>
      <x:c r="D522" s="28" t="str">
        <x:v>Planta Campinas</x:v>
      </x:c>
      <x:c r="E522" s="28" t="str">
        <x:v>Construbem</x:v>
      </x:c>
      <x:c r="F522" s="28" t="str">
        <x:v>Sudeste</x:v>
      </x:c>
      <x:c r="G522" s="28" t="str">
        <x:v>NovaLog</x:v>
      </x:c>
      <x:c r="H522" s="28" t="str">
        <x:v>Campinas-Nordeste</x:v>
      </x:c>
      <x:c r="I522" s="34" t="n">
        <x:v>45583</x:v>
      </x:c>
      <x:c r="J522" s="34" t="n">
        <x:v>45583</x:v>
      </x:c>
      <x:c r="K522" s="32" t="n">
        <x:v>1934</x:v>
      </x:c>
      <x:c r="L522" s="32" t="n">
        <x:v>1934</x:v>
      </x:c>
      <x:c r="M522" s="30" t="n">
        <x:v>139248</x:v>
      </x:c>
      <x:c r="N522" s="28" t="str">
        <x:v>OTIF</x:v>
      </x:c>
      <x:c r="O522" s="28" t="str">
        <x:v>Janela perdida no cliente</x:v>
      </x:c>
      <x:c r="P522" s="30" t="n">
        <x:v>0</x:v>
      </x:c>
    </x:row>
    <x:row r="523">
      <x:c r="A523" s="28" t="str">
        <x:v>PED-48522</x:v>
      </x:c>
      <x:c r="B523" s="34" t="n">
        <x:v>45566</x:v>
      </x:c>
      <x:c r="C523" s="28" t="str">
        <x:v>Grupo Industrial S.A.</x:v>
      </x:c>
      <x:c r="D523" s="28" t="str">
        <x:v>Planta Campinas</x:v>
      </x:c>
      <x:c r="E523" s="28" t="str">
        <x:v>Alimentos SA</x:v>
      </x:c>
      <x:c r="F523" s="28" t="str">
        <x:v>Sudeste</x:v>
      </x:c>
      <x:c r="G523" s="28" t="str">
        <x:v>NovaLog</x:v>
      </x:c>
      <x:c r="H523" s="28" t="str">
        <x:v>Campinas-Nordeste</x:v>
      </x:c>
      <x:c r="I523" s="34" t="n">
        <x:v>45586</x:v>
      </x:c>
      <x:c r="J523" s="34" t="n">
        <x:v>45586</x:v>
      </x:c>
      <x:c r="K523" s="32" t="n">
        <x:v>1750</x:v>
      </x:c>
      <x:c r="L523" s="32" t="n">
        <x:v>1750</x:v>
      </x:c>
      <x:c r="M523" s="30" t="n">
        <x:v>147000</x:v>
      </x:c>
      <x:c r="N523" s="28" t="str">
        <x:v>OTIF</x:v>
      </x:c>
      <x:c r="O523" s="28" t="str">
        <x:v>Janela perdida no cliente</x:v>
      </x:c>
      <x:c r="P523" s="30" t="n">
        <x:v>0</x:v>
      </x:c>
    </x:row>
    <x:row r="524">
      <x:c r="A524" s="28" t="str">
        <x:v>PED-48523</x:v>
      </x:c>
      <x:c r="B524" s="34" t="n">
        <x:v>45566</x:v>
      </x:c>
      <x:c r="C524" s="28" t="str">
        <x:v>Grupo Industrial S.A.</x:v>
      </x:c>
      <x:c r="D524" s="28" t="str">
        <x:v>Planta Curitiba</x:v>
      </x:c>
      <x:c r="E524" s="28" t="str">
        <x:v>AutoPeças BR</x:v>
      </x:c>
      <x:c r="F524" s="28" t="str">
        <x:v>Sul</x:v>
      </x:c>
      <x:c r="G524" s="28" t="str">
        <x:v>TransDados</x:v>
      </x:c>
      <x:c r="H524" s="28" t="str">
        <x:v>Curitiba-Sul</x:v>
      </x:c>
      <x:c r="I524" s="34" t="n">
        <x:v>45571</x:v>
      </x:c>
      <x:c r="J524" s="34" t="n">
        <x:v>45572</x:v>
      </x:c>
      <x:c r="K524" s="32" t="n">
        <x:v>1637</x:v>
      </x:c>
      <x:c r="L524" s="32" t="n">
        <x:v>1637</x:v>
      </x:c>
      <x:c r="M524" s="30" t="n">
        <x:v>127686</x:v>
      </x:c>
      <x:c r="N524" s="28" t="str">
        <x:v>Em atraso</x:v>
      </x:c>
      <x:c r="O524" s="28" t="str">
        <x:v>Atraso transportadora</x:v>
      </x:c>
      <x:c r="P524" s="30" t="n">
        <x:v>127686</x:v>
      </x:c>
    </x:row>
    <x:row r="525">
      <x:c r="A525" s="28" t="str">
        <x:v>PED-48524</x:v>
      </x:c>
      <x:c r="B525" s="34" t="n">
        <x:v>45566</x:v>
      </x:c>
      <x:c r="C525" s="28" t="str">
        <x:v>Grupo Industrial S.A.</x:v>
      </x:c>
      <x:c r="D525" s="28" t="str">
        <x:v>Planta Curitiba</x:v>
      </x:c>
      <x:c r="E525" s="28" t="str">
        <x:v>Construbem</x:v>
      </x:c>
      <x:c r="F525" s="28" t="str">
        <x:v>Sul</x:v>
      </x:c>
      <x:c r="G525" s="28" t="str">
        <x:v>TransDados</x:v>
      </x:c>
      <x:c r="H525" s="28" t="str">
        <x:v>Curitiba-Sul</x:v>
      </x:c>
      <x:c r="I525" s="34" t="n">
        <x:v>45574</x:v>
      </x:c>
      <x:c r="J525" s="34" t="n">
        <x:v>45576</x:v>
      </x:c>
      <x:c r="K525" s="32" t="n">
        <x:v>2116</x:v>
      </x:c>
      <x:c r="L525" s="32" t="n">
        <x:v>2116</x:v>
      </x:c>
      <x:c r="M525" s="30" t="n">
        <x:v>194672</x:v>
      </x:c>
      <x:c r="N525" s="28" t="str">
        <x:v>Em atraso</x:v>
      </x:c>
      <x:c r="O525" s="28" t="str">
        <x:v>Atraso transportadora</x:v>
      </x:c>
      <x:c r="P525" s="30" t="n">
        <x:v>194672</x:v>
      </x:c>
    </x:row>
    <x:row r="526">
      <x:c r="A526" s="28" t="str">
        <x:v>PED-48525</x:v>
      </x:c>
      <x:c r="B526" s="34" t="n">
        <x:v>45566</x:v>
      </x:c>
      <x:c r="C526" s="28" t="str">
        <x:v>Grupo Industrial S.A.</x:v>
      </x:c>
      <x:c r="D526" s="28" t="str">
        <x:v>Planta Curitiba</x:v>
      </x:c>
      <x:c r="E526" s="28" t="str">
        <x:v>Alimentos SA</x:v>
      </x:c>
      <x:c r="F526" s="28" t="str">
        <x:v>Sul</x:v>
      </x:c>
      <x:c r="G526" s="28" t="str">
        <x:v>TransDados</x:v>
      </x:c>
      <x:c r="H526" s="28" t="str">
        <x:v>Curitiba-Sul</x:v>
      </x:c>
      <x:c r="I526" s="34" t="n">
        <x:v>45577</x:v>
      </x:c>
      <x:c r="J526" s="34" t="n">
        <x:v>45579</x:v>
      </x:c>
      <x:c r="K526" s="32" t="n">
        <x:v>1230</x:v>
      </x:c>
      <x:c r="L526" s="32" t="n">
        <x:v>1076</x:v>
      </x:c>
      <x:c r="M526" s="30" t="n">
        <x:v>103320</x:v>
      </x:c>
      <x:c r="N526" s="28" t="str">
        <x:v>Em atraso</x:v>
      </x:c>
      <x:c r="O526" s="28" t="str">
        <x:v>Falta de produto</x:v>
      </x:c>
      <x:c r="P526" s="30" t="n">
        <x:v>103320</x:v>
      </x:c>
    </x:row>
    <x:row r="527">
      <x:c r="A527" s="28" t="str">
        <x:v>PED-48526</x:v>
      </x:c>
      <x:c r="B527" s="34" t="n">
        <x:v>45566</x:v>
      </x:c>
      <x:c r="C527" s="28" t="str">
        <x:v>Grupo Industrial S.A.</x:v>
      </x:c>
      <x:c r="D527" s="28" t="str">
        <x:v>Planta Curitiba</x:v>
      </x:c>
      <x:c r="E527" s="28" t="str">
        <x:v>Farma Vida</x:v>
      </x:c>
      <x:c r="F527" s="28" t="str">
        <x:v>Sul</x:v>
      </x:c>
      <x:c r="G527" s="28" t="str">
        <x:v>TransDados</x:v>
      </x:c>
      <x:c r="H527" s="28" t="str">
        <x:v>Curitiba-Sul</x:v>
      </x:c>
      <x:c r="I527" s="34" t="n">
        <x:v>45580</x:v>
      </x:c>
      <x:c r="J527" s="34" t="n">
        <x:v>45584</x:v>
      </x:c>
      <x:c r="K527" s="32" t="n">
        <x:v>778</x:v>
      </x:c>
      <x:c r="L527" s="32" t="n">
        <x:v>778</x:v>
      </x:c>
      <x:c r="M527" s="30" t="n">
        <x:v>60684</x:v>
      </x:c>
      <x:c r="N527" s="28" t="str">
        <x:v>Em atraso</x:v>
      </x:c>
      <x:c r="O527" s="28" t="str">
        <x:v>Atraso transportadora</x:v>
      </x:c>
      <x:c r="P527" s="30" t="n">
        <x:v>60684</x:v>
      </x:c>
    </x:row>
    <x:row r="528">
      <x:c r="A528" s="28" t="str">
        <x:v>PED-48527</x:v>
      </x:c>
      <x:c r="B528" s="34" t="n">
        <x:v>45566</x:v>
      </x:c>
      <x:c r="C528" s="28" t="str">
        <x:v>Grupo Industrial S.A.</x:v>
      </x:c>
      <x:c r="D528" s="28" t="str">
        <x:v>Planta Curitiba</x:v>
      </x:c>
      <x:c r="E528" s="28" t="str">
        <x:v>AutoPeças BR</x:v>
      </x:c>
      <x:c r="F528" s="28" t="str">
        <x:v>Sul</x:v>
      </x:c>
      <x:c r="G528" s="28" t="str">
        <x:v>TransDados</x:v>
      </x:c>
      <x:c r="H528" s="28" t="str">
        <x:v>Curitiba-Sul</x:v>
      </x:c>
      <x:c r="I528" s="34" t="n">
        <x:v>45583</x:v>
      </x:c>
      <x:c r="J528" s="34" t="n">
        <x:v>45583</x:v>
      </x:c>
      <x:c r="K528" s="32" t="n">
        <x:v>1638</x:v>
      </x:c>
      <x:c r="L528" s="32" t="n">
        <x:v>1638</x:v>
      </x:c>
      <x:c r="M528" s="30" t="n">
        <x:v>127764</x:v>
      </x:c>
      <x:c r="N528" s="28" t="str">
        <x:v>OTIF</x:v>
      </x:c>
      <x:c r="O528" s="28" t="str">
        <x:v>Janela perdida no cliente</x:v>
      </x:c>
      <x:c r="P528" s="30" t="n">
        <x:v>0</x:v>
      </x:c>
    </x:row>
    <x:row r="529">
      <x:c r="A529" s="28" t="str">
        <x:v>PED-48528</x:v>
      </x:c>
      <x:c r="B529" s="34" t="n">
        <x:v>45566</x:v>
      </x:c>
      <x:c r="C529" s="28" t="str">
        <x:v>Grupo Industrial S.A.</x:v>
      </x:c>
      <x:c r="D529" s="28" t="str">
        <x:v>Planta Curitiba</x:v>
      </x:c>
      <x:c r="E529" s="28" t="str">
        <x:v>Construbem</x:v>
      </x:c>
      <x:c r="F529" s="28" t="str">
        <x:v>Sul</x:v>
      </x:c>
      <x:c r="G529" s="28" t="str">
        <x:v>TransDados</x:v>
      </x:c>
      <x:c r="H529" s="28" t="str">
        <x:v>Curitiba-Sul</x:v>
      </x:c>
      <x:c r="I529" s="34" t="n">
        <x:v>45586</x:v>
      </x:c>
      <x:c r="J529" s="34" t="n">
        <x:v>45586</x:v>
      </x:c>
      <x:c r="K529" s="32" t="n">
        <x:v>2043</x:v>
      </x:c>
      <x:c r="L529" s="32" t="n">
        <x:v>2043</x:v>
      </x:c>
      <x:c r="M529" s="30" t="n">
        <x:v>147096</x:v>
      </x:c>
      <x:c r="N529" s="28" t="str">
        <x:v>OTIF</x:v>
      </x:c>
      <x:c r="O529" s="28" t="str">
        <x:v>Janela perdida no cliente</x:v>
      </x:c>
      <x:c r="P529" s="30" t="n">
        <x:v>0</x:v>
      </x:c>
    </x:row>
    <x:row r="530">
      <x:c r="A530" s="28" t="str">
        <x:v>PED-48529</x:v>
      </x:c>
      <x:c r="B530" s="34" t="n">
        <x:v>45566</x:v>
      </x:c>
      <x:c r="C530" s="28" t="str">
        <x:v>Grupo Industrial S.A.</x:v>
      </x:c>
      <x:c r="D530" s="28" t="str">
        <x:v>Planta Curitiba</x:v>
      </x:c>
      <x:c r="E530" s="28" t="str">
        <x:v>Farma Vida</x:v>
      </x:c>
      <x:c r="F530" s="28" t="str">
        <x:v>Sul</x:v>
      </x:c>
      <x:c r="G530" s="28" t="str">
        <x:v>RápidoSul</x:v>
      </x:c>
      <x:c r="H530" s="28" t="str">
        <x:v>Curitiba-Sudeste</x:v>
      </x:c>
      <x:c r="I530" s="34" t="n">
        <x:v>45571</x:v>
      </x:c>
      <x:c r="J530" s="34" t="n">
        <x:v>45571</x:v>
      </x:c>
      <x:c r="K530" s="32" t="n">
        <x:v>1596</x:v>
      </x:c>
      <x:c r="L530" s="32" t="n">
        <x:v>1596</x:v>
      </x:c>
      <x:c r="M530" s="30" t="n">
        <x:v>124488</x:v>
      </x:c>
      <x:c r="N530" s="28" t="str">
        <x:v>OTIF</x:v>
      </x:c>
      <x:c r="O530" s="28" t="str">
        <x:v>Janela perdida no cliente</x:v>
      </x:c>
      <x:c r="P530" s="30" t="n">
        <x:v>0</x:v>
      </x:c>
    </x:row>
    <x:row r="531">
      <x:c r="A531" s="28" t="str">
        <x:v>PED-48530</x:v>
      </x:c>
      <x:c r="B531" s="34" t="n">
        <x:v>45566</x:v>
      </x:c>
      <x:c r="C531" s="28" t="str">
        <x:v>Grupo Industrial S.A.</x:v>
      </x:c>
      <x:c r="D531" s="28" t="str">
        <x:v>Planta Curitiba</x:v>
      </x:c>
      <x:c r="E531" s="28" t="str">
        <x:v>AutoPeças BR</x:v>
      </x:c>
      <x:c r="F531" s="28" t="str">
        <x:v>Sul</x:v>
      </x:c>
      <x:c r="G531" s="28" t="str">
        <x:v>RápidoSul</x:v>
      </x:c>
      <x:c r="H531" s="28" t="str">
        <x:v>Curitiba-Sudeste</x:v>
      </x:c>
      <x:c r="I531" s="34" t="n">
        <x:v>45574</x:v>
      </x:c>
      <x:c r="J531" s="34" t="n">
        <x:v>45576</x:v>
      </x:c>
      <x:c r="K531" s="32" t="n">
        <x:v>1727</x:v>
      </x:c>
      <x:c r="L531" s="32" t="n">
        <x:v>1727</x:v>
      </x:c>
      <x:c r="M531" s="30" t="n">
        <x:v>158884</x:v>
      </x:c>
      <x:c r="N531" s="28" t="str">
        <x:v>Em atraso</x:v>
      </x:c>
      <x:c r="O531" s="28" t="str">
        <x:v>Janela perdida no cliente</x:v>
      </x:c>
      <x:c r="P531" s="30" t="n">
        <x:v>158884</x:v>
      </x:c>
    </x:row>
    <x:row r="532">
      <x:c r="A532" s="28" t="str">
        <x:v>PED-48531</x:v>
      </x:c>
      <x:c r="B532" s="34" t="n">
        <x:v>45566</x:v>
      </x:c>
      <x:c r="C532" s="28" t="str">
        <x:v>Grupo Industrial S.A.</x:v>
      </x:c>
      <x:c r="D532" s="28" t="str">
        <x:v>Planta Curitiba</x:v>
      </x:c>
      <x:c r="E532" s="28" t="str">
        <x:v>Construbem</x:v>
      </x:c>
      <x:c r="F532" s="28" t="str">
        <x:v>Sul</x:v>
      </x:c>
      <x:c r="G532" s="28" t="str">
        <x:v>RápidoSul</x:v>
      </x:c>
      <x:c r="H532" s="28" t="str">
        <x:v>Curitiba-Sudeste</x:v>
      </x:c>
      <x:c r="I532" s="34" t="n">
        <x:v>45577</x:v>
      </x:c>
      <x:c r="J532" s="34" t="n">
        <x:v>45578</x:v>
      </x:c>
      <x:c r="K532" s="32" t="n">
        <x:v>1680</x:v>
      </x:c>
      <x:c r="L532" s="32" t="n">
        <x:v>1680</x:v>
      </x:c>
      <x:c r="M532" s="30" t="n">
        <x:v>154560</x:v>
      </x:c>
      <x:c r="N532" s="28" t="str">
        <x:v>Em atraso</x:v>
      </x:c>
      <x:c r="O532" s="28" t="str">
        <x:v>Atraso transportadora</x:v>
      </x:c>
      <x:c r="P532" s="30" t="n">
        <x:v>154560</x:v>
      </x:c>
    </x:row>
    <x:row r="533">
      <x:c r="A533" s="28" t="str">
        <x:v>PED-48532</x:v>
      </x:c>
      <x:c r="B533" s="34" t="n">
        <x:v>45566</x:v>
      </x:c>
      <x:c r="C533" s="28" t="str">
        <x:v>Grupo Industrial S.A.</x:v>
      </x:c>
      <x:c r="D533" s="28" t="str">
        <x:v>Planta Curitiba</x:v>
      </x:c>
      <x:c r="E533" s="28" t="str">
        <x:v>Alimentos SA</x:v>
      </x:c>
      <x:c r="F533" s="28" t="str">
        <x:v>Sul</x:v>
      </x:c>
      <x:c r="G533" s="28" t="str">
        <x:v>RápidoSul</x:v>
      </x:c>
      <x:c r="H533" s="28" t="str">
        <x:v>Curitiba-Sudeste</x:v>
      </x:c>
      <x:c r="I533" s="34" t="n">
        <x:v>45580</x:v>
      </x:c>
      <x:c r="J533" s="34" t="n">
        <x:v>45582</x:v>
      </x:c>
      <x:c r="K533" s="32" t="n">
        <x:v>1399</x:v>
      </x:c>
      <x:c r="L533" s="32" t="n">
        <x:v>1399</x:v>
      </x:c>
      <x:c r="M533" s="30" t="n">
        <x:v>100728</x:v>
      </x:c>
      <x:c r="N533" s="28" t="str">
        <x:v>Em atraso</x:v>
      </x:c>
      <x:c r="O533" s="28" t="str">
        <x:v>Janela perdida no cliente</x:v>
      </x:c>
      <x:c r="P533" s="30" t="n">
        <x:v>100728</x:v>
      </x:c>
    </x:row>
    <x:row r="534">
      <x:c r="A534" s="28" t="str">
        <x:v>PED-48533</x:v>
      </x:c>
      <x:c r="B534" s="34" t="n">
        <x:v>45566</x:v>
      </x:c>
      <x:c r="C534" s="28" t="str">
        <x:v>Grupo Industrial S.A.</x:v>
      </x:c>
      <x:c r="D534" s="28" t="str">
        <x:v>Planta Curitiba</x:v>
      </x:c>
      <x:c r="E534" s="28" t="str">
        <x:v>Farma Vida</x:v>
      </x:c>
      <x:c r="F534" s="28" t="str">
        <x:v>Sul</x:v>
      </x:c>
      <x:c r="G534" s="28" t="str">
        <x:v>RápidoSul</x:v>
      </x:c>
      <x:c r="H534" s="28" t="str">
        <x:v>Curitiba-Sudeste</x:v>
      </x:c>
      <x:c r="I534" s="34" t="n">
        <x:v>45583</x:v>
      </x:c>
      <x:c r="J534" s="34" t="n">
        <x:v>45583</x:v>
      </x:c>
      <x:c r="K534" s="32" t="n">
        <x:v>2070</x:v>
      </x:c>
      <x:c r="L534" s="32" t="n">
        <x:v>2070</x:v>
      </x:c>
      <x:c r="M534" s="30" t="n">
        <x:v>190440</x:v>
      </x:c>
      <x:c r="N534" s="28" t="str">
        <x:v>OTIF</x:v>
      </x:c>
      <x:c r="O534" s="28" t="str">
        <x:v>Janela perdida no cliente</x:v>
      </x:c>
      <x:c r="P534" s="30" t="n">
        <x:v>0</x:v>
      </x:c>
    </x:row>
    <x:row r="535">
      <x:c r="A535" s="28" t="str">
        <x:v>PED-48534</x:v>
      </x:c>
      <x:c r="B535" s="34" t="n">
        <x:v>45566</x:v>
      </x:c>
      <x:c r="C535" s="28" t="str">
        <x:v>Grupo Industrial S.A.</x:v>
      </x:c>
      <x:c r="D535" s="28" t="str">
        <x:v>Planta Curitiba</x:v>
      </x:c>
      <x:c r="E535" s="28" t="str">
        <x:v>AutoPeças BR</x:v>
      </x:c>
      <x:c r="F535" s="28" t="str">
        <x:v>Sul</x:v>
      </x:c>
      <x:c r="G535" s="28" t="str">
        <x:v>RápidoSul</x:v>
      </x:c>
      <x:c r="H535" s="28" t="str">
        <x:v>Curitiba-Sudeste</x:v>
      </x:c>
      <x:c r="I535" s="34" t="n">
        <x:v>45586</x:v>
      </x:c>
      <x:c r="J535" s="34" t="n">
        <x:v>45588</x:v>
      </x:c>
      <x:c r="K535" s="32" t="n">
        <x:v>831</x:v>
      </x:c>
      <x:c r="L535" s="32" t="n">
        <x:v>831</x:v>
      </x:c>
      <x:c r="M535" s="30" t="n">
        <x:v>69804</x:v>
      </x:c>
      <x:c r="N535" s="28" t="str">
        <x:v>Em atraso</x:v>
      </x:c>
      <x:c r="O535" s="28" t="str">
        <x:v>Janela perdida no cliente</x:v>
      </x:c>
      <x:c r="P535" s="30" t="n">
        <x:v>69804</x:v>
      </x:c>
    </x:row>
    <x:row r="536">
      <x:c r="A536" s="28" t="str">
        <x:v>PED-48535</x:v>
      </x:c>
      <x:c r="B536" s="34" t="n">
        <x:v>45566</x:v>
      </x:c>
      <x:c r="C536" s="28" t="str">
        <x:v>Grupo Industrial S.A.</x:v>
      </x:c>
      <x:c r="D536" s="28" t="str">
        <x:v>Planta Curitiba</x:v>
      </x:c>
      <x:c r="E536" s="28" t="str">
        <x:v>Alimentos SA</x:v>
      </x:c>
      <x:c r="F536" s="28" t="str">
        <x:v>Sul</x:v>
      </x:c>
      <x:c r="G536" s="28" t="str">
        <x:v>NovaLog</x:v>
      </x:c>
      <x:c r="H536" s="28" t="str">
        <x:v>Curitiba-Centro-Oeste</x:v>
      </x:c>
      <x:c r="I536" s="34" t="n">
        <x:v>45571</x:v>
      </x:c>
      <x:c r="J536" s="34" t="n">
        <x:v>45573</x:v>
      </x:c>
      <x:c r="K536" s="32" t="n">
        <x:v>1270</x:v>
      </x:c>
      <x:c r="L536" s="32" t="n">
        <x:v>1270</x:v>
      </x:c>
      <x:c r="M536" s="30" t="n">
        <x:v>99060</x:v>
      </x:c>
      <x:c r="N536" s="28" t="str">
        <x:v>Em atraso</x:v>
      </x:c>
      <x:c r="O536" s="28" t="str">
        <x:v>Atraso transportadora</x:v>
      </x:c>
      <x:c r="P536" s="30" t="n">
        <x:v>99060</x:v>
      </x:c>
    </x:row>
    <x:row r="537">
      <x:c r="A537" s="28" t="str">
        <x:v>PED-48536</x:v>
      </x:c>
      <x:c r="B537" s="34" t="n">
        <x:v>45566</x:v>
      </x:c>
      <x:c r="C537" s="28" t="str">
        <x:v>Grupo Industrial S.A.</x:v>
      </x:c>
      <x:c r="D537" s="28" t="str">
        <x:v>Planta Curitiba</x:v>
      </x:c>
      <x:c r="E537" s="28" t="str">
        <x:v>Farma Vida</x:v>
      </x:c>
      <x:c r="F537" s="28" t="str">
        <x:v>Sul</x:v>
      </x:c>
      <x:c r="G537" s="28" t="str">
        <x:v>NovaLog</x:v>
      </x:c>
      <x:c r="H537" s="28" t="str">
        <x:v>Curitiba-Centro-Oeste</x:v>
      </x:c>
      <x:c r="I537" s="34" t="n">
        <x:v>45574</x:v>
      </x:c>
      <x:c r="J537" s="34" t="n">
        <x:v>45575</x:v>
      </x:c>
      <x:c r="K537" s="32" t="n">
        <x:v>1870</x:v>
      </x:c>
      <x:c r="L537" s="32" t="n">
        <x:v>1870</x:v>
      </x:c>
      <x:c r="M537" s="30" t="n">
        <x:v>172040</x:v>
      </x:c>
      <x:c r="N537" s="28" t="str">
        <x:v>Em atraso</x:v>
      </x:c>
      <x:c r="O537" s="28" t="str">
        <x:v>Atraso transportadora</x:v>
      </x:c>
      <x:c r="P537" s="30" t="n">
        <x:v>172040</x:v>
      </x:c>
    </x:row>
    <x:row r="538">
      <x:c r="A538" s="28" t="str">
        <x:v>PED-48537</x:v>
      </x:c>
      <x:c r="B538" s="34" t="n">
        <x:v>45566</x:v>
      </x:c>
      <x:c r="C538" s="28" t="str">
        <x:v>Grupo Industrial S.A.</x:v>
      </x:c>
      <x:c r="D538" s="28" t="str">
        <x:v>Planta Curitiba</x:v>
      </x:c>
      <x:c r="E538" s="28" t="str">
        <x:v>AutoPeças BR</x:v>
      </x:c>
      <x:c r="F538" s="28" t="str">
        <x:v>Sul</x:v>
      </x:c>
      <x:c r="G538" s="28" t="str">
        <x:v>NovaLog</x:v>
      </x:c>
      <x:c r="H538" s="28" t="str">
        <x:v>Curitiba-Centro-Oeste</x:v>
      </x:c>
      <x:c r="I538" s="34" t="n">
        <x:v>45577</x:v>
      </x:c>
      <x:c r="J538" s="34" t="n">
        <x:v>45581</x:v>
      </x:c>
      <x:c r="K538" s="32" t="n">
        <x:v>1725</x:v>
      </x:c>
      <x:c r="L538" s="32" t="n">
        <x:v>1725</x:v>
      </x:c>
      <x:c r="M538" s="30" t="n">
        <x:v>144900</x:v>
      </x:c>
      <x:c r="N538" s="28" t="str">
        <x:v>Em atraso</x:v>
      </x:c>
      <x:c r="O538" s="28" t="str">
        <x:v>Atraso transportadora</x:v>
      </x:c>
      <x:c r="P538" s="30" t="n">
        <x:v>144900</x:v>
      </x:c>
    </x:row>
    <x:row r="539">
      <x:c r="A539" s="28" t="str">
        <x:v>PED-48538</x:v>
      </x:c>
      <x:c r="B539" s="34" t="n">
        <x:v>45566</x:v>
      </x:c>
      <x:c r="C539" s="28" t="str">
        <x:v>Grupo Industrial S.A.</x:v>
      </x:c>
      <x:c r="D539" s="28" t="str">
        <x:v>Planta Curitiba</x:v>
      </x:c>
      <x:c r="E539" s="28" t="str">
        <x:v>Construbem</x:v>
      </x:c>
      <x:c r="F539" s="28" t="str">
        <x:v>Sul</x:v>
      </x:c>
      <x:c r="G539" s="28" t="str">
        <x:v>NovaLog</x:v>
      </x:c>
      <x:c r="H539" s="28" t="str">
        <x:v>Curitiba-Centro-Oeste</x:v>
      </x:c>
      <x:c r="I539" s="34" t="n">
        <x:v>45580</x:v>
      </x:c>
      <x:c r="J539" s="34" t="n">
        <x:v>45584</x:v>
      </x:c>
      <x:c r="K539" s="32" t="n">
        <x:v>1523</x:v>
      </x:c>
      <x:c r="L539" s="32" t="n">
        <x:v>1523</x:v>
      </x:c>
      <x:c r="M539" s="30" t="n">
        <x:v>118794</x:v>
      </x:c>
      <x:c r="N539" s="28" t="str">
        <x:v>Em atraso</x:v>
      </x:c>
      <x:c r="O539" s="28" t="str">
        <x:v>Atraso transportadora</x:v>
      </x:c>
      <x:c r="P539" s="30" t="n">
        <x:v>118794</x:v>
      </x:c>
    </x:row>
    <x:row r="540">
      <x:c r="A540" s="28" t="str">
        <x:v>PED-48539</x:v>
      </x:c>
      <x:c r="B540" s="34" t="n">
        <x:v>45566</x:v>
      </x:c>
      <x:c r="C540" s="28" t="str">
        <x:v>Grupo Industrial S.A.</x:v>
      </x:c>
      <x:c r="D540" s="28" t="str">
        <x:v>Planta Curitiba</x:v>
      </x:c>
      <x:c r="E540" s="28" t="str">
        <x:v>Alimentos SA</x:v>
      </x:c>
      <x:c r="F540" s="28" t="str">
        <x:v>Sul</x:v>
      </x:c>
      <x:c r="G540" s="28" t="str">
        <x:v>NovaLog</x:v>
      </x:c>
      <x:c r="H540" s="28" t="str">
        <x:v>Curitiba-Centro-Oeste</x:v>
      </x:c>
      <x:c r="I540" s="34" t="n">
        <x:v>45583</x:v>
      </x:c>
      <x:c r="J540" s="34" t="n">
        <x:v>45585</x:v>
      </x:c>
      <x:c r="K540" s="32" t="n">
        <x:v>2087</x:v>
      </x:c>
      <x:c r="L540" s="32" t="n">
        <x:v>1804</x:v>
      </x:c>
      <x:c r="M540" s="30" t="n">
        <x:v>192004</x:v>
      </x:c>
      <x:c r="N540" s="28" t="str">
        <x:v>Em atraso</x:v>
      </x:c>
      <x:c r="O540" s="28" t="str">
        <x:v>Atraso transportadora</x:v>
      </x:c>
      <x:c r="P540" s="30" t="n">
        <x:v>192004</x:v>
      </x:c>
    </x:row>
    <x:row r="541">
      <x:c r="A541" s="28" t="str">
        <x:v>PED-48540</x:v>
      </x:c>
      <x:c r="B541" s="34" t="n">
        <x:v>45566</x:v>
      </x:c>
      <x:c r="C541" s="28" t="str">
        <x:v>Grupo Industrial S.A.</x:v>
      </x:c>
      <x:c r="D541" s="28" t="str">
        <x:v>Planta Curitiba</x:v>
      </x:c>
      <x:c r="E541" s="28" t="str">
        <x:v>Farma Vida</x:v>
      </x:c>
      <x:c r="F541" s="28" t="str">
        <x:v>Sul</x:v>
      </x:c>
      <x:c r="G541" s="28" t="str">
        <x:v>NovaLog</x:v>
      </x:c>
      <x:c r="H541" s="28" t="str">
        <x:v>Curitiba-Centro-Oeste</x:v>
      </x:c>
      <x:c r="I541" s="34" t="n">
        <x:v>45586</x:v>
      </x:c>
      <x:c r="J541" s="34" t="n">
        <x:v>45587</x:v>
      </x:c>
      <x:c r="K541" s="32" t="n">
        <x:v>2077</x:v>
      </x:c>
      <x:c r="L541" s="32" t="n">
        <x:v>2077</x:v>
      </x:c>
      <x:c r="M541" s="30" t="n">
        <x:v>174468</x:v>
      </x:c>
      <x:c r="N541" s="28" t="str">
        <x:v>Em atraso</x:v>
      </x:c>
      <x:c r="O541" s="28" t="str">
        <x:v>Atraso transportadora</x:v>
      </x:c>
      <x:c r="P541" s="30" t="n">
        <x:v>174468</x:v>
      </x:c>
    </x:row>
    <x:row r="542">
      <x:c r="A542" s="28" t="str">
        <x:v>PED-48541</x:v>
      </x:c>
      <x:c r="B542" s="34" t="n">
        <x:v>45597</x:v>
      </x:c>
      <x:c r="C542" s="28" t="str">
        <x:v>Grupo Industrial S.A.</x:v>
      </x:c>
      <x:c r="D542" s="28" t="str">
        <x:v>Planta São Paulo</x:v>
      </x:c>
      <x:c r="E542" s="28" t="str">
        <x:v>Construbem</x:v>
      </x:c>
      <x:c r="F542" s="28" t="str">
        <x:v>Sudeste</x:v>
      </x:c>
      <x:c r="G542" s="28" t="str">
        <x:v>TransDados</x:v>
      </x:c>
      <x:c r="H542" s="28" t="str">
        <x:v>SP-Sudeste</x:v>
      </x:c>
      <x:c r="I542" s="34" t="n">
        <x:v>45602</x:v>
      </x:c>
      <x:c r="J542" s="34" t="n">
        <x:v>45602</x:v>
      </x:c>
      <x:c r="K542" s="32" t="n">
        <x:v>991</x:v>
      </x:c>
      <x:c r="L542" s="32" t="n">
        <x:v>991</x:v>
      </x:c>
      <x:c r="M542" s="30" t="n">
        <x:v>77298</x:v>
      </x:c>
      <x:c r="N542" s="28" t="str">
        <x:v>OTIF</x:v>
      </x:c>
      <x:c r="O542" s="28" t="str">
        <x:v>Janela perdida no cliente</x:v>
      </x:c>
      <x:c r="P542" s="30" t="n">
        <x:v>0</x:v>
      </x:c>
    </x:row>
    <x:row r="543">
      <x:c r="A543" s="28" t="str">
        <x:v>PED-48542</x:v>
      </x:c>
      <x:c r="B543" s="34" t="n">
        <x:v>45597</x:v>
      </x:c>
      <x:c r="C543" s="28" t="str">
        <x:v>Grupo Industrial S.A.</x:v>
      </x:c>
      <x:c r="D543" s="28" t="str">
        <x:v>Planta São Paulo</x:v>
      </x:c>
      <x:c r="E543" s="28" t="str">
        <x:v>Alimentos SA</x:v>
      </x:c>
      <x:c r="F543" s="28" t="str">
        <x:v>Sudeste</x:v>
      </x:c>
      <x:c r="G543" s="28" t="str">
        <x:v>TransDados</x:v>
      </x:c>
      <x:c r="H543" s="28" t="str">
        <x:v>SP-Sudeste</x:v>
      </x:c>
      <x:c r="I543" s="34" t="n">
        <x:v>45605</x:v>
      </x:c>
      <x:c r="J543" s="34" t="n">
        <x:v>45605</x:v>
      </x:c>
      <x:c r="K543" s="32" t="n">
        <x:v>1268</x:v>
      </x:c>
      <x:c r="L543" s="32" t="n">
        <x:v>1268</x:v>
      </x:c>
      <x:c r="M543" s="30" t="n">
        <x:v>116656</x:v>
      </x:c>
      <x:c r="N543" s="28" t="str">
        <x:v>OTIF</x:v>
      </x:c>
      <x:c r="O543" s="28" t="str">
        <x:v>Janela perdida no cliente</x:v>
      </x:c>
      <x:c r="P543" s="30" t="n">
        <x:v>0</x:v>
      </x:c>
    </x:row>
    <x:row r="544">
      <x:c r="A544" s="28" t="str">
        <x:v>PED-48543</x:v>
      </x:c>
      <x:c r="B544" s="34" t="n">
        <x:v>45597</x:v>
      </x:c>
      <x:c r="C544" s="28" t="str">
        <x:v>Grupo Industrial S.A.</x:v>
      </x:c>
      <x:c r="D544" s="28" t="str">
        <x:v>Planta São Paulo</x:v>
      </x:c>
      <x:c r="E544" s="28" t="str">
        <x:v>Farma Vida</x:v>
      </x:c>
      <x:c r="F544" s="28" t="str">
        <x:v>Sudeste</x:v>
      </x:c>
      <x:c r="G544" s="28" t="str">
        <x:v>TransDados</x:v>
      </x:c>
      <x:c r="H544" s="28" t="str">
        <x:v>SP-Sudeste</x:v>
      </x:c>
      <x:c r="I544" s="34" t="n">
        <x:v>45608</x:v>
      </x:c>
      <x:c r="J544" s="34" t="n">
        <x:v>45609</x:v>
      </x:c>
      <x:c r="K544" s="32" t="n">
        <x:v>798</x:v>
      </x:c>
      <x:c r="L544" s="32" t="n">
        <x:v>798</x:v>
      </x:c>
      <x:c r="M544" s="30" t="n">
        <x:v>67032</x:v>
      </x:c>
      <x:c r="N544" s="28" t="str">
        <x:v>Em atraso</x:v>
      </x:c>
      <x:c r="O544" s="28" t="str">
        <x:v>Atraso transportadora</x:v>
      </x:c>
      <x:c r="P544" s="30" t="n">
        <x:v>67032</x:v>
      </x:c>
    </x:row>
    <x:row r="545">
      <x:c r="A545" s="28" t="str">
        <x:v>PED-48544</x:v>
      </x:c>
      <x:c r="B545" s="34" t="n">
        <x:v>45597</x:v>
      </x:c>
      <x:c r="C545" s="28" t="str">
        <x:v>Grupo Industrial S.A.</x:v>
      </x:c>
      <x:c r="D545" s="28" t="str">
        <x:v>Planta São Paulo</x:v>
      </x:c>
      <x:c r="E545" s="28" t="str">
        <x:v>AutoPeças BR</x:v>
      </x:c>
      <x:c r="F545" s="28" t="str">
        <x:v>Sudeste</x:v>
      </x:c>
      <x:c r="G545" s="28" t="str">
        <x:v>TransDados</x:v>
      </x:c>
      <x:c r="H545" s="28" t="str">
        <x:v>SP-Sudeste</x:v>
      </x:c>
      <x:c r="I545" s="34" t="n">
        <x:v>45611</x:v>
      </x:c>
      <x:c r="J545" s="34" t="n">
        <x:v>45611</x:v>
      </x:c>
      <x:c r="K545" s="32" t="n">
        <x:v>1132</x:v>
      </x:c>
      <x:c r="L545" s="32" t="n">
        <x:v>1132</x:v>
      </x:c>
      <x:c r="M545" s="30" t="n">
        <x:v>81504</x:v>
      </x:c>
      <x:c r="N545" s="28" t="str">
        <x:v>OTIF</x:v>
      </x:c>
      <x:c r="O545" s="28" t="str">
        <x:v>Janela perdida no cliente</x:v>
      </x:c>
      <x:c r="P545" s="30" t="n">
        <x:v>0</x:v>
      </x:c>
    </x:row>
    <x:row r="546">
      <x:c r="A546" s="28" t="str">
        <x:v>PED-48545</x:v>
      </x:c>
      <x:c r="B546" s="34" t="n">
        <x:v>45597</x:v>
      </x:c>
      <x:c r="C546" s="28" t="str">
        <x:v>Grupo Industrial S.A.</x:v>
      </x:c>
      <x:c r="D546" s="28" t="str">
        <x:v>Planta São Paulo</x:v>
      </x:c>
      <x:c r="E546" s="28" t="str">
        <x:v>Construbem</x:v>
      </x:c>
      <x:c r="F546" s="28" t="str">
        <x:v>Sudeste</x:v>
      </x:c>
      <x:c r="G546" s="28" t="str">
        <x:v>TransDados</x:v>
      </x:c>
      <x:c r="H546" s="28" t="str">
        <x:v>SP-Sudeste</x:v>
      </x:c>
      <x:c r="I546" s="34" t="n">
        <x:v>45614</x:v>
      </x:c>
      <x:c r="J546" s="34" t="n">
        <x:v>45616</x:v>
      </x:c>
      <x:c r="K546" s="32" t="n">
        <x:v>1789</x:v>
      </x:c>
      <x:c r="L546" s="32" t="n">
        <x:v>1725</x:v>
      </x:c>
      <x:c r="M546" s="30" t="n">
        <x:v>139542</x:v>
      </x:c>
      <x:c r="N546" s="28" t="str">
        <x:v>Em atraso</x:v>
      </x:c>
      <x:c r="O546" s="28" t="str">
        <x:v>Atraso transportadora</x:v>
      </x:c>
      <x:c r="P546" s="30" t="n">
        <x:v>139542</x:v>
      </x:c>
    </x:row>
    <x:row r="547">
      <x:c r="A547" s="28" t="str">
        <x:v>PED-48546</x:v>
      </x:c>
      <x:c r="B547" s="34" t="n">
        <x:v>45597</x:v>
      </x:c>
      <x:c r="C547" s="28" t="str">
        <x:v>Grupo Industrial S.A.</x:v>
      </x:c>
      <x:c r="D547" s="28" t="str">
        <x:v>Planta São Paulo</x:v>
      </x:c>
      <x:c r="E547" s="28" t="str">
        <x:v>Alimentos SA</x:v>
      </x:c>
      <x:c r="F547" s="28" t="str">
        <x:v>Sudeste</x:v>
      </x:c>
      <x:c r="G547" s="28" t="str">
        <x:v>TransDados</x:v>
      </x:c>
      <x:c r="H547" s="28" t="str">
        <x:v>SP-Sudeste</x:v>
      </x:c>
      <x:c r="I547" s="34" t="n">
        <x:v>45617</x:v>
      </x:c>
      <x:c r="J547" s="34" t="n">
        <x:v>45618</x:v>
      </x:c>
      <x:c r="K547" s="32" t="n">
        <x:v>1472</x:v>
      </x:c>
      <x:c r="L547" s="32" t="n">
        <x:v>1336</x:v>
      </x:c>
      <x:c r="M547" s="30" t="n">
        <x:v>105984</x:v>
      </x:c>
      <x:c r="N547" s="28" t="str">
        <x:v>Em atraso</x:v>
      </x:c>
      <x:c r="O547" s="28" t="str">
        <x:v>Atraso transportadora</x:v>
      </x:c>
      <x:c r="P547" s="30" t="n">
        <x:v>105984</x:v>
      </x:c>
    </x:row>
    <x:row r="548">
      <x:c r="A548" s="28" t="str">
        <x:v>PED-48547</x:v>
      </x:c>
      <x:c r="B548" s="34" t="n">
        <x:v>45597</x:v>
      </x:c>
      <x:c r="C548" s="28" t="str">
        <x:v>Grupo Industrial S.A.</x:v>
      </x:c>
      <x:c r="D548" s="28" t="str">
        <x:v>Planta São Paulo</x:v>
      </x:c>
      <x:c r="E548" s="28" t="str">
        <x:v>AutoPeças BR</x:v>
      </x:c>
      <x:c r="F548" s="28" t="str">
        <x:v>Sudeste</x:v>
      </x:c>
      <x:c r="G548" s="28" t="str">
        <x:v>RápidoSul</x:v>
      </x:c>
      <x:c r="H548" s="28" t="str">
        <x:v>SP-Centro-Oeste</x:v>
      </x:c>
      <x:c r="I548" s="34" t="n">
        <x:v>45602</x:v>
      </x:c>
      <x:c r="J548" s="34" t="n">
        <x:v>45604</x:v>
      </x:c>
      <x:c r="K548" s="32" t="n">
        <x:v>1850</x:v>
      </x:c>
      <x:c r="L548" s="32" t="n">
        <x:v>1850</x:v>
      </x:c>
      <x:c r="M548" s="30" t="n">
        <x:v>155400</x:v>
      </x:c>
      <x:c r="N548" s="28" t="str">
        <x:v>Em atraso</x:v>
      </x:c>
      <x:c r="O548" s="28" t="str">
        <x:v>Janela perdida no cliente</x:v>
      </x:c>
      <x:c r="P548" s="30" t="n">
        <x:v>155400</x:v>
      </x:c>
    </x:row>
    <x:row r="549">
      <x:c r="A549" s="28" t="str">
        <x:v>PED-48548</x:v>
      </x:c>
      <x:c r="B549" s="34" t="n">
        <x:v>45597</x:v>
      </x:c>
      <x:c r="C549" s="28" t="str">
        <x:v>Grupo Industrial S.A.</x:v>
      </x:c>
      <x:c r="D549" s="28" t="str">
        <x:v>Planta São Paulo</x:v>
      </x:c>
      <x:c r="E549" s="28" t="str">
        <x:v>Construbem</x:v>
      </x:c>
      <x:c r="F549" s="28" t="str">
        <x:v>Sudeste</x:v>
      </x:c>
      <x:c r="G549" s="28" t="str">
        <x:v>RápidoSul</x:v>
      </x:c>
      <x:c r="H549" s="28" t="str">
        <x:v>SP-Centro-Oeste</x:v>
      </x:c>
      <x:c r="I549" s="34" t="n">
        <x:v>45605</x:v>
      </x:c>
      <x:c r="J549" s="34" t="n">
        <x:v>45607</x:v>
      </x:c>
      <x:c r="K549" s="32" t="n">
        <x:v>1636</x:v>
      </x:c>
      <x:c r="L549" s="32" t="n">
        <x:v>1387</x:v>
      </x:c>
      <x:c r="M549" s="30" t="n">
        <x:v>117792</x:v>
      </x:c>
      <x:c r="N549" s="28" t="str">
        <x:v>Em atraso</x:v>
      </x:c>
      <x:c r="O549" s="28" t="str">
        <x:v>Atraso transportadora</x:v>
      </x:c>
      <x:c r="P549" s="30" t="n">
        <x:v>117792</x:v>
      </x:c>
    </x:row>
    <x:row r="550">
      <x:c r="A550" s="28" t="str">
        <x:v>PED-48549</x:v>
      </x:c>
      <x:c r="B550" s="34" t="n">
        <x:v>45597</x:v>
      </x:c>
      <x:c r="C550" s="28" t="str">
        <x:v>Grupo Industrial S.A.</x:v>
      </x:c>
      <x:c r="D550" s="28" t="str">
        <x:v>Planta São Paulo</x:v>
      </x:c>
      <x:c r="E550" s="28" t="str">
        <x:v>Alimentos SA</x:v>
      </x:c>
      <x:c r="F550" s="28" t="str">
        <x:v>Sudeste</x:v>
      </x:c>
      <x:c r="G550" s="28" t="str">
        <x:v>RápidoSul</x:v>
      </x:c>
      <x:c r="H550" s="28" t="str">
        <x:v>SP-Centro-Oeste</x:v>
      </x:c>
      <x:c r="I550" s="34" t="n">
        <x:v>45608</x:v>
      </x:c>
      <x:c r="J550" s="34" t="n">
        <x:v>45608</x:v>
      </x:c>
      <x:c r="K550" s="32" t="n">
        <x:v>1194</x:v>
      </x:c>
      <x:c r="L550" s="32" t="n">
        <x:v>1194</x:v>
      </x:c>
      <x:c r="M550" s="30" t="n">
        <x:v>85968</x:v>
      </x:c>
      <x:c r="N550" s="28" t="str">
        <x:v>OTIF</x:v>
      </x:c>
      <x:c r="O550" s="28" t="str">
        <x:v>Janela perdida no cliente</x:v>
      </x:c>
      <x:c r="P550" s="30" t="n">
        <x:v>0</x:v>
      </x:c>
    </x:row>
    <x:row r="551">
      <x:c r="A551" s="28" t="str">
        <x:v>PED-48550</x:v>
      </x:c>
      <x:c r="B551" s="34" t="n">
        <x:v>45597</x:v>
      </x:c>
      <x:c r="C551" s="28" t="str">
        <x:v>Grupo Industrial S.A.</x:v>
      </x:c>
      <x:c r="D551" s="28" t="str">
        <x:v>Planta São Paulo</x:v>
      </x:c>
      <x:c r="E551" s="28" t="str">
        <x:v>Farma Vida</x:v>
      </x:c>
      <x:c r="F551" s="28" t="str">
        <x:v>Sudeste</x:v>
      </x:c>
      <x:c r="G551" s="28" t="str">
        <x:v>RápidoSul</x:v>
      </x:c>
      <x:c r="H551" s="28" t="str">
        <x:v>SP-Centro-Oeste</x:v>
      </x:c>
      <x:c r="I551" s="34" t="n">
        <x:v>45611</x:v>
      </x:c>
      <x:c r="J551" s="34" t="n">
        <x:v>45611</x:v>
      </x:c>
      <x:c r="K551" s="32" t="n">
        <x:v>1019</x:v>
      </x:c>
      <x:c r="L551" s="32" t="n">
        <x:v>1019</x:v>
      </x:c>
      <x:c r="M551" s="30" t="n">
        <x:v>79482</x:v>
      </x:c>
      <x:c r="N551" s="28" t="str">
        <x:v>OTIF</x:v>
      </x:c>
      <x:c r="O551" s="28" t="str">
        <x:v>Janela perdida no cliente</x:v>
      </x:c>
      <x:c r="P551" s="30" t="n">
        <x:v>0</x:v>
      </x:c>
    </x:row>
    <x:row r="552">
      <x:c r="A552" s="28" t="str">
        <x:v>PED-48551</x:v>
      </x:c>
      <x:c r="B552" s="34" t="n">
        <x:v>45597</x:v>
      </x:c>
      <x:c r="C552" s="28" t="str">
        <x:v>Grupo Industrial S.A.</x:v>
      </x:c>
      <x:c r="D552" s="28" t="str">
        <x:v>Planta São Paulo</x:v>
      </x:c>
      <x:c r="E552" s="28" t="str">
        <x:v>AutoPeças BR</x:v>
      </x:c>
      <x:c r="F552" s="28" t="str">
        <x:v>Sudeste</x:v>
      </x:c>
      <x:c r="G552" s="28" t="str">
        <x:v>RápidoSul</x:v>
      </x:c>
      <x:c r="H552" s="28" t="str">
        <x:v>SP-Centro-Oeste</x:v>
      </x:c>
      <x:c r="I552" s="34" t="n">
        <x:v>45614</x:v>
      </x:c>
      <x:c r="J552" s="34" t="n">
        <x:v>45616</x:v>
      </x:c>
      <x:c r="K552" s="32" t="n">
        <x:v>1020</x:v>
      </x:c>
      <x:c r="L552" s="32" t="n">
        <x:v>1020</x:v>
      </x:c>
      <x:c r="M552" s="30" t="n">
        <x:v>93840</x:v>
      </x:c>
      <x:c r="N552" s="28" t="str">
        <x:v>Em atraso</x:v>
      </x:c>
      <x:c r="O552" s="28" t="str">
        <x:v>Atraso transportadora</x:v>
      </x:c>
      <x:c r="P552" s="30" t="n">
        <x:v>93840</x:v>
      </x:c>
    </x:row>
    <x:row r="553">
      <x:c r="A553" s="28" t="str">
        <x:v>PED-48552</x:v>
      </x:c>
      <x:c r="B553" s="34" t="n">
        <x:v>45597</x:v>
      </x:c>
      <x:c r="C553" s="28" t="str">
        <x:v>Grupo Industrial S.A.</x:v>
      </x:c>
      <x:c r="D553" s="28" t="str">
        <x:v>Planta São Paulo</x:v>
      </x:c>
      <x:c r="E553" s="28" t="str">
        <x:v>Construbem</x:v>
      </x:c>
      <x:c r="F553" s="28" t="str">
        <x:v>Sudeste</x:v>
      </x:c>
      <x:c r="G553" s="28" t="str">
        <x:v>RápidoSul</x:v>
      </x:c>
      <x:c r="H553" s="28" t="str">
        <x:v>SP-Centro-Oeste</x:v>
      </x:c>
      <x:c r="I553" s="34" t="n">
        <x:v>45617</x:v>
      </x:c>
      <x:c r="J553" s="34" t="n">
        <x:v>45617</x:v>
      </x:c>
      <x:c r="K553" s="32" t="n">
        <x:v>1195</x:v>
      </x:c>
      <x:c r="L553" s="32" t="n">
        <x:v>1195</x:v>
      </x:c>
      <x:c r="M553" s="30" t="n">
        <x:v>86040</x:v>
      </x:c>
      <x:c r="N553" s="28" t="str">
        <x:v>OTIF</x:v>
      </x:c>
      <x:c r="O553" s="28" t="str">
        <x:v>Janela perdida no cliente</x:v>
      </x:c>
      <x:c r="P553" s="30" t="n">
        <x:v>0</x:v>
      </x:c>
    </x:row>
    <x:row r="554">
      <x:c r="A554" s="28" t="str">
        <x:v>PED-48553</x:v>
      </x:c>
      <x:c r="B554" s="34" t="n">
        <x:v>45597</x:v>
      </x:c>
      <x:c r="C554" s="28" t="str">
        <x:v>Grupo Industrial S.A.</x:v>
      </x:c>
      <x:c r="D554" s="28" t="str">
        <x:v>Planta São Paulo</x:v>
      </x:c>
      <x:c r="E554" s="28" t="str">
        <x:v>Farma Vida</x:v>
      </x:c>
      <x:c r="F554" s="28" t="str">
        <x:v>Sudeste</x:v>
      </x:c>
      <x:c r="G554" s="28" t="str">
        <x:v>NovaLog</x:v>
      </x:c>
      <x:c r="H554" s="28" t="str">
        <x:v>SP-Nordeste</x:v>
      </x:c>
      <x:c r="I554" s="34" t="n">
        <x:v>45602</x:v>
      </x:c>
      <x:c r="J554" s="34" t="n">
        <x:v>45602</x:v>
      </x:c>
      <x:c r="K554" s="32" t="n">
        <x:v>1753</x:v>
      </x:c>
      <x:c r="L554" s="32" t="n">
        <x:v>1753</x:v>
      </x:c>
      <x:c r="M554" s="30" t="n">
        <x:v>126216</x:v>
      </x:c>
      <x:c r="N554" s="28" t="str">
        <x:v>OTIF</x:v>
      </x:c>
      <x:c r="O554" s="28" t="str">
        <x:v>Janela perdida no cliente</x:v>
      </x:c>
      <x:c r="P554" s="30" t="n">
        <x:v>0</x:v>
      </x:c>
    </x:row>
    <x:row r="555">
      <x:c r="A555" s="28" t="str">
        <x:v>PED-48554</x:v>
      </x:c>
      <x:c r="B555" s="34" t="n">
        <x:v>45597</x:v>
      </x:c>
      <x:c r="C555" s="28" t="str">
        <x:v>Grupo Industrial S.A.</x:v>
      </x:c>
      <x:c r="D555" s="28" t="str">
        <x:v>Planta São Paulo</x:v>
      </x:c>
      <x:c r="E555" s="28" t="str">
        <x:v>AutoPeças BR</x:v>
      </x:c>
      <x:c r="F555" s="28" t="str">
        <x:v>Sudeste</x:v>
      </x:c>
      <x:c r="G555" s="28" t="str">
        <x:v>NovaLog</x:v>
      </x:c>
      <x:c r="H555" s="28" t="str">
        <x:v>SP-Nordeste</x:v>
      </x:c>
      <x:c r="I555" s="34" t="n">
        <x:v>45605</x:v>
      </x:c>
      <x:c r="J555" s="34" t="n">
        <x:v>45605</x:v>
      </x:c>
      <x:c r="K555" s="32" t="n">
        <x:v>941</x:v>
      </x:c>
      <x:c r="L555" s="32" t="n">
        <x:v>941</x:v>
      </x:c>
      <x:c r="M555" s="30" t="n">
        <x:v>73398</x:v>
      </x:c>
      <x:c r="N555" s="28" t="str">
        <x:v>OTIF</x:v>
      </x:c>
      <x:c r="O555" s="28" t="str">
        <x:v>Janela perdida no cliente</x:v>
      </x:c>
      <x:c r="P555" s="30" t="n">
        <x:v>0</x:v>
      </x:c>
    </x:row>
    <x:row r="556">
      <x:c r="A556" s="28" t="str">
        <x:v>PED-48555</x:v>
      </x:c>
      <x:c r="B556" s="34" t="n">
        <x:v>45597</x:v>
      </x:c>
      <x:c r="C556" s="28" t="str">
        <x:v>Grupo Industrial S.A.</x:v>
      </x:c>
      <x:c r="D556" s="28" t="str">
        <x:v>Planta São Paulo</x:v>
      </x:c>
      <x:c r="E556" s="28" t="str">
        <x:v>Construbem</x:v>
      </x:c>
      <x:c r="F556" s="28" t="str">
        <x:v>Sudeste</x:v>
      </x:c>
      <x:c r="G556" s="28" t="str">
        <x:v>NovaLog</x:v>
      </x:c>
      <x:c r="H556" s="28" t="str">
        <x:v>SP-Nordeste</x:v>
      </x:c>
      <x:c r="I556" s="34" t="n">
        <x:v>45608</x:v>
      </x:c>
      <x:c r="J556" s="34" t="n">
        <x:v>45612</x:v>
      </x:c>
      <x:c r="K556" s="32" t="n">
        <x:v>1788</x:v>
      </x:c>
      <x:c r="L556" s="32" t="n">
        <x:v>1788</x:v>
      </x:c>
      <x:c r="M556" s="30" t="n">
        <x:v>164496</x:v>
      </x:c>
      <x:c r="N556" s="28" t="str">
        <x:v>Em atraso</x:v>
      </x:c>
      <x:c r="O556" s="28" t="str">
        <x:v>Atraso transportadora</x:v>
      </x:c>
      <x:c r="P556" s="30" t="n">
        <x:v>164496</x:v>
      </x:c>
    </x:row>
    <x:row r="557">
      <x:c r="A557" s="28" t="str">
        <x:v>PED-48556</x:v>
      </x:c>
      <x:c r="B557" s="34" t="n">
        <x:v>45597</x:v>
      </x:c>
      <x:c r="C557" s="28" t="str">
        <x:v>Grupo Industrial S.A.</x:v>
      </x:c>
      <x:c r="D557" s="28" t="str">
        <x:v>Planta São Paulo</x:v>
      </x:c>
      <x:c r="E557" s="28" t="str">
        <x:v>Alimentos SA</x:v>
      </x:c>
      <x:c r="F557" s="28" t="str">
        <x:v>Sudeste</x:v>
      </x:c>
      <x:c r="G557" s="28" t="str">
        <x:v>NovaLog</x:v>
      </x:c>
      <x:c r="H557" s="28" t="str">
        <x:v>SP-Nordeste</x:v>
      </x:c>
      <x:c r="I557" s="34" t="n">
        <x:v>45611</x:v>
      </x:c>
      <x:c r="J557" s="34" t="n">
        <x:v>45615</x:v>
      </x:c>
      <x:c r="K557" s="32" t="n">
        <x:v>914</x:v>
      </x:c>
      <x:c r="L557" s="32" t="n">
        <x:v>914</x:v>
      </x:c>
      <x:c r="M557" s="30" t="n">
        <x:v>71292</x:v>
      </x:c>
      <x:c r="N557" s="28" t="str">
        <x:v>Em atraso</x:v>
      </x:c>
      <x:c r="O557" s="28" t="str">
        <x:v>Atraso transportadora</x:v>
      </x:c>
      <x:c r="P557" s="30" t="n">
        <x:v>71292</x:v>
      </x:c>
    </x:row>
    <x:row r="558">
      <x:c r="A558" s="28" t="str">
        <x:v>PED-48557</x:v>
      </x:c>
      <x:c r="B558" s="34" t="n">
        <x:v>45597</x:v>
      </x:c>
      <x:c r="C558" s="28" t="str">
        <x:v>Grupo Industrial S.A.</x:v>
      </x:c>
      <x:c r="D558" s="28" t="str">
        <x:v>Planta São Paulo</x:v>
      </x:c>
      <x:c r="E558" s="28" t="str">
        <x:v>Farma Vida</x:v>
      </x:c>
      <x:c r="F558" s="28" t="str">
        <x:v>Sudeste</x:v>
      </x:c>
      <x:c r="G558" s="28" t="str">
        <x:v>NovaLog</x:v>
      </x:c>
      <x:c r="H558" s="28" t="str">
        <x:v>SP-Nordeste</x:v>
      </x:c>
      <x:c r="I558" s="34" t="n">
        <x:v>45614</x:v>
      </x:c>
      <x:c r="J558" s="34" t="n">
        <x:v>45614</x:v>
      </x:c>
      <x:c r="K558" s="32" t="n">
        <x:v>1758</x:v>
      </x:c>
      <x:c r="L558" s="32" t="n">
        <x:v>1587</x:v>
      </x:c>
      <x:c r="M558" s="30" t="n">
        <x:v>126576</x:v>
      </x:c>
      <x:c r="N558" s="28" t="str">
        <x:v>Incompleto</x:v>
      </x:c>
      <x:c r="O558" s="28" t="str">
        <x:v>Falta de produto</x:v>
      </x:c>
      <x:c r="P558" s="30" t="n">
        <x:v>126576</x:v>
      </x:c>
    </x:row>
    <x:row r="559">
      <x:c r="A559" s="28" t="str">
        <x:v>PED-48558</x:v>
      </x:c>
      <x:c r="B559" s="34" t="n">
        <x:v>45597</x:v>
      </x:c>
      <x:c r="C559" s="28" t="str">
        <x:v>Grupo Industrial S.A.</x:v>
      </x:c>
      <x:c r="D559" s="28" t="str">
        <x:v>Planta São Paulo</x:v>
      </x:c>
      <x:c r="E559" s="28" t="str">
        <x:v>AutoPeças BR</x:v>
      </x:c>
      <x:c r="F559" s="28" t="str">
        <x:v>Sudeste</x:v>
      </x:c>
      <x:c r="G559" s="28" t="str">
        <x:v>NovaLog</x:v>
      </x:c>
      <x:c r="H559" s="28" t="str">
        <x:v>SP-Nordeste</x:v>
      </x:c>
      <x:c r="I559" s="34" t="n">
        <x:v>45617</x:v>
      </x:c>
      <x:c r="J559" s="34" t="n">
        <x:v>45621</x:v>
      </x:c>
      <x:c r="K559" s="32" t="n">
        <x:v>1409</x:v>
      </x:c>
      <x:c r="L559" s="32" t="n">
        <x:v>1409</x:v>
      </x:c>
      <x:c r="M559" s="30" t="n">
        <x:v>109902</x:v>
      </x:c>
      <x:c r="N559" s="28" t="str">
        <x:v>Em atraso</x:v>
      </x:c>
      <x:c r="O559" s="28" t="str">
        <x:v>Atraso transportadora</x:v>
      </x:c>
      <x:c r="P559" s="30" t="n">
        <x:v>109902</x:v>
      </x:c>
    </x:row>
    <x:row r="560">
      <x:c r="A560" s="28" t="str">
        <x:v>PED-48559</x:v>
      </x:c>
      <x:c r="B560" s="34" t="n">
        <x:v>45597</x:v>
      </x:c>
      <x:c r="C560" s="28" t="str">
        <x:v>Grupo Industrial S.A.</x:v>
      </x:c>
      <x:c r="D560" s="28" t="str">
        <x:v>Planta Campinas</x:v>
      </x:c>
      <x:c r="E560" s="28" t="str">
        <x:v>Alimentos SA</x:v>
      </x:c>
      <x:c r="F560" s="28" t="str">
        <x:v>Sudeste</x:v>
      </x:c>
      <x:c r="G560" s="28" t="str">
        <x:v>TransDados</x:v>
      </x:c>
      <x:c r="H560" s="28" t="str">
        <x:v>Campinas-Sudeste</x:v>
      </x:c>
      <x:c r="I560" s="34" t="n">
        <x:v>45602</x:v>
      </x:c>
      <x:c r="J560" s="34" t="n">
        <x:v>45603</x:v>
      </x:c>
      <x:c r="K560" s="32" t="n">
        <x:v>1315</x:v>
      </x:c>
      <x:c r="L560" s="32" t="n">
        <x:v>1315</x:v>
      </x:c>
      <x:c r="M560" s="30" t="n">
        <x:v>110460</x:v>
      </x:c>
      <x:c r="N560" s="28" t="str">
        <x:v>Em atraso</x:v>
      </x:c>
      <x:c r="O560" s="28" t="str">
        <x:v>Atraso transportadora</x:v>
      </x:c>
      <x:c r="P560" s="30" t="n">
        <x:v>110460</x:v>
      </x:c>
    </x:row>
    <x:row r="561">
      <x:c r="A561" s="28" t="str">
        <x:v>PED-48560</x:v>
      </x:c>
      <x:c r="B561" s="34" t="n">
        <x:v>45597</x:v>
      </x:c>
      <x:c r="C561" s="28" t="str">
        <x:v>Grupo Industrial S.A.</x:v>
      </x:c>
      <x:c r="D561" s="28" t="str">
        <x:v>Planta Campinas</x:v>
      </x:c>
      <x:c r="E561" s="28" t="str">
        <x:v>Farma Vida</x:v>
      </x:c>
      <x:c r="F561" s="28" t="str">
        <x:v>Sudeste</x:v>
      </x:c>
      <x:c r="G561" s="28" t="str">
        <x:v>TransDados</x:v>
      </x:c>
      <x:c r="H561" s="28" t="str">
        <x:v>Campinas-Sudeste</x:v>
      </x:c>
      <x:c r="I561" s="34" t="n">
        <x:v>45605</x:v>
      </x:c>
      <x:c r="J561" s="34" t="n">
        <x:v>45605</x:v>
      </x:c>
      <x:c r="K561" s="32" t="n">
        <x:v>788</x:v>
      </x:c>
      <x:c r="L561" s="32" t="n">
        <x:v>731</x:v>
      </x:c>
      <x:c r="M561" s="30" t="n">
        <x:v>72496</x:v>
      </x:c>
      <x:c r="N561" s="28" t="str">
        <x:v>Incompleto</x:v>
      </x:c>
      <x:c r="O561" s="28" t="str">
        <x:v>Falta de produto</x:v>
      </x:c>
      <x:c r="P561" s="30" t="n">
        <x:v>72496</x:v>
      </x:c>
    </x:row>
    <x:row r="562">
      <x:c r="A562" s="28" t="str">
        <x:v>PED-48561</x:v>
      </x:c>
      <x:c r="B562" s="34" t="n">
        <x:v>45597</x:v>
      </x:c>
      <x:c r="C562" s="28" t="str">
        <x:v>Grupo Industrial S.A.</x:v>
      </x:c>
      <x:c r="D562" s="28" t="str">
        <x:v>Planta Campinas</x:v>
      </x:c>
      <x:c r="E562" s="28" t="str">
        <x:v>AutoPeças BR</x:v>
      </x:c>
      <x:c r="F562" s="28" t="str">
        <x:v>Sudeste</x:v>
      </x:c>
      <x:c r="G562" s="28" t="str">
        <x:v>TransDados</x:v>
      </x:c>
      <x:c r="H562" s="28" t="str">
        <x:v>Campinas-Sudeste</x:v>
      </x:c>
      <x:c r="I562" s="34" t="n">
        <x:v>45608</x:v>
      </x:c>
      <x:c r="J562" s="34" t="n">
        <x:v>45612</x:v>
      </x:c>
      <x:c r="K562" s="32" t="n">
        <x:v>864</x:v>
      </x:c>
      <x:c r="L562" s="32" t="n">
        <x:v>864</x:v>
      </x:c>
      <x:c r="M562" s="30" t="n">
        <x:v>62208</x:v>
      </x:c>
      <x:c r="N562" s="28" t="str">
        <x:v>Em atraso</x:v>
      </x:c>
      <x:c r="O562" s="28" t="str">
        <x:v>Atraso transportadora</x:v>
      </x:c>
      <x:c r="P562" s="30" t="n">
        <x:v>62208</x:v>
      </x:c>
    </x:row>
    <x:row r="563">
      <x:c r="A563" s="28" t="str">
        <x:v>PED-48562</x:v>
      </x:c>
      <x:c r="B563" s="34" t="n">
        <x:v>45597</x:v>
      </x:c>
      <x:c r="C563" s="28" t="str">
        <x:v>Grupo Industrial S.A.</x:v>
      </x:c>
      <x:c r="D563" s="28" t="str">
        <x:v>Planta Campinas</x:v>
      </x:c>
      <x:c r="E563" s="28" t="str">
        <x:v>Construbem</x:v>
      </x:c>
      <x:c r="F563" s="28" t="str">
        <x:v>Sudeste</x:v>
      </x:c>
      <x:c r="G563" s="28" t="str">
        <x:v>TransDados</x:v>
      </x:c>
      <x:c r="H563" s="28" t="str">
        <x:v>Campinas-Sudeste</x:v>
      </x:c>
      <x:c r="I563" s="34" t="n">
        <x:v>45611</x:v>
      </x:c>
      <x:c r="J563" s="34" t="n">
        <x:v>45612</x:v>
      </x:c>
      <x:c r="K563" s="32" t="n">
        <x:v>769</x:v>
      </x:c>
      <x:c r="L563" s="32" t="n">
        <x:v>769</x:v>
      </x:c>
      <x:c r="M563" s="30" t="n">
        <x:v>55368</x:v>
      </x:c>
      <x:c r="N563" s="28" t="str">
        <x:v>Em atraso</x:v>
      </x:c>
      <x:c r="O563" s="28" t="str">
        <x:v>Atraso transportadora</x:v>
      </x:c>
      <x:c r="P563" s="30" t="n">
        <x:v>55368</x:v>
      </x:c>
    </x:row>
    <x:row r="564">
      <x:c r="A564" s="28" t="str">
        <x:v>PED-48563</x:v>
      </x:c>
      <x:c r="B564" s="34" t="n">
        <x:v>45597</x:v>
      </x:c>
      <x:c r="C564" s="28" t="str">
        <x:v>Grupo Industrial S.A.</x:v>
      </x:c>
      <x:c r="D564" s="28" t="str">
        <x:v>Planta Campinas</x:v>
      </x:c>
      <x:c r="E564" s="28" t="str">
        <x:v>Alimentos SA</x:v>
      </x:c>
      <x:c r="F564" s="28" t="str">
        <x:v>Sudeste</x:v>
      </x:c>
      <x:c r="G564" s="28" t="str">
        <x:v>TransDados</x:v>
      </x:c>
      <x:c r="H564" s="28" t="str">
        <x:v>Campinas-Sudeste</x:v>
      </x:c>
      <x:c r="I564" s="34" t="n">
        <x:v>45614</x:v>
      </x:c>
      <x:c r="J564" s="34" t="n">
        <x:v>45614</x:v>
      </x:c>
      <x:c r="K564" s="32" t="n">
        <x:v>1168</x:v>
      </x:c>
      <x:c r="L564" s="32" t="n">
        <x:v>1168</x:v>
      </x:c>
      <x:c r="M564" s="30" t="n">
        <x:v>98112</x:v>
      </x:c>
      <x:c r="N564" s="28" t="str">
        <x:v>OTIF</x:v>
      </x:c>
      <x:c r="O564" s="28" t="str">
        <x:v>Janela perdida no cliente</x:v>
      </x:c>
      <x:c r="P564" s="30" t="n">
        <x:v>0</x:v>
      </x:c>
    </x:row>
    <x:row r="565">
      <x:c r="A565" s="28" t="str">
        <x:v>PED-48564</x:v>
      </x:c>
      <x:c r="B565" s="34" t="n">
        <x:v>45597</x:v>
      </x:c>
      <x:c r="C565" s="28" t="str">
        <x:v>Grupo Industrial S.A.</x:v>
      </x:c>
      <x:c r="D565" s="28" t="str">
        <x:v>Planta Campinas</x:v>
      </x:c>
      <x:c r="E565" s="28" t="str">
        <x:v>Farma Vida</x:v>
      </x:c>
      <x:c r="F565" s="28" t="str">
        <x:v>Sudeste</x:v>
      </x:c>
      <x:c r="G565" s="28" t="str">
        <x:v>TransDados</x:v>
      </x:c>
      <x:c r="H565" s="28" t="str">
        <x:v>Campinas-Sudeste</x:v>
      </x:c>
      <x:c r="I565" s="34" t="n">
        <x:v>45617</x:v>
      </x:c>
      <x:c r="J565" s="34" t="n">
        <x:v>45617</x:v>
      </x:c>
      <x:c r="K565" s="32" t="n">
        <x:v>1434</x:v>
      </x:c>
      <x:c r="L565" s="32" t="n">
        <x:v>1434</x:v>
      </x:c>
      <x:c r="M565" s="30" t="n">
        <x:v>120456</x:v>
      </x:c>
      <x:c r="N565" s="28" t="str">
        <x:v>OTIF</x:v>
      </x:c>
      <x:c r="O565" s="28" t="str">
        <x:v>Janela perdida no cliente</x:v>
      </x:c>
      <x:c r="P565" s="30" t="n">
        <x:v>0</x:v>
      </x:c>
    </x:row>
    <x:row r="566">
      <x:c r="A566" s="28" t="str">
        <x:v>PED-48565</x:v>
      </x:c>
      <x:c r="B566" s="34" t="n">
        <x:v>45597</x:v>
      </x:c>
      <x:c r="C566" s="28" t="str">
        <x:v>Grupo Industrial S.A.</x:v>
      </x:c>
      <x:c r="D566" s="28" t="str">
        <x:v>Planta Campinas</x:v>
      </x:c>
      <x:c r="E566" s="28" t="str">
        <x:v>Construbem</x:v>
      </x:c>
      <x:c r="F566" s="28" t="str">
        <x:v>Sudeste</x:v>
      </x:c>
      <x:c r="G566" s="28" t="str">
        <x:v>RápidoSul</x:v>
      </x:c>
      <x:c r="H566" s="28" t="str">
        <x:v>Campinas-Norte</x:v>
      </x:c>
      <x:c r="I566" s="34" t="n">
        <x:v>45602</x:v>
      </x:c>
      <x:c r="J566" s="34" t="n">
        <x:v>45604</x:v>
      </x:c>
      <x:c r="K566" s="32" t="n">
        <x:v>2143</x:v>
      </x:c>
      <x:c r="L566" s="32" t="n">
        <x:v>2143</x:v>
      </x:c>
      <x:c r="M566" s="30" t="n">
        <x:v>180012</x:v>
      </x:c>
      <x:c r="N566" s="28" t="str">
        <x:v>Em atraso</x:v>
      </x:c>
      <x:c r="O566" s="28" t="str">
        <x:v>Atraso transportadora</x:v>
      </x:c>
      <x:c r="P566" s="30" t="n">
        <x:v>180012</x:v>
      </x:c>
    </x:row>
    <x:row r="567">
      <x:c r="A567" s="28" t="str">
        <x:v>PED-48566</x:v>
      </x:c>
      <x:c r="B567" s="34" t="n">
        <x:v>45597</x:v>
      </x:c>
      <x:c r="C567" s="28" t="str">
        <x:v>Grupo Industrial S.A.</x:v>
      </x:c>
      <x:c r="D567" s="28" t="str">
        <x:v>Planta Campinas</x:v>
      </x:c>
      <x:c r="E567" s="28" t="str">
        <x:v>Alimentos SA</x:v>
      </x:c>
      <x:c r="F567" s="28" t="str">
        <x:v>Sudeste</x:v>
      </x:c>
      <x:c r="G567" s="28" t="str">
        <x:v>RápidoSul</x:v>
      </x:c>
      <x:c r="H567" s="28" t="str">
        <x:v>Campinas-Norte</x:v>
      </x:c>
      <x:c r="I567" s="34" t="n">
        <x:v>45605</x:v>
      </x:c>
      <x:c r="J567" s="34" t="n">
        <x:v>45605</x:v>
      </x:c>
      <x:c r="K567" s="32" t="n">
        <x:v>1109</x:v>
      </x:c>
      <x:c r="L567" s="32" t="n">
        <x:v>1109</x:v>
      </x:c>
      <x:c r="M567" s="30" t="n">
        <x:v>86502</x:v>
      </x:c>
      <x:c r="N567" s="28" t="str">
        <x:v>OTIF</x:v>
      </x:c>
      <x:c r="O567" s="28" t="str">
        <x:v>Janela perdida no cliente</x:v>
      </x:c>
      <x:c r="P567" s="30" t="n">
        <x:v>0</x:v>
      </x:c>
    </x:row>
    <x:row r="568">
      <x:c r="A568" s="28" t="str">
        <x:v>PED-48567</x:v>
      </x:c>
      <x:c r="B568" s="34" t="n">
        <x:v>45597</x:v>
      </x:c>
      <x:c r="C568" s="28" t="str">
        <x:v>Grupo Industrial S.A.</x:v>
      </x:c>
      <x:c r="D568" s="28" t="str">
        <x:v>Planta Campinas</x:v>
      </x:c>
      <x:c r="E568" s="28" t="str">
        <x:v>Farma Vida</x:v>
      </x:c>
      <x:c r="F568" s="28" t="str">
        <x:v>Sudeste</x:v>
      </x:c>
      <x:c r="G568" s="28" t="str">
        <x:v>RápidoSul</x:v>
      </x:c>
      <x:c r="H568" s="28" t="str">
        <x:v>Campinas-Norte</x:v>
      </x:c>
      <x:c r="I568" s="34" t="n">
        <x:v>45608</x:v>
      </x:c>
      <x:c r="J568" s="34" t="n">
        <x:v>45609</x:v>
      </x:c>
      <x:c r="K568" s="32" t="n">
        <x:v>1993</x:v>
      </x:c>
      <x:c r="L568" s="32" t="n">
        <x:v>1993</x:v>
      </x:c>
      <x:c r="M568" s="30" t="n">
        <x:v>143496</x:v>
      </x:c>
      <x:c r="N568" s="28" t="str">
        <x:v>Em atraso</x:v>
      </x:c>
      <x:c r="O568" s="28" t="str">
        <x:v>Atraso transportadora</x:v>
      </x:c>
      <x:c r="P568" s="30" t="n">
        <x:v>143496</x:v>
      </x:c>
    </x:row>
    <x:row r="569">
      <x:c r="A569" s="28" t="str">
        <x:v>PED-48568</x:v>
      </x:c>
      <x:c r="B569" s="34" t="n">
        <x:v>45597</x:v>
      </x:c>
      <x:c r="C569" s="28" t="str">
        <x:v>Grupo Industrial S.A.</x:v>
      </x:c>
      <x:c r="D569" s="28" t="str">
        <x:v>Planta Campinas</x:v>
      </x:c>
      <x:c r="E569" s="28" t="str">
        <x:v>AutoPeças BR</x:v>
      </x:c>
      <x:c r="F569" s="28" t="str">
        <x:v>Sudeste</x:v>
      </x:c>
      <x:c r="G569" s="28" t="str">
        <x:v>RápidoSul</x:v>
      </x:c>
      <x:c r="H569" s="28" t="str">
        <x:v>Campinas-Norte</x:v>
      </x:c>
      <x:c r="I569" s="34" t="n">
        <x:v>45611</x:v>
      </x:c>
      <x:c r="J569" s="34" t="n">
        <x:v>45612</x:v>
      </x:c>
      <x:c r="K569" s="32" t="n">
        <x:v>906</x:v>
      </x:c>
      <x:c r="L569" s="32" t="n">
        <x:v>906</x:v>
      </x:c>
      <x:c r="M569" s="30" t="n">
        <x:v>76104</x:v>
      </x:c>
      <x:c r="N569" s="28" t="str">
        <x:v>Em atraso</x:v>
      </x:c>
      <x:c r="O569" s="28" t="str">
        <x:v>Atraso transportadora</x:v>
      </x:c>
      <x:c r="P569" s="30" t="n">
        <x:v>76104</x:v>
      </x:c>
    </x:row>
    <x:row r="570">
      <x:c r="A570" s="28" t="str">
        <x:v>PED-48569</x:v>
      </x:c>
      <x:c r="B570" s="34" t="n">
        <x:v>45597</x:v>
      </x:c>
      <x:c r="C570" s="28" t="str">
        <x:v>Grupo Industrial S.A.</x:v>
      </x:c>
      <x:c r="D570" s="28" t="str">
        <x:v>Planta Campinas</x:v>
      </x:c>
      <x:c r="E570" s="28" t="str">
        <x:v>Construbem</x:v>
      </x:c>
      <x:c r="F570" s="28" t="str">
        <x:v>Sudeste</x:v>
      </x:c>
      <x:c r="G570" s="28" t="str">
        <x:v>RápidoSul</x:v>
      </x:c>
      <x:c r="H570" s="28" t="str">
        <x:v>Campinas-Norte</x:v>
      </x:c>
      <x:c r="I570" s="34" t="n">
        <x:v>45614</x:v>
      </x:c>
      <x:c r="J570" s="34" t="n">
        <x:v>45614</x:v>
      </x:c>
      <x:c r="K570" s="32" t="n">
        <x:v>2102</x:v>
      </x:c>
      <x:c r="L570" s="32" t="n">
        <x:v>2102</x:v>
      </x:c>
      <x:c r="M570" s="30" t="n">
        <x:v>163956</x:v>
      </x:c>
      <x:c r="N570" s="28" t="str">
        <x:v>OTIF</x:v>
      </x:c>
      <x:c r="O570" s="28" t="str">
        <x:v>Janela perdida no cliente</x:v>
      </x:c>
      <x:c r="P570" s="30" t="n">
        <x:v>0</x:v>
      </x:c>
    </x:row>
    <x:row r="571">
      <x:c r="A571" s="28" t="str">
        <x:v>PED-48570</x:v>
      </x:c>
      <x:c r="B571" s="34" t="n">
        <x:v>45597</x:v>
      </x:c>
      <x:c r="C571" s="28" t="str">
        <x:v>Grupo Industrial S.A.</x:v>
      </x:c>
      <x:c r="D571" s="28" t="str">
        <x:v>Planta Campinas</x:v>
      </x:c>
      <x:c r="E571" s="28" t="str">
        <x:v>Alimentos SA</x:v>
      </x:c>
      <x:c r="F571" s="28" t="str">
        <x:v>Sudeste</x:v>
      </x:c>
      <x:c r="G571" s="28" t="str">
        <x:v>RápidoSul</x:v>
      </x:c>
      <x:c r="H571" s="28" t="str">
        <x:v>Campinas-Norte</x:v>
      </x:c>
      <x:c r="I571" s="34" t="n">
        <x:v>45617</x:v>
      </x:c>
      <x:c r="J571" s="34" t="n">
        <x:v>45621</x:v>
      </x:c>
      <x:c r="K571" s="32" t="n">
        <x:v>1797</x:v>
      </x:c>
      <x:c r="L571" s="32" t="n">
        <x:v>1797</x:v>
      </x:c>
      <x:c r="M571" s="30" t="n">
        <x:v>165324</x:v>
      </x:c>
      <x:c r="N571" s="28" t="str">
        <x:v>Em atraso</x:v>
      </x:c>
      <x:c r="O571" s="28" t="str">
        <x:v>Atraso transportadora</x:v>
      </x:c>
      <x:c r="P571" s="30" t="n">
        <x:v>165324</x:v>
      </x:c>
    </x:row>
    <x:row r="572">
      <x:c r="A572" s="28" t="str">
        <x:v>PED-48571</x:v>
      </x:c>
      <x:c r="B572" s="34" t="n">
        <x:v>45597</x:v>
      </x:c>
      <x:c r="C572" s="28" t="str">
        <x:v>Grupo Industrial S.A.</x:v>
      </x:c>
      <x:c r="D572" s="28" t="str">
        <x:v>Planta Campinas</x:v>
      </x:c>
      <x:c r="E572" s="28" t="str">
        <x:v>AutoPeças BR</x:v>
      </x:c>
      <x:c r="F572" s="28" t="str">
        <x:v>Sudeste</x:v>
      </x:c>
      <x:c r="G572" s="28" t="str">
        <x:v>NovaLog</x:v>
      </x:c>
      <x:c r="H572" s="28" t="str">
        <x:v>Campinas-Nordeste</x:v>
      </x:c>
      <x:c r="I572" s="34" t="n">
        <x:v>45602</x:v>
      </x:c>
      <x:c r="J572" s="34" t="n">
        <x:v>45603</x:v>
      </x:c>
      <x:c r="K572" s="32" t="n">
        <x:v>1336</x:v>
      </x:c>
      <x:c r="L572" s="32" t="n">
        <x:v>1336</x:v>
      </x:c>
      <x:c r="M572" s="30" t="n">
        <x:v>122912</x:v>
      </x:c>
      <x:c r="N572" s="28" t="str">
        <x:v>Em atraso</x:v>
      </x:c>
      <x:c r="O572" s="28" t="str">
        <x:v>Atraso transportadora</x:v>
      </x:c>
      <x:c r="P572" s="30" t="n">
        <x:v>122912</x:v>
      </x:c>
    </x:row>
    <x:row r="573">
      <x:c r="A573" s="28" t="str">
        <x:v>PED-48572</x:v>
      </x:c>
      <x:c r="B573" s="34" t="n">
        <x:v>45597</x:v>
      </x:c>
      <x:c r="C573" s="28" t="str">
        <x:v>Grupo Industrial S.A.</x:v>
      </x:c>
      <x:c r="D573" s="28" t="str">
        <x:v>Planta Campinas</x:v>
      </x:c>
      <x:c r="E573" s="28" t="str">
        <x:v>Construbem</x:v>
      </x:c>
      <x:c r="F573" s="28" t="str">
        <x:v>Sudeste</x:v>
      </x:c>
      <x:c r="G573" s="28" t="str">
        <x:v>NovaLog</x:v>
      </x:c>
      <x:c r="H573" s="28" t="str">
        <x:v>Campinas-Nordeste</x:v>
      </x:c>
      <x:c r="I573" s="34" t="n">
        <x:v>45605</x:v>
      </x:c>
      <x:c r="J573" s="34" t="n">
        <x:v>45605</x:v>
      </x:c>
      <x:c r="K573" s="32" t="n">
        <x:v>1793</x:v>
      </x:c>
      <x:c r="L573" s="32" t="n">
        <x:v>1793</x:v>
      </x:c>
      <x:c r="M573" s="30" t="n">
        <x:v>150612</x:v>
      </x:c>
      <x:c r="N573" s="28" t="str">
        <x:v>OTIF</x:v>
      </x:c>
      <x:c r="O573" s="28" t="str">
        <x:v>Janela perdida no cliente</x:v>
      </x:c>
      <x:c r="P573" s="30" t="n">
        <x:v>0</x:v>
      </x:c>
    </x:row>
    <x:row r="574">
      <x:c r="A574" s="28" t="str">
        <x:v>PED-48573</x:v>
      </x:c>
      <x:c r="B574" s="34" t="n">
        <x:v>45597</x:v>
      </x:c>
      <x:c r="C574" s="28" t="str">
        <x:v>Grupo Industrial S.A.</x:v>
      </x:c>
      <x:c r="D574" s="28" t="str">
        <x:v>Planta Campinas</x:v>
      </x:c>
      <x:c r="E574" s="28" t="str">
        <x:v>Alimentos SA</x:v>
      </x:c>
      <x:c r="F574" s="28" t="str">
        <x:v>Sudeste</x:v>
      </x:c>
      <x:c r="G574" s="28" t="str">
        <x:v>NovaLog</x:v>
      </x:c>
      <x:c r="H574" s="28" t="str">
        <x:v>Campinas-Nordeste</x:v>
      </x:c>
      <x:c r="I574" s="34" t="n">
        <x:v>45608</x:v>
      </x:c>
      <x:c r="J574" s="34" t="n">
        <x:v>45608</x:v>
      </x:c>
      <x:c r="K574" s="32" t="n">
        <x:v>1276</x:v>
      </x:c>
      <x:c r="L574" s="32" t="n">
        <x:v>1276</x:v>
      </x:c>
      <x:c r="M574" s="30" t="n">
        <x:v>91872</x:v>
      </x:c>
      <x:c r="N574" s="28" t="str">
        <x:v>OTIF</x:v>
      </x:c>
      <x:c r="O574" s="28" t="str">
        <x:v>Janela perdida no cliente</x:v>
      </x:c>
      <x:c r="P574" s="30" t="n">
        <x:v>0</x:v>
      </x:c>
    </x:row>
    <x:row r="575">
      <x:c r="A575" s="28" t="str">
        <x:v>PED-48574</x:v>
      </x:c>
      <x:c r="B575" s="34" t="n">
        <x:v>45597</x:v>
      </x:c>
      <x:c r="C575" s="28" t="str">
        <x:v>Grupo Industrial S.A.</x:v>
      </x:c>
      <x:c r="D575" s="28" t="str">
        <x:v>Planta Campinas</x:v>
      </x:c>
      <x:c r="E575" s="28" t="str">
        <x:v>Farma Vida</x:v>
      </x:c>
      <x:c r="F575" s="28" t="str">
        <x:v>Sudeste</x:v>
      </x:c>
      <x:c r="G575" s="28" t="str">
        <x:v>NovaLog</x:v>
      </x:c>
      <x:c r="H575" s="28" t="str">
        <x:v>Campinas-Nordeste</x:v>
      </x:c>
      <x:c r="I575" s="34" t="n">
        <x:v>45611</x:v>
      </x:c>
      <x:c r="J575" s="34" t="n">
        <x:v>45612</x:v>
      </x:c>
      <x:c r="K575" s="32" t="n">
        <x:v>702</x:v>
      </x:c>
      <x:c r="L575" s="32" t="n">
        <x:v>702</x:v>
      </x:c>
      <x:c r="M575" s="30" t="n">
        <x:v>64584</x:v>
      </x:c>
      <x:c r="N575" s="28" t="str">
        <x:v>Em atraso</x:v>
      </x:c>
      <x:c r="O575" s="28" t="str">
        <x:v>Janela perdida no cliente</x:v>
      </x:c>
      <x:c r="P575" s="30" t="n">
        <x:v>64584</x:v>
      </x:c>
    </x:row>
    <x:row r="576">
      <x:c r="A576" s="28" t="str">
        <x:v>PED-48575</x:v>
      </x:c>
      <x:c r="B576" s="34" t="n">
        <x:v>45597</x:v>
      </x:c>
      <x:c r="C576" s="28" t="str">
        <x:v>Grupo Industrial S.A.</x:v>
      </x:c>
      <x:c r="D576" s="28" t="str">
        <x:v>Planta Campinas</x:v>
      </x:c>
      <x:c r="E576" s="28" t="str">
        <x:v>AutoPeças BR</x:v>
      </x:c>
      <x:c r="F576" s="28" t="str">
        <x:v>Sudeste</x:v>
      </x:c>
      <x:c r="G576" s="28" t="str">
        <x:v>NovaLog</x:v>
      </x:c>
      <x:c r="H576" s="28" t="str">
        <x:v>Campinas-Nordeste</x:v>
      </x:c>
      <x:c r="I576" s="34" t="n">
        <x:v>45614</x:v>
      </x:c>
      <x:c r="J576" s="34" t="n">
        <x:v>45614</x:v>
      </x:c>
      <x:c r="K576" s="32" t="n">
        <x:v>1048</x:v>
      </x:c>
      <x:c r="L576" s="32" t="n">
        <x:v>1048</x:v>
      </x:c>
      <x:c r="M576" s="30" t="n">
        <x:v>75456</x:v>
      </x:c>
      <x:c r="N576" s="28" t="str">
        <x:v>OTIF</x:v>
      </x:c>
      <x:c r="O576" s="28" t="str">
        <x:v>Janela perdida no cliente</x:v>
      </x:c>
      <x:c r="P576" s="30" t="n">
        <x:v>0</x:v>
      </x:c>
    </x:row>
    <x:row r="577">
      <x:c r="A577" s="28" t="str">
        <x:v>PED-48576</x:v>
      </x:c>
      <x:c r="B577" s="34" t="n">
        <x:v>45597</x:v>
      </x:c>
      <x:c r="C577" s="28" t="str">
        <x:v>Grupo Industrial S.A.</x:v>
      </x:c>
      <x:c r="D577" s="28" t="str">
        <x:v>Planta Campinas</x:v>
      </x:c>
      <x:c r="E577" s="28" t="str">
        <x:v>Construbem</x:v>
      </x:c>
      <x:c r="F577" s="28" t="str">
        <x:v>Sudeste</x:v>
      </x:c>
      <x:c r="G577" s="28" t="str">
        <x:v>NovaLog</x:v>
      </x:c>
      <x:c r="H577" s="28" t="str">
        <x:v>Campinas-Nordeste</x:v>
      </x:c>
      <x:c r="I577" s="34" t="n">
        <x:v>45617</x:v>
      </x:c>
      <x:c r="J577" s="34" t="n">
        <x:v>45621</x:v>
      </x:c>
      <x:c r="K577" s="32" t="n">
        <x:v>1091</x:v>
      </x:c>
      <x:c r="L577" s="32" t="n">
        <x:v>1091</x:v>
      </x:c>
      <x:c r="M577" s="30" t="n">
        <x:v>85098</x:v>
      </x:c>
      <x:c r="N577" s="28" t="str">
        <x:v>Em atraso</x:v>
      </x:c>
      <x:c r="O577" s="28" t="str">
        <x:v>Janela perdida no cliente</x:v>
      </x:c>
      <x:c r="P577" s="30" t="n">
        <x:v>85098</x:v>
      </x:c>
    </x:row>
    <x:row r="578">
      <x:c r="A578" s="28" t="str">
        <x:v>PED-48577</x:v>
      </x:c>
      <x:c r="B578" s="34" t="n">
        <x:v>45597</x:v>
      </x:c>
      <x:c r="C578" s="28" t="str">
        <x:v>Grupo Industrial S.A.</x:v>
      </x:c>
      <x:c r="D578" s="28" t="str">
        <x:v>Planta Curitiba</x:v>
      </x:c>
      <x:c r="E578" s="28" t="str">
        <x:v>Farma Vida</x:v>
      </x:c>
      <x:c r="F578" s="28" t="str">
        <x:v>Sul</x:v>
      </x:c>
      <x:c r="G578" s="28" t="str">
        <x:v>TransDados</x:v>
      </x:c>
      <x:c r="H578" s="28" t="str">
        <x:v>Curitiba-Sul</x:v>
      </x:c>
      <x:c r="I578" s="34" t="n">
        <x:v>45602</x:v>
      </x:c>
      <x:c r="J578" s="34" t="n">
        <x:v>45603</x:v>
      </x:c>
      <x:c r="K578" s="32" t="n">
        <x:v>946</x:v>
      </x:c>
      <x:c r="L578" s="32" t="n">
        <x:v>946</x:v>
      </x:c>
      <x:c r="M578" s="30" t="n">
        <x:v>68112</x:v>
      </x:c>
      <x:c r="N578" s="28" t="str">
        <x:v>Em atraso</x:v>
      </x:c>
      <x:c r="O578" s="28" t="str">
        <x:v>Atraso transportadora</x:v>
      </x:c>
      <x:c r="P578" s="30" t="n">
        <x:v>68112</x:v>
      </x:c>
    </x:row>
    <x:row r="579">
      <x:c r="A579" s="28" t="str">
        <x:v>PED-48578</x:v>
      </x:c>
      <x:c r="B579" s="34" t="n">
        <x:v>45597</x:v>
      </x:c>
      <x:c r="C579" s="28" t="str">
        <x:v>Grupo Industrial S.A.</x:v>
      </x:c>
      <x:c r="D579" s="28" t="str">
        <x:v>Planta Curitiba</x:v>
      </x:c>
      <x:c r="E579" s="28" t="str">
        <x:v>AutoPeças BR</x:v>
      </x:c>
      <x:c r="F579" s="28" t="str">
        <x:v>Sul</x:v>
      </x:c>
      <x:c r="G579" s="28" t="str">
        <x:v>TransDados</x:v>
      </x:c>
      <x:c r="H579" s="28" t="str">
        <x:v>Curitiba-Sul</x:v>
      </x:c>
      <x:c r="I579" s="34" t="n">
        <x:v>45605</x:v>
      </x:c>
      <x:c r="J579" s="34" t="n">
        <x:v>45605</x:v>
      </x:c>
      <x:c r="K579" s="32" t="n">
        <x:v>1604</x:v>
      </x:c>
      <x:c r="L579" s="32" t="n">
        <x:v>1604</x:v>
      </x:c>
      <x:c r="M579" s="30" t="n">
        <x:v>125112</x:v>
      </x:c>
      <x:c r="N579" s="28" t="str">
        <x:v>OTIF</x:v>
      </x:c>
      <x:c r="O579" s="28" t="str">
        <x:v>Janela perdida no cliente</x:v>
      </x:c>
      <x:c r="P579" s="30" t="n">
        <x:v>0</x:v>
      </x:c>
    </x:row>
    <x:row r="580">
      <x:c r="A580" s="28" t="str">
        <x:v>PED-48579</x:v>
      </x:c>
      <x:c r="B580" s="34" t="n">
        <x:v>45597</x:v>
      </x:c>
      <x:c r="C580" s="28" t="str">
        <x:v>Grupo Industrial S.A.</x:v>
      </x:c>
      <x:c r="D580" s="28" t="str">
        <x:v>Planta Curitiba</x:v>
      </x:c>
      <x:c r="E580" s="28" t="str">
        <x:v>Construbem</x:v>
      </x:c>
      <x:c r="F580" s="28" t="str">
        <x:v>Sul</x:v>
      </x:c>
      <x:c r="G580" s="28" t="str">
        <x:v>TransDados</x:v>
      </x:c>
      <x:c r="H580" s="28" t="str">
        <x:v>Curitiba-Sul</x:v>
      </x:c>
      <x:c r="I580" s="34" t="n">
        <x:v>45608</x:v>
      </x:c>
      <x:c r="J580" s="34" t="n">
        <x:v>45608</x:v>
      </x:c>
      <x:c r="K580" s="32" t="n">
        <x:v>1968</x:v>
      </x:c>
      <x:c r="L580" s="32" t="n">
        <x:v>1968</x:v>
      </x:c>
      <x:c r="M580" s="30" t="n">
        <x:v>153504</x:v>
      </x:c>
      <x:c r="N580" s="28" t="str">
        <x:v>OTIF</x:v>
      </x:c>
      <x:c r="O580" s="28" t="str">
        <x:v>Janela perdida no cliente</x:v>
      </x:c>
      <x:c r="P580" s="30" t="n">
        <x:v>0</x:v>
      </x:c>
    </x:row>
    <x:row r="581">
      <x:c r="A581" s="28" t="str">
        <x:v>PED-48580</x:v>
      </x:c>
      <x:c r="B581" s="34" t="n">
        <x:v>45597</x:v>
      </x:c>
      <x:c r="C581" s="28" t="str">
        <x:v>Grupo Industrial S.A.</x:v>
      </x:c>
      <x:c r="D581" s="28" t="str">
        <x:v>Planta Curitiba</x:v>
      </x:c>
      <x:c r="E581" s="28" t="str">
        <x:v>Alimentos SA</x:v>
      </x:c>
      <x:c r="F581" s="28" t="str">
        <x:v>Sul</x:v>
      </x:c>
      <x:c r="G581" s="28" t="str">
        <x:v>TransDados</x:v>
      </x:c>
      <x:c r="H581" s="28" t="str">
        <x:v>Curitiba-Sul</x:v>
      </x:c>
      <x:c r="I581" s="34" t="n">
        <x:v>45611</x:v>
      </x:c>
      <x:c r="J581" s="34" t="n">
        <x:v>45611</x:v>
      </x:c>
      <x:c r="K581" s="32" t="n">
        <x:v>2092</x:v>
      </x:c>
      <x:c r="L581" s="32" t="n">
        <x:v>1850</x:v>
      </x:c>
      <x:c r="M581" s="30" t="n">
        <x:v>163176</x:v>
      </x:c>
      <x:c r="N581" s="28" t="str">
        <x:v>Incompleto</x:v>
      </x:c>
      <x:c r="O581" s="28" t="str">
        <x:v>Falta de produto</x:v>
      </x:c>
      <x:c r="P581" s="30" t="n">
        <x:v>163176</x:v>
      </x:c>
    </x:row>
    <x:row r="582">
      <x:c r="A582" s="28" t="str">
        <x:v>PED-48581</x:v>
      </x:c>
      <x:c r="B582" s="34" t="n">
        <x:v>45597</x:v>
      </x:c>
      <x:c r="C582" s="28" t="str">
        <x:v>Grupo Industrial S.A.</x:v>
      </x:c>
      <x:c r="D582" s="28" t="str">
        <x:v>Planta Curitiba</x:v>
      </x:c>
      <x:c r="E582" s="28" t="str">
        <x:v>Farma Vida</x:v>
      </x:c>
      <x:c r="F582" s="28" t="str">
        <x:v>Sul</x:v>
      </x:c>
      <x:c r="G582" s="28" t="str">
        <x:v>TransDados</x:v>
      </x:c>
      <x:c r="H582" s="28" t="str">
        <x:v>Curitiba-Sul</x:v>
      </x:c>
      <x:c r="I582" s="34" t="n">
        <x:v>45614</x:v>
      </x:c>
      <x:c r="J582" s="34" t="n">
        <x:v>45618</x:v>
      </x:c>
      <x:c r="K582" s="32" t="n">
        <x:v>2061</x:v>
      </x:c>
      <x:c r="L582" s="32" t="n">
        <x:v>2061</x:v>
      </x:c>
      <x:c r="M582" s="30" t="n">
        <x:v>173124</x:v>
      </x:c>
      <x:c r="N582" s="28" t="str">
        <x:v>Em atraso</x:v>
      </x:c>
      <x:c r="O582" s="28" t="str">
        <x:v>Atraso transportadora</x:v>
      </x:c>
      <x:c r="P582" s="30" t="n">
        <x:v>173124</x:v>
      </x:c>
    </x:row>
    <x:row r="583">
      <x:c r="A583" s="28" t="str">
        <x:v>PED-48582</x:v>
      </x:c>
      <x:c r="B583" s="34" t="n">
        <x:v>45597</x:v>
      </x:c>
      <x:c r="C583" s="28" t="str">
        <x:v>Grupo Industrial S.A.</x:v>
      </x:c>
      <x:c r="D583" s="28" t="str">
        <x:v>Planta Curitiba</x:v>
      </x:c>
      <x:c r="E583" s="28" t="str">
        <x:v>AutoPeças BR</x:v>
      </x:c>
      <x:c r="F583" s="28" t="str">
        <x:v>Sul</x:v>
      </x:c>
      <x:c r="G583" s="28" t="str">
        <x:v>TransDados</x:v>
      </x:c>
      <x:c r="H583" s="28" t="str">
        <x:v>Curitiba-Sul</x:v>
      </x:c>
      <x:c r="I583" s="34" t="n">
        <x:v>45617</x:v>
      </x:c>
      <x:c r="J583" s="34" t="n">
        <x:v>45619</x:v>
      </x:c>
      <x:c r="K583" s="32" t="n">
        <x:v>1110</x:v>
      </x:c>
      <x:c r="L583" s="32" t="n">
        <x:v>1110</x:v>
      </x:c>
      <x:c r="M583" s="30" t="n">
        <x:v>79920</x:v>
      </x:c>
      <x:c r="N583" s="28" t="str">
        <x:v>Em atraso</x:v>
      </x:c>
      <x:c r="O583" s="28" t="str">
        <x:v>Atraso transportadora</x:v>
      </x:c>
      <x:c r="P583" s="30" t="n">
        <x:v>79920</x:v>
      </x:c>
    </x:row>
    <x:row r="584">
      <x:c r="A584" s="28" t="str">
        <x:v>PED-48583</x:v>
      </x:c>
      <x:c r="B584" s="34" t="n">
        <x:v>45597</x:v>
      </x:c>
      <x:c r="C584" s="28" t="str">
        <x:v>Grupo Industrial S.A.</x:v>
      </x:c>
      <x:c r="D584" s="28" t="str">
        <x:v>Planta Curitiba</x:v>
      </x:c>
      <x:c r="E584" s="28" t="str">
        <x:v>Alimentos SA</x:v>
      </x:c>
      <x:c r="F584" s="28" t="str">
        <x:v>Sul</x:v>
      </x:c>
      <x:c r="G584" s="28" t="str">
        <x:v>RápidoSul</x:v>
      </x:c>
      <x:c r="H584" s="28" t="str">
        <x:v>Curitiba-Sudeste</x:v>
      </x:c>
      <x:c r="I584" s="34" t="n">
        <x:v>45602</x:v>
      </x:c>
      <x:c r="J584" s="34" t="n">
        <x:v>45602</x:v>
      </x:c>
      <x:c r="K584" s="32" t="n">
        <x:v>1862</x:v>
      </x:c>
      <x:c r="L584" s="32" t="n">
        <x:v>1862</x:v>
      </x:c>
      <x:c r="M584" s="30" t="n">
        <x:v>156408</x:v>
      </x:c>
      <x:c r="N584" s="28" t="str">
        <x:v>OTIF</x:v>
      </x:c>
      <x:c r="O584" s="28" t="str">
        <x:v>Janela perdida no cliente</x:v>
      </x:c>
      <x:c r="P584" s="30" t="n">
        <x:v>0</x:v>
      </x:c>
    </x:row>
    <x:row r="585">
      <x:c r="A585" s="28" t="str">
        <x:v>PED-48584</x:v>
      </x:c>
      <x:c r="B585" s="34" t="n">
        <x:v>45597</x:v>
      </x:c>
      <x:c r="C585" s="28" t="str">
        <x:v>Grupo Industrial S.A.</x:v>
      </x:c>
      <x:c r="D585" s="28" t="str">
        <x:v>Planta Curitiba</x:v>
      </x:c>
      <x:c r="E585" s="28" t="str">
        <x:v>Farma Vida</x:v>
      </x:c>
      <x:c r="F585" s="28" t="str">
        <x:v>Sul</x:v>
      </x:c>
      <x:c r="G585" s="28" t="str">
        <x:v>RápidoSul</x:v>
      </x:c>
      <x:c r="H585" s="28" t="str">
        <x:v>Curitiba-Sudeste</x:v>
      </x:c>
      <x:c r="I585" s="34" t="n">
        <x:v>45605</x:v>
      </x:c>
      <x:c r="J585" s="34" t="n">
        <x:v>45609</x:v>
      </x:c>
      <x:c r="K585" s="32" t="n">
        <x:v>1026</x:v>
      </x:c>
      <x:c r="L585" s="32" t="n">
        <x:v>1026</x:v>
      </x:c>
      <x:c r="M585" s="30" t="n">
        <x:v>86184</x:v>
      </x:c>
      <x:c r="N585" s="28" t="str">
        <x:v>Em atraso</x:v>
      </x:c>
      <x:c r="O585" s="28" t="str">
        <x:v>Janela perdida no cliente</x:v>
      </x:c>
      <x:c r="P585" s="30" t="n">
        <x:v>86184</x:v>
      </x:c>
    </x:row>
    <x:row r="586">
      <x:c r="A586" s="28" t="str">
        <x:v>PED-48585</x:v>
      </x:c>
      <x:c r="B586" s="34" t="n">
        <x:v>45597</x:v>
      </x:c>
      <x:c r="C586" s="28" t="str">
        <x:v>Grupo Industrial S.A.</x:v>
      </x:c>
      <x:c r="D586" s="28" t="str">
        <x:v>Planta Curitiba</x:v>
      </x:c>
      <x:c r="E586" s="28" t="str">
        <x:v>AutoPeças BR</x:v>
      </x:c>
      <x:c r="F586" s="28" t="str">
        <x:v>Sul</x:v>
      </x:c>
      <x:c r="G586" s="28" t="str">
        <x:v>RápidoSul</x:v>
      </x:c>
      <x:c r="H586" s="28" t="str">
        <x:v>Curitiba-Sudeste</x:v>
      </x:c>
      <x:c r="I586" s="34" t="n">
        <x:v>45608</x:v>
      </x:c>
      <x:c r="J586" s="34" t="n">
        <x:v>45608</x:v>
      </x:c>
      <x:c r="K586" s="32" t="n">
        <x:v>747</x:v>
      </x:c>
      <x:c r="L586" s="32" t="n">
        <x:v>747</x:v>
      </x:c>
      <x:c r="M586" s="30" t="n">
        <x:v>62748</x:v>
      </x:c>
      <x:c r="N586" s="28" t="str">
        <x:v>OTIF</x:v>
      </x:c>
      <x:c r="O586" s="28" t="str">
        <x:v>Janela perdida no cliente</x:v>
      </x:c>
      <x:c r="P586" s="30" t="n">
        <x:v>0</x:v>
      </x:c>
    </x:row>
    <x:row r="587">
      <x:c r="A587" s="28" t="str">
        <x:v>PED-48586</x:v>
      </x:c>
      <x:c r="B587" s="34" t="n">
        <x:v>45597</x:v>
      </x:c>
      <x:c r="C587" s="28" t="str">
        <x:v>Grupo Industrial S.A.</x:v>
      </x:c>
      <x:c r="D587" s="28" t="str">
        <x:v>Planta Curitiba</x:v>
      </x:c>
      <x:c r="E587" s="28" t="str">
        <x:v>Construbem</x:v>
      </x:c>
      <x:c r="F587" s="28" t="str">
        <x:v>Sul</x:v>
      </x:c>
      <x:c r="G587" s="28" t="str">
        <x:v>RápidoSul</x:v>
      </x:c>
      <x:c r="H587" s="28" t="str">
        <x:v>Curitiba-Sudeste</x:v>
      </x:c>
      <x:c r="I587" s="34" t="n">
        <x:v>45611</x:v>
      </x:c>
      <x:c r="J587" s="34" t="n">
        <x:v>45611</x:v>
      </x:c>
      <x:c r="K587" s="32" t="n">
        <x:v>763</x:v>
      </x:c>
      <x:c r="L587" s="32" t="n">
        <x:v>763</x:v>
      </x:c>
      <x:c r="M587" s="30" t="n">
        <x:v>64092</x:v>
      </x:c>
      <x:c r="N587" s="28" t="str">
        <x:v>OTIF</x:v>
      </x:c>
      <x:c r="O587" s="28" t="str">
        <x:v>Janela perdida no cliente</x:v>
      </x:c>
      <x:c r="P587" s="30" t="n">
        <x:v>0</x:v>
      </x:c>
    </x:row>
    <x:row r="588">
      <x:c r="A588" s="28" t="str">
        <x:v>PED-48587</x:v>
      </x:c>
      <x:c r="B588" s="34" t="n">
        <x:v>45597</x:v>
      </x:c>
      <x:c r="C588" s="28" t="str">
        <x:v>Grupo Industrial S.A.</x:v>
      </x:c>
      <x:c r="D588" s="28" t="str">
        <x:v>Planta Curitiba</x:v>
      </x:c>
      <x:c r="E588" s="28" t="str">
        <x:v>Alimentos SA</x:v>
      </x:c>
      <x:c r="F588" s="28" t="str">
        <x:v>Sul</x:v>
      </x:c>
      <x:c r="G588" s="28" t="str">
        <x:v>RápidoSul</x:v>
      </x:c>
      <x:c r="H588" s="28" t="str">
        <x:v>Curitiba-Sudeste</x:v>
      </x:c>
      <x:c r="I588" s="34" t="n">
        <x:v>45614</x:v>
      </x:c>
      <x:c r="J588" s="34" t="n">
        <x:v>45614</x:v>
      </x:c>
      <x:c r="K588" s="32" t="n">
        <x:v>1365</x:v>
      </x:c>
      <x:c r="L588" s="32" t="n">
        <x:v>1365</x:v>
      </x:c>
      <x:c r="M588" s="30" t="n">
        <x:v>98280</x:v>
      </x:c>
      <x:c r="N588" s="28" t="str">
        <x:v>OTIF</x:v>
      </x:c>
      <x:c r="O588" s="28" t="str">
        <x:v>Janela perdida no cliente</x:v>
      </x:c>
      <x:c r="P588" s="30" t="n">
        <x:v>0</x:v>
      </x:c>
    </x:row>
    <x:row r="589">
      <x:c r="A589" s="28" t="str">
        <x:v>PED-48588</x:v>
      </x:c>
      <x:c r="B589" s="34" t="n">
        <x:v>45597</x:v>
      </x:c>
      <x:c r="C589" s="28" t="str">
        <x:v>Grupo Industrial S.A.</x:v>
      </x:c>
      <x:c r="D589" s="28" t="str">
        <x:v>Planta Curitiba</x:v>
      </x:c>
      <x:c r="E589" s="28" t="str">
        <x:v>Farma Vida</x:v>
      </x:c>
      <x:c r="F589" s="28" t="str">
        <x:v>Sul</x:v>
      </x:c>
      <x:c r="G589" s="28" t="str">
        <x:v>RápidoSul</x:v>
      </x:c>
      <x:c r="H589" s="28" t="str">
        <x:v>Curitiba-Sudeste</x:v>
      </x:c>
      <x:c r="I589" s="34" t="n">
        <x:v>45617</x:v>
      </x:c>
      <x:c r="J589" s="34" t="n">
        <x:v>45617</x:v>
      </x:c>
      <x:c r="K589" s="32" t="n">
        <x:v>1545</x:v>
      </x:c>
      <x:c r="L589" s="32" t="n">
        <x:v>1404</x:v>
      </x:c>
      <x:c r="M589" s="30" t="n">
        <x:v>111240</x:v>
      </x:c>
      <x:c r="N589" s="28" t="str">
        <x:v>Incompleto</x:v>
      </x:c>
      <x:c r="O589" s="28" t="str">
        <x:v>Falta de produto</x:v>
      </x:c>
      <x:c r="P589" s="30" t="n">
        <x:v>111240</x:v>
      </x:c>
    </x:row>
    <x:row r="590">
      <x:c r="A590" s="28" t="str">
        <x:v>PED-48589</x:v>
      </x:c>
      <x:c r="B590" s="34" t="n">
        <x:v>45597</x:v>
      </x:c>
      <x:c r="C590" s="28" t="str">
        <x:v>Grupo Industrial S.A.</x:v>
      </x:c>
      <x:c r="D590" s="28" t="str">
        <x:v>Planta Curitiba</x:v>
      </x:c>
      <x:c r="E590" s="28" t="str">
        <x:v>Construbem</x:v>
      </x:c>
      <x:c r="F590" s="28" t="str">
        <x:v>Sul</x:v>
      </x:c>
      <x:c r="G590" s="28" t="str">
        <x:v>NovaLog</x:v>
      </x:c>
      <x:c r="H590" s="28" t="str">
        <x:v>Curitiba-Centro-Oeste</x:v>
      </x:c>
      <x:c r="I590" s="34" t="n">
        <x:v>45602</x:v>
      </x:c>
      <x:c r="J590" s="34" t="n">
        <x:v>45602</x:v>
      </x:c>
      <x:c r="K590" s="32" t="n">
        <x:v>1937</x:v>
      </x:c>
      <x:c r="L590" s="32" t="n">
        <x:v>1632</x:v>
      </x:c>
      <x:c r="M590" s="30" t="n">
        <x:v>162708</x:v>
      </x:c>
      <x:c r="N590" s="28" t="str">
        <x:v>Incompleto</x:v>
      </x:c>
      <x:c r="O590" s="28" t="str">
        <x:v>Falta de produto</x:v>
      </x:c>
      <x:c r="P590" s="30" t="n">
        <x:v>162708</x:v>
      </x:c>
    </x:row>
    <x:row r="591">
      <x:c r="A591" s="28" t="str">
        <x:v>PED-48590</x:v>
      </x:c>
      <x:c r="B591" s="34" t="n">
        <x:v>45597</x:v>
      </x:c>
      <x:c r="C591" s="28" t="str">
        <x:v>Grupo Industrial S.A.</x:v>
      </x:c>
      <x:c r="D591" s="28" t="str">
        <x:v>Planta Curitiba</x:v>
      </x:c>
      <x:c r="E591" s="28" t="str">
        <x:v>Alimentos SA</x:v>
      </x:c>
      <x:c r="F591" s="28" t="str">
        <x:v>Sul</x:v>
      </x:c>
      <x:c r="G591" s="28" t="str">
        <x:v>NovaLog</x:v>
      </x:c>
      <x:c r="H591" s="28" t="str">
        <x:v>Curitiba-Centro-Oeste</x:v>
      </x:c>
      <x:c r="I591" s="34" t="n">
        <x:v>45605</x:v>
      </x:c>
      <x:c r="J591" s="34" t="n">
        <x:v>45605</x:v>
      </x:c>
      <x:c r="K591" s="32" t="n">
        <x:v>1801</x:v>
      </x:c>
      <x:c r="L591" s="32" t="n">
        <x:v>1801</x:v>
      </x:c>
      <x:c r="M591" s="30" t="n">
        <x:v>140478</x:v>
      </x:c>
      <x:c r="N591" s="28" t="str">
        <x:v>OTIF</x:v>
      </x:c>
      <x:c r="O591" s="28" t="str">
        <x:v>Janela perdida no cliente</x:v>
      </x:c>
      <x:c r="P591" s="30" t="n">
        <x:v>0</x:v>
      </x:c>
    </x:row>
    <x:row r="592">
      <x:c r="A592" s="28" t="str">
        <x:v>PED-48591</x:v>
      </x:c>
      <x:c r="B592" s="34" t="n">
        <x:v>45597</x:v>
      </x:c>
      <x:c r="C592" s="28" t="str">
        <x:v>Grupo Industrial S.A.</x:v>
      </x:c>
      <x:c r="D592" s="28" t="str">
        <x:v>Planta Curitiba</x:v>
      </x:c>
      <x:c r="E592" s="28" t="str">
        <x:v>Farma Vida</x:v>
      </x:c>
      <x:c r="F592" s="28" t="str">
        <x:v>Sul</x:v>
      </x:c>
      <x:c r="G592" s="28" t="str">
        <x:v>NovaLog</x:v>
      </x:c>
      <x:c r="H592" s="28" t="str">
        <x:v>Curitiba-Centro-Oeste</x:v>
      </x:c>
      <x:c r="I592" s="34" t="n">
        <x:v>45608</x:v>
      </x:c>
      <x:c r="J592" s="34" t="n">
        <x:v>45608</x:v>
      </x:c>
      <x:c r="K592" s="32" t="n">
        <x:v>1605</x:v>
      </x:c>
      <x:c r="L592" s="32" t="n">
        <x:v>1605</x:v>
      </x:c>
      <x:c r="M592" s="30" t="n">
        <x:v>134820</x:v>
      </x:c>
      <x:c r="N592" s="28" t="str">
        <x:v>OTIF</x:v>
      </x:c>
      <x:c r="O592" s="28" t="str">
        <x:v>Janela perdida no cliente</x:v>
      </x:c>
      <x:c r="P592" s="30" t="n">
        <x:v>0</x:v>
      </x:c>
    </x:row>
    <x:row r="593">
      <x:c r="A593" s="28" t="str">
        <x:v>PED-48592</x:v>
      </x:c>
      <x:c r="B593" s="34" t="n">
        <x:v>45597</x:v>
      </x:c>
      <x:c r="C593" s="28" t="str">
        <x:v>Grupo Industrial S.A.</x:v>
      </x:c>
      <x:c r="D593" s="28" t="str">
        <x:v>Planta Curitiba</x:v>
      </x:c>
      <x:c r="E593" s="28" t="str">
        <x:v>AutoPeças BR</x:v>
      </x:c>
      <x:c r="F593" s="28" t="str">
        <x:v>Sul</x:v>
      </x:c>
      <x:c r="G593" s="28" t="str">
        <x:v>NovaLog</x:v>
      </x:c>
      <x:c r="H593" s="28" t="str">
        <x:v>Curitiba-Centro-Oeste</x:v>
      </x:c>
      <x:c r="I593" s="34" t="n">
        <x:v>45611</x:v>
      </x:c>
      <x:c r="J593" s="34" t="n">
        <x:v>45613</x:v>
      </x:c>
      <x:c r="K593" s="32" t="n">
        <x:v>1129</x:v>
      </x:c>
      <x:c r="L593" s="32" t="n">
        <x:v>1129</x:v>
      </x:c>
      <x:c r="M593" s="30" t="n">
        <x:v>94836</x:v>
      </x:c>
      <x:c r="N593" s="28" t="str">
        <x:v>Em atraso</x:v>
      </x:c>
      <x:c r="O593" s="28" t="str">
        <x:v>Atraso transportadora</x:v>
      </x:c>
      <x:c r="P593" s="30" t="n">
        <x:v>94836</x:v>
      </x:c>
    </x:row>
    <x:row r="594">
      <x:c r="A594" s="28" t="str">
        <x:v>PED-48593</x:v>
      </x:c>
      <x:c r="B594" s="34" t="n">
        <x:v>45597</x:v>
      </x:c>
      <x:c r="C594" s="28" t="str">
        <x:v>Grupo Industrial S.A.</x:v>
      </x:c>
      <x:c r="D594" s="28" t="str">
        <x:v>Planta Curitiba</x:v>
      </x:c>
      <x:c r="E594" s="28" t="str">
        <x:v>Construbem</x:v>
      </x:c>
      <x:c r="F594" s="28" t="str">
        <x:v>Sul</x:v>
      </x:c>
      <x:c r="G594" s="28" t="str">
        <x:v>NovaLog</x:v>
      </x:c>
      <x:c r="H594" s="28" t="str">
        <x:v>Curitiba-Centro-Oeste</x:v>
      </x:c>
      <x:c r="I594" s="34" t="n">
        <x:v>45614</x:v>
      </x:c>
      <x:c r="J594" s="34" t="n">
        <x:v>45614</x:v>
      </x:c>
      <x:c r="K594" s="32" t="n">
        <x:v>1439</x:v>
      </x:c>
      <x:c r="L594" s="32" t="n">
        <x:v>1439</x:v>
      </x:c>
      <x:c r="M594" s="30" t="n">
        <x:v>103608</x:v>
      </x:c>
      <x:c r="N594" s="28" t="str">
        <x:v>OTIF</x:v>
      </x:c>
      <x:c r="O594" s="28" t="str">
        <x:v>Janela perdida no cliente</x:v>
      </x:c>
      <x:c r="P594" s="30" t="n">
        <x:v>0</x:v>
      </x:c>
    </x:row>
    <x:row r="595">
      <x:c r="A595" s="28" t="str">
        <x:v>PED-48594</x:v>
      </x:c>
      <x:c r="B595" s="34" t="n">
        <x:v>45597</x:v>
      </x:c>
      <x:c r="C595" s="28" t="str">
        <x:v>Grupo Industrial S.A.</x:v>
      </x:c>
      <x:c r="D595" s="28" t="str">
        <x:v>Planta Curitiba</x:v>
      </x:c>
      <x:c r="E595" s="28" t="str">
        <x:v>Alimentos SA</x:v>
      </x:c>
      <x:c r="F595" s="28" t="str">
        <x:v>Sul</x:v>
      </x:c>
      <x:c r="G595" s="28" t="str">
        <x:v>NovaLog</x:v>
      </x:c>
      <x:c r="H595" s="28" t="str">
        <x:v>Curitiba-Centro-Oeste</x:v>
      </x:c>
      <x:c r="I595" s="34" t="n">
        <x:v>45617</x:v>
      </x:c>
      <x:c r="J595" s="34" t="n">
        <x:v>45621</x:v>
      </x:c>
      <x:c r="K595" s="32" t="n">
        <x:v>1798</x:v>
      </x:c>
      <x:c r="L595" s="32" t="n">
        <x:v>1798</x:v>
      </x:c>
      <x:c r="M595" s="30" t="n">
        <x:v>165416</x:v>
      </x:c>
      <x:c r="N595" s="28" t="str">
        <x:v>Em atraso</x:v>
      </x:c>
      <x:c r="O595" s="28" t="str">
        <x:v>Atraso transportadora</x:v>
      </x:c>
      <x:c r="P595" s="30" t="n">
        <x:v>165416</x:v>
      </x:c>
    </x:row>
    <x:row r="596">
      <x:c r="A596" s="28" t="str">
        <x:v>PED-48595</x:v>
      </x:c>
      <x:c r="B596" s="34" t="n">
        <x:v>45627</x:v>
      </x:c>
      <x:c r="C596" s="28" t="str">
        <x:v>Grupo Industrial S.A.</x:v>
      </x:c>
      <x:c r="D596" s="28" t="str">
        <x:v>Planta São Paulo</x:v>
      </x:c>
      <x:c r="E596" s="28" t="str">
        <x:v>AutoPeças BR</x:v>
      </x:c>
      <x:c r="F596" s="28" t="str">
        <x:v>Sudeste</x:v>
      </x:c>
      <x:c r="G596" s="28" t="str">
        <x:v>TransDados</x:v>
      </x:c>
      <x:c r="H596" s="28" t="str">
        <x:v>SP-Sudeste</x:v>
      </x:c>
      <x:c r="I596" s="34" t="n">
        <x:v>45632</x:v>
      </x:c>
      <x:c r="J596" s="34" t="n">
        <x:v>45633</x:v>
      </x:c>
      <x:c r="K596" s="32" t="n">
        <x:v>1972</x:v>
      </x:c>
      <x:c r="L596" s="32" t="n">
        <x:v>1972</x:v>
      </x:c>
      <x:c r="M596" s="30" t="n">
        <x:v>165648</x:v>
      </x:c>
      <x:c r="N596" s="28" t="str">
        <x:v>Em atraso</x:v>
      </x:c>
      <x:c r="O596" s="28" t="str">
        <x:v>Janela perdida no cliente</x:v>
      </x:c>
      <x:c r="P596" s="30" t="n">
        <x:v>165648</x:v>
      </x:c>
    </x:row>
    <x:row r="597">
      <x:c r="A597" s="28" t="str">
        <x:v>PED-48596</x:v>
      </x:c>
      <x:c r="B597" s="34" t="n">
        <x:v>45627</x:v>
      </x:c>
      <x:c r="C597" s="28" t="str">
        <x:v>Grupo Industrial S.A.</x:v>
      </x:c>
      <x:c r="D597" s="28" t="str">
        <x:v>Planta São Paulo</x:v>
      </x:c>
      <x:c r="E597" s="28" t="str">
        <x:v>Construbem</x:v>
      </x:c>
      <x:c r="F597" s="28" t="str">
        <x:v>Sudeste</x:v>
      </x:c>
      <x:c r="G597" s="28" t="str">
        <x:v>TransDados</x:v>
      </x:c>
      <x:c r="H597" s="28" t="str">
        <x:v>SP-Sudeste</x:v>
      </x:c>
      <x:c r="I597" s="34" t="n">
        <x:v>45635</x:v>
      </x:c>
      <x:c r="J597" s="34" t="n">
        <x:v>45635</x:v>
      </x:c>
      <x:c r="K597" s="32" t="n">
        <x:v>2063</x:v>
      </x:c>
      <x:c r="L597" s="32" t="n">
        <x:v>2063</x:v>
      </x:c>
      <x:c r="M597" s="30" t="n">
        <x:v>148536</x:v>
      </x:c>
      <x:c r="N597" s="28" t="str">
        <x:v>OTIF</x:v>
      </x:c>
      <x:c r="O597" s="28" t="str">
        <x:v>Janela perdida no cliente</x:v>
      </x:c>
      <x:c r="P597" s="30" t="n">
        <x:v>0</x:v>
      </x:c>
    </x:row>
    <x:row r="598">
      <x:c r="A598" s="28" t="str">
        <x:v>PED-48597</x:v>
      </x:c>
      <x:c r="B598" s="34" t="n">
        <x:v>45627</x:v>
      </x:c>
      <x:c r="C598" s="28" t="str">
        <x:v>Grupo Industrial S.A.</x:v>
      </x:c>
      <x:c r="D598" s="28" t="str">
        <x:v>Planta São Paulo</x:v>
      </x:c>
      <x:c r="E598" s="28" t="str">
        <x:v>Alimentos SA</x:v>
      </x:c>
      <x:c r="F598" s="28" t="str">
        <x:v>Sudeste</x:v>
      </x:c>
      <x:c r="G598" s="28" t="str">
        <x:v>TransDados</x:v>
      </x:c>
      <x:c r="H598" s="28" t="str">
        <x:v>SP-Sudeste</x:v>
      </x:c>
      <x:c r="I598" s="34" t="n">
        <x:v>45638</x:v>
      </x:c>
      <x:c r="J598" s="34" t="n">
        <x:v>45640</x:v>
      </x:c>
      <x:c r="K598" s="32" t="n">
        <x:v>1545</x:v>
      </x:c>
      <x:c r="L598" s="32" t="n">
        <x:v>1545</x:v>
      </x:c>
      <x:c r="M598" s="30" t="n">
        <x:v>142140</x:v>
      </x:c>
      <x:c r="N598" s="28" t="str">
        <x:v>Em atraso</x:v>
      </x:c>
      <x:c r="O598" s="28" t="str">
        <x:v>Janela perdida no cliente</x:v>
      </x:c>
      <x:c r="P598" s="30" t="n">
        <x:v>142140</x:v>
      </x:c>
    </x:row>
    <x:row r="599">
      <x:c r="A599" s="28" t="str">
        <x:v>PED-48598</x:v>
      </x:c>
      <x:c r="B599" s="34" t="n">
        <x:v>45627</x:v>
      </x:c>
      <x:c r="C599" s="28" t="str">
        <x:v>Grupo Industrial S.A.</x:v>
      </x:c>
      <x:c r="D599" s="28" t="str">
        <x:v>Planta São Paulo</x:v>
      </x:c>
      <x:c r="E599" s="28" t="str">
        <x:v>Farma Vida</x:v>
      </x:c>
      <x:c r="F599" s="28" t="str">
        <x:v>Sudeste</x:v>
      </x:c>
      <x:c r="G599" s="28" t="str">
        <x:v>TransDados</x:v>
      </x:c>
      <x:c r="H599" s="28" t="str">
        <x:v>SP-Sudeste</x:v>
      </x:c>
      <x:c r="I599" s="34" t="n">
        <x:v>45641</x:v>
      </x:c>
      <x:c r="J599" s="34" t="n">
        <x:v>45642</x:v>
      </x:c>
      <x:c r="K599" s="32" t="n">
        <x:v>2082</x:v>
      </x:c>
      <x:c r="L599" s="32" t="n">
        <x:v>2082</x:v>
      </x:c>
      <x:c r="M599" s="30" t="n">
        <x:v>191544</x:v>
      </x:c>
      <x:c r="N599" s="28" t="str">
        <x:v>Em atraso</x:v>
      </x:c>
      <x:c r="O599" s="28" t="str">
        <x:v>Atraso transportadora</x:v>
      </x:c>
      <x:c r="P599" s="30" t="n">
        <x:v>191544</x:v>
      </x:c>
    </x:row>
    <x:row r="600">
      <x:c r="A600" s="28" t="str">
        <x:v>PED-48599</x:v>
      </x:c>
      <x:c r="B600" s="34" t="n">
        <x:v>45627</x:v>
      </x:c>
      <x:c r="C600" s="28" t="str">
        <x:v>Grupo Industrial S.A.</x:v>
      </x:c>
      <x:c r="D600" s="28" t="str">
        <x:v>Planta São Paulo</x:v>
      </x:c>
      <x:c r="E600" s="28" t="str">
        <x:v>AutoPeças BR</x:v>
      </x:c>
      <x:c r="F600" s="28" t="str">
        <x:v>Sudeste</x:v>
      </x:c>
      <x:c r="G600" s="28" t="str">
        <x:v>TransDados</x:v>
      </x:c>
      <x:c r="H600" s="28" t="str">
        <x:v>SP-Sudeste</x:v>
      </x:c>
      <x:c r="I600" s="34" t="n">
        <x:v>45644</x:v>
      </x:c>
      <x:c r="J600" s="34" t="n">
        <x:v>45646</x:v>
      </x:c>
      <x:c r="K600" s="32" t="n">
        <x:v>1200</x:v>
      </x:c>
      <x:c r="L600" s="32" t="n">
        <x:v>1200</x:v>
      </x:c>
      <x:c r="M600" s="30" t="n">
        <x:v>93600</x:v>
      </x:c>
      <x:c r="N600" s="28" t="str">
        <x:v>Em atraso</x:v>
      </x:c>
      <x:c r="O600" s="28" t="str">
        <x:v>Atraso transportadora</x:v>
      </x:c>
      <x:c r="P600" s="30" t="n">
        <x:v>93600</x:v>
      </x:c>
    </x:row>
    <x:row r="601">
      <x:c r="A601" s="28" t="str">
        <x:v>PED-48600</x:v>
      </x:c>
      <x:c r="B601" s="34" t="n">
        <x:v>45627</x:v>
      </x:c>
      <x:c r="C601" s="28" t="str">
        <x:v>Grupo Industrial S.A.</x:v>
      </x:c>
      <x:c r="D601" s="28" t="str">
        <x:v>Planta São Paulo</x:v>
      </x:c>
      <x:c r="E601" s="28" t="str">
        <x:v>Construbem</x:v>
      </x:c>
      <x:c r="F601" s="28" t="str">
        <x:v>Sudeste</x:v>
      </x:c>
      <x:c r="G601" s="28" t="str">
        <x:v>TransDados</x:v>
      </x:c>
      <x:c r="H601" s="28" t="str">
        <x:v>SP-Sudeste</x:v>
      </x:c>
      <x:c r="I601" s="34" t="n">
        <x:v>45647</x:v>
      </x:c>
      <x:c r="J601" s="34" t="n">
        <x:v>45651</x:v>
      </x:c>
      <x:c r="K601" s="32" t="n">
        <x:v>1713</x:v>
      </x:c>
      <x:c r="L601" s="32" t="n">
        <x:v>1713</x:v>
      </x:c>
      <x:c r="M601" s="30" t="n">
        <x:v>123336</x:v>
      </x:c>
      <x:c r="N601" s="28" t="str">
        <x:v>Em atraso</x:v>
      </x:c>
      <x:c r="O601" s="28" t="str">
        <x:v>Atraso transportadora</x:v>
      </x:c>
      <x:c r="P601" s="30" t="n">
        <x:v>123336</x:v>
      </x:c>
    </x:row>
    <x:row r="602">
      <x:c r="A602" s="28" t="str">
        <x:v>PED-48601</x:v>
      </x:c>
      <x:c r="B602" s="34" t="n">
        <x:v>45627</x:v>
      </x:c>
      <x:c r="C602" s="28" t="str">
        <x:v>Grupo Industrial S.A.</x:v>
      </x:c>
      <x:c r="D602" s="28" t="str">
        <x:v>Planta São Paulo</x:v>
      </x:c>
      <x:c r="E602" s="28" t="str">
        <x:v>Farma Vida</x:v>
      </x:c>
      <x:c r="F602" s="28" t="str">
        <x:v>Sudeste</x:v>
      </x:c>
      <x:c r="G602" s="28" t="str">
        <x:v>RápidoSul</x:v>
      </x:c>
      <x:c r="H602" s="28" t="str">
        <x:v>SP-Centro-Oeste</x:v>
      </x:c>
      <x:c r="I602" s="34" t="n">
        <x:v>45632</x:v>
      </x:c>
      <x:c r="J602" s="34" t="n">
        <x:v>45632</x:v>
      </x:c>
      <x:c r="K602" s="32" t="n">
        <x:v>1009</x:v>
      </x:c>
      <x:c r="L602" s="32" t="n">
        <x:v>1009</x:v>
      </x:c>
      <x:c r="M602" s="30" t="n">
        <x:v>84756</x:v>
      </x:c>
      <x:c r="N602" s="28" t="str">
        <x:v>OTIF</x:v>
      </x:c>
      <x:c r="O602" s="28" t="str">
        <x:v>Janela perdida no cliente</x:v>
      </x:c>
      <x:c r="P602" s="30" t="n">
        <x:v>0</x:v>
      </x:c>
    </x:row>
    <x:row r="603">
      <x:c r="A603" s="28" t="str">
        <x:v>PED-48602</x:v>
      </x:c>
      <x:c r="B603" s="34" t="n">
        <x:v>45627</x:v>
      </x:c>
      <x:c r="C603" s="28" t="str">
        <x:v>Grupo Industrial S.A.</x:v>
      </x:c>
      <x:c r="D603" s="28" t="str">
        <x:v>Planta São Paulo</x:v>
      </x:c>
      <x:c r="E603" s="28" t="str">
        <x:v>AutoPeças BR</x:v>
      </x:c>
      <x:c r="F603" s="28" t="str">
        <x:v>Sudeste</x:v>
      </x:c>
      <x:c r="G603" s="28" t="str">
        <x:v>RápidoSul</x:v>
      </x:c>
      <x:c r="H603" s="28" t="str">
        <x:v>SP-Centro-Oeste</x:v>
      </x:c>
      <x:c r="I603" s="34" t="n">
        <x:v>45635</x:v>
      </x:c>
      <x:c r="J603" s="34" t="n">
        <x:v>45635</x:v>
      </x:c>
      <x:c r="K603" s="32" t="n">
        <x:v>2155</x:v>
      </x:c>
      <x:c r="L603" s="32" t="n">
        <x:v>2155</x:v>
      </x:c>
      <x:c r="M603" s="30" t="n">
        <x:v>181020</x:v>
      </x:c>
      <x:c r="N603" s="28" t="str">
        <x:v>OTIF</x:v>
      </x:c>
      <x:c r="O603" s="28" t="str">
        <x:v>Janela perdida no cliente</x:v>
      </x:c>
      <x:c r="P603" s="30" t="n">
        <x:v>0</x:v>
      </x:c>
    </x:row>
    <x:row r="604">
      <x:c r="A604" s="28" t="str">
        <x:v>PED-48603</x:v>
      </x:c>
      <x:c r="B604" s="34" t="n">
        <x:v>45627</x:v>
      </x:c>
      <x:c r="C604" s="28" t="str">
        <x:v>Grupo Industrial S.A.</x:v>
      </x:c>
      <x:c r="D604" s="28" t="str">
        <x:v>Planta São Paulo</x:v>
      </x:c>
      <x:c r="E604" s="28" t="str">
        <x:v>Construbem</x:v>
      </x:c>
      <x:c r="F604" s="28" t="str">
        <x:v>Sudeste</x:v>
      </x:c>
      <x:c r="G604" s="28" t="str">
        <x:v>RápidoSul</x:v>
      </x:c>
      <x:c r="H604" s="28" t="str">
        <x:v>SP-Centro-Oeste</x:v>
      </x:c>
      <x:c r="I604" s="34" t="n">
        <x:v>45638</x:v>
      </x:c>
      <x:c r="J604" s="34" t="n">
        <x:v>45638</x:v>
      </x:c>
      <x:c r="K604" s="32" t="n">
        <x:v>1056</x:v>
      </x:c>
      <x:c r="L604" s="32" t="n">
        <x:v>1056</x:v>
      </x:c>
      <x:c r="M604" s="30" t="n">
        <x:v>82368</x:v>
      </x:c>
      <x:c r="N604" s="28" t="str">
        <x:v>OTIF</x:v>
      </x:c>
      <x:c r="O604" s="28" t="str">
        <x:v>Janela perdida no cliente</x:v>
      </x:c>
      <x:c r="P604" s="30" t="n">
        <x:v>0</x:v>
      </x:c>
    </x:row>
    <x:row r="605">
      <x:c r="A605" s="28" t="str">
        <x:v>PED-48604</x:v>
      </x:c>
      <x:c r="B605" s="34" t="n">
        <x:v>45627</x:v>
      </x:c>
      <x:c r="C605" s="28" t="str">
        <x:v>Grupo Industrial S.A.</x:v>
      </x:c>
      <x:c r="D605" s="28" t="str">
        <x:v>Planta São Paulo</x:v>
      </x:c>
      <x:c r="E605" s="28" t="str">
        <x:v>Alimentos SA</x:v>
      </x:c>
      <x:c r="F605" s="28" t="str">
        <x:v>Sudeste</x:v>
      </x:c>
      <x:c r="G605" s="28" t="str">
        <x:v>RápidoSul</x:v>
      </x:c>
      <x:c r="H605" s="28" t="str">
        <x:v>SP-Centro-Oeste</x:v>
      </x:c>
      <x:c r="I605" s="34" t="n">
        <x:v>45641</x:v>
      </x:c>
      <x:c r="J605" s="34" t="n">
        <x:v>45641</x:v>
      </x:c>
      <x:c r="K605" s="32" t="n">
        <x:v>2117</x:v>
      </x:c>
      <x:c r="L605" s="32" t="n">
        <x:v>2117</x:v>
      </x:c>
      <x:c r="M605" s="30" t="n">
        <x:v>165126</x:v>
      </x:c>
      <x:c r="N605" s="28" t="str">
        <x:v>OTIF</x:v>
      </x:c>
      <x:c r="O605" s="28" t="str">
        <x:v>Janela perdida no cliente</x:v>
      </x:c>
      <x:c r="P605" s="30" t="n">
        <x:v>0</x:v>
      </x:c>
    </x:row>
    <x:row r="606">
      <x:c r="A606" s="28" t="str">
        <x:v>PED-48605</x:v>
      </x:c>
      <x:c r="B606" s="34" t="n">
        <x:v>45627</x:v>
      </x:c>
      <x:c r="C606" s="28" t="str">
        <x:v>Grupo Industrial S.A.</x:v>
      </x:c>
      <x:c r="D606" s="28" t="str">
        <x:v>Planta São Paulo</x:v>
      </x:c>
      <x:c r="E606" s="28" t="str">
        <x:v>Farma Vida</x:v>
      </x:c>
      <x:c r="F606" s="28" t="str">
        <x:v>Sudeste</x:v>
      </x:c>
      <x:c r="G606" s="28" t="str">
        <x:v>RápidoSul</x:v>
      </x:c>
      <x:c r="H606" s="28" t="str">
        <x:v>SP-Centro-Oeste</x:v>
      </x:c>
      <x:c r="I606" s="34" t="n">
        <x:v>45644</x:v>
      </x:c>
      <x:c r="J606" s="34" t="n">
        <x:v>45646</x:v>
      </x:c>
      <x:c r="K606" s="32" t="n">
        <x:v>727</x:v>
      </x:c>
      <x:c r="L606" s="32" t="n">
        <x:v>727</x:v>
      </x:c>
      <x:c r="M606" s="30" t="n">
        <x:v>66884</x:v>
      </x:c>
      <x:c r="N606" s="28" t="str">
        <x:v>Em atraso</x:v>
      </x:c>
      <x:c r="O606" s="28" t="str">
        <x:v>Janela perdida no cliente</x:v>
      </x:c>
      <x:c r="P606" s="30" t="n">
        <x:v>66884</x:v>
      </x:c>
    </x:row>
    <x:row r="607">
      <x:c r="A607" s="28" t="str">
        <x:v>PED-48606</x:v>
      </x:c>
      <x:c r="B607" s="34" t="n">
        <x:v>45627</x:v>
      </x:c>
      <x:c r="C607" s="28" t="str">
        <x:v>Grupo Industrial S.A.</x:v>
      </x:c>
      <x:c r="D607" s="28" t="str">
        <x:v>Planta São Paulo</x:v>
      </x:c>
      <x:c r="E607" s="28" t="str">
        <x:v>AutoPeças BR</x:v>
      </x:c>
      <x:c r="F607" s="28" t="str">
        <x:v>Sudeste</x:v>
      </x:c>
      <x:c r="G607" s="28" t="str">
        <x:v>RápidoSul</x:v>
      </x:c>
      <x:c r="H607" s="28" t="str">
        <x:v>SP-Centro-Oeste</x:v>
      </x:c>
      <x:c r="I607" s="34" t="n">
        <x:v>45647</x:v>
      </x:c>
      <x:c r="J607" s="34" t="n">
        <x:v>45649</x:v>
      </x:c>
      <x:c r="K607" s="32" t="n">
        <x:v>2012</x:v>
      </x:c>
      <x:c r="L607" s="32" t="n">
        <x:v>2012</x:v>
      </x:c>
      <x:c r="M607" s="30" t="n">
        <x:v>156936</x:v>
      </x:c>
      <x:c r="N607" s="28" t="str">
        <x:v>Em atraso</x:v>
      </x:c>
      <x:c r="O607" s="28" t="str">
        <x:v>Atraso transportadora</x:v>
      </x:c>
      <x:c r="P607" s="30" t="n">
        <x:v>156936</x:v>
      </x:c>
    </x:row>
    <x:row r="608">
      <x:c r="A608" s="28" t="str">
        <x:v>PED-48607</x:v>
      </x:c>
      <x:c r="B608" s="34" t="n">
        <x:v>45627</x:v>
      </x:c>
      <x:c r="C608" s="28" t="str">
        <x:v>Grupo Industrial S.A.</x:v>
      </x:c>
      <x:c r="D608" s="28" t="str">
        <x:v>Planta São Paulo</x:v>
      </x:c>
      <x:c r="E608" s="28" t="str">
        <x:v>Alimentos SA</x:v>
      </x:c>
      <x:c r="F608" s="28" t="str">
        <x:v>Sudeste</x:v>
      </x:c>
      <x:c r="G608" s="28" t="str">
        <x:v>NovaLog</x:v>
      </x:c>
      <x:c r="H608" s="28" t="str">
        <x:v>SP-Nordeste</x:v>
      </x:c>
      <x:c r="I608" s="34" t="n">
        <x:v>45632</x:v>
      </x:c>
      <x:c r="J608" s="34" t="n">
        <x:v>45632</x:v>
      </x:c>
      <x:c r="K608" s="32" t="n">
        <x:v>1416</x:v>
      </x:c>
      <x:c r="L608" s="32" t="n">
        <x:v>1416</x:v>
      </x:c>
      <x:c r="M608" s="30" t="n">
        <x:v>110448</x:v>
      </x:c>
      <x:c r="N608" s="28" t="str">
        <x:v>OTIF</x:v>
      </x:c>
      <x:c r="O608" s="28" t="str">
        <x:v>Janela perdida no cliente</x:v>
      </x:c>
      <x:c r="P608" s="30" t="n">
        <x:v>0</x:v>
      </x:c>
    </x:row>
    <x:row r="609">
      <x:c r="A609" s="28" t="str">
        <x:v>PED-48608</x:v>
      </x:c>
      <x:c r="B609" s="34" t="n">
        <x:v>45627</x:v>
      </x:c>
      <x:c r="C609" s="28" t="str">
        <x:v>Grupo Industrial S.A.</x:v>
      </x:c>
      <x:c r="D609" s="28" t="str">
        <x:v>Planta São Paulo</x:v>
      </x:c>
      <x:c r="E609" s="28" t="str">
        <x:v>Farma Vida</x:v>
      </x:c>
      <x:c r="F609" s="28" t="str">
        <x:v>Sudeste</x:v>
      </x:c>
      <x:c r="G609" s="28" t="str">
        <x:v>NovaLog</x:v>
      </x:c>
      <x:c r="H609" s="28" t="str">
        <x:v>SP-Nordeste</x:v>
      </x:c>
      <x:c r="I609" s="34" t="n">
        <x:v>45635</x:v>
      </x:c>
      <x:c r="J609" s="34" t="n">
        <x:v>45636</x:v>
      </x:c>
      <x:c r="K609" s="32" t="n">
        <x:v>1742</x:v>
      </x:c>
      <x:c r="L609" s="32" t="n">
        <x:v>1742</x:v>
      </x:c>
      <x:c r="M609" s="30" t="n">
        <x:v>146328</x:v>
      </x:c>
      <x:c r="N609" s="28" t="str">
        <x:v>Em atraso</x:v>
      </x:c>
      <x:c r="O609" s="28" t="str">
        <x:v>Atraso transportadora</x:v>
      </x:c>
      <x:c r="P609" s="30" t="n">
        <x:v>146328</x:v>
      </x:c>
    </x:row>
    <x:row r="610">
      <x:c r="A610" s="28" t="str">
        <x:v>PED-48609</x:v>
      </x:c>
      <x:c r="B610" s="34" t="n">
        <x:v>45627</x:v>
      </x:c>
      <x:c r="C610" s="28" t="str">
        <x:v>Grupo Industrial S.A.</x:v>
      </x:c>
      <x:c r="D610" s="28" t="str">
        <x:v>Planta São Paulo</x:v>
      </x:c>
      <x:c r="E610" s="28" t="str">
        <x:v>AutoPeças BR</x:v>
      </x:c>
      <x:c r="F610" s="28" t="str">
        <x:v>Sudeste</x:v>
      </x:c>
      <x:c r="G610" s="28" t="str">
        <x:v>NovaLog</x:v>
      </x:c>
      <x:c r="H610" s="28" t="str">
        <x:v>SP-Nordeste</x:v>
      </x:c>
      <x:c r="I610" s="34" t="n">
        <x:v>45638</x:v>
      </x:c>
      <x:c r="J610" s="34" t="n">
        <x:v>45640</x:v>
      </x:c>
      <x:c r="K610" s="32" t="n">
        <x:v>1400</x:v>
      </x:c>
      <x:c r="L610" s="32" t="n">
        <x:v>1400</x:v>
      </x:c>
      <x:c r="M610" s="30" t="n">
        <x:v>100800</x:v>
      </x:c>
      <x:c r="N610" s="28" t="str">
        <x:v>Em atraso</x:v>
      </x:c>
      <x:c r="O610" s="28" t="str">
        <x:v>Atraso transportadora</x:v>
      </x:c>
      <x:c r="P610" s="30" t="n">
        <x:v>100800</x:v>
      </x:c>
    </x:row>
    <x:row r="611">
      <x:c r="A611" s="28" t="str">
        <x:v>PED-48610</x:v>
      </x:c>
      <x:c r="B611" s="34" t="n">
        <x:v>45627</x:v>
      </x:c>
      <x:c r="C611" s="28" t="str">
        <x:v>Grupo Industrial S.A.</x:v>
      </x:c>
      <x:c r="D611" s="28" t="str">
        <x:v>Planta São Paulo</x:v>
      </x:c>
      <x:c r="E611" s="28" t="str">
        <x:v>Construbem</x:v>
      </x:c>
      <x:c r="F611" s="28" t="str">
        <x:v>Sudeste</x:v>
      </x:c>
      <x:c r="G611" s="28" t="str">
        <x:v>NovaLog</x:v>
      </x:c>
      <x:c r="H611" s="28" t="str">
        <x:v>SP-Nordeste</x:v>
      </x:c>
      <x:c r="I611" s="34" t="n">
        <x:v>45641</x:v>
      </x:c>
      <x:c r="J611" s="34" t="n">
        <x:v>45641</x:v>
      </x:c>
      <x:c r="K611" s="32" t="n">
        <x:v>781</x:v>
      </x:c>
      <x:c r="L611" s="32" t="n">
        <x:v>781</x:v>
      </x:c>
      <x:c r="M611" s="30" t="n">
        <x:v>71852</x:v>
      </x:c>
      <x:c r="N611" s="28" t="str">
        <x:v>OTIF</x:v>
      </x:c>
      <x:c r="O611" s="28" t="str">
        <x:v>Janela perdida no cliente</x:v>
      </x:c>
      <x:c r="P611" s="30" t="n">
        <x:v>0</x:v>
      </x:c>
    </x:row>
    <x:row r="612">
      <x:c r="A612" s="28" t="str">
        <x:v>PED-48611</x:v>
      </x:c>
      <x:c r="B612" s="34" t="n">
        <x:v>45627</x:v>
      </x:c>
      <x:c r="C612" s="28" t="str">
        <x:v>Grupo Industrial S.A.</x:v>
      </x:c>
      <x:c r="D612" s="28" t="str">
        <x:v>Planta São Paulo</x:v>
      </x:c>
      <x:c r="E612" s="28" t="str">
        <x:v>Alimentos SA</x:v>
      </x:c>
      <x:c r="F612" s="28" t="str">
        <x:v>Sudeste</x:v>
      </x:c>
      <x:c r="G612" s="28" t="str">
        <x:v>NovaLog</x:v>
      </x:c>
      <x:c r="H612" s="28" t="str">
        <x:v>SP-Nordeste</x:v>
      </x:c>
      <x:c r="I612" s="34" t="n">
        <x:v>45644</x:v>
      </x:c>
      <x:c r="J612" s="34" t="n">
        <x:v>45644</x:v>
      </x:c>
      <x:c r="K612" s="32" t="n">
        <x:v>1058</x:v>
      </x:c>
      <x:c r="L612" s="32" t="n">
        <x:v>1058</x:v>
      </x:c>
      <x:c r="M612" s="30" t="n">
        <x:v>76176</x:v>
      </x:c>
      <x:c r="N612" s="28" t="str">
        <x:v>OTIF</x:v>
      </x:c>
      <x:c r="O612" s="28" t="str">
        <x:v>Janela perdida no cliente</x:v>
      </x:c>
      <x:c r="P612" s="30" t="n">
        <x:v>0</x:v>
      </x:c>
    </x:row>
    <x:row r="613">
      <x:c r="A613" s="28" t="str">
        <x:v>PED-48612</x:v>
      </x:c>
      <x:c r="B613" s="34" t="n">
        <x:v>45627</x:v>
      </x:c>
      <x:c r="C613" s="28" t="str">
        <x:v>Grupo Industrial S.A.</x:v>
      </x:c>
      <x:c r="D613" s="28" t="str">
        <x:v>Planta São Paulo</x:v>
      </x:c>
      <x:c r="E613" s="28" t="str">
        <x:v>Farma Vida</x:v>
      </x:c>
      <x:c r="F613" s="28" t="str">
        <x:v>Sudeste</x:v>
      </x:c>
      <x:c r="G613" s="28" t="str">
        <x:v>NovaLog</x:v>
      </x:c>
      <x:c r="H613" s="28" t="str">
        <x:v>SP-Nordeste</x:v>
      </x:c>
      <x:c r="I613" s="34" t="n">
        <x:v>45647</x:v>
      </x:c>
      <x:c r="J613" s="34" t="n">
        <x:v>45647</x:v>
      </x:c>
      <x:c r="K613" s="32" t="n">
        <x:v>2200</x:v>
      </x:c>
      <x:c r="L613" s="32" t="n">
        <x:v>2200</x:v>
      </x:c>
      <x:c r="M613" s="30" t="n">
        <x:v>184800</x:v>
      </x:c>
      <x:c r="N613" s="28" t="str">
        <x:v>OTIF</x:v>
      </x:c>
      <x:c r="O613" s="28" t="str">
        <x:v>Janela perdida no cliente</x:v>
      </x:c>
      <x:c r="P613" s="30" t="n">
        <x:v>0</x:v>
      </x:c>
    </x:row>
    <x:row r="614">
      <x:c r="A614" s="28" t="str">
        <x:v>PED-48613</x:v>
      </x:c>
      <x:c r="B614" s="34" t="n">
        <x:v>45627</x:v>
      </x:c>
      <x:c r="C614" s="28" t="str">
        <x:v>Grupo Industrial S.A.</x:v>
      </x:c>
      <x:c r="D614" s="28" t="str">
        <x:v>Planta Campinas</x:v>
      </x:c>
      <x:c r="E614" s="28" t="str">
        <x:v>Construbem</x:v>
      </x:c>
      <x:c r="F614" s="28" t="str">
        <x:v>Sudeste</x:v>
      </x:c>
      <x:c r="G614" s="28" t="str">
        <x:v>TransDados</x:v>
      </x:c>
      <x:c r="H614" s="28" t="str">
        <x:v>Campinas-Sudeste</x:v>
      </x:c>
      <x:c r="I614" s="34" t="n">
        <x:v>45632</x:v>
      </x:c>
      <x:c r="J614" s="34" t="n">
        <x:v>45633</x:v>
      </x:c>
      <x:c r="K614" s="32" t="n">
        <x:v>2120</x:v>
      </x:c>
      <x:c r="L614" s="32" t="n">
        <x:v>2120</x:v>
      </x:c>
      <x:c r="M614" s="30" t="n">
        <x:v>195040</x:v>
      </x:c>
      <x:c r="N614" s="28" t="str">
        <x:v>Em atraso</x:v>
      </x:c>
      <x:c r="O614" s="28" t="str">
        <x:v>Atraso transportadora</x:v>
      </x:c>
      <x:c r="P614" s="30" t="n">
        <x:v>195040</x:v>
      </x:c>
    </x:row>
    <x:row r="615">
      <x:c r="A615" s="28" t="str">
        <x:v>PED-48614</x:v>
      </x:c>
      <x:c r="B615" s="34" t="n">
        <x:v>45627</x:v>
      </x:c>
      <x:c r="C615" s="28" t="str">
        <x:v>Grupo Industrial S.A.</x:v>
      </x:c>
      <x:c r="D615" s="28" t="str">
        <x:v>Planta Campinas</x:v>
      </x:c>
      <x:c r="E615" s="28" t="str">
        <x:v>Alimentos SA</x:v>
      </x:c>
      <x:c r="F615" s="28" t="str">
        <x:v>Sudeste</x:v>
      </x:c>
      <x:c r="G615" s="28" t="str">
        <x:v>TransDados</x:v>
      </x:c>
      <x:c r="H615" s="28" t="str">
        <x:v>Campinas-Sudeste</x:v>
      </x:c>
      <x:c r="I615" s="34" t="n">
        <x:v>45635</x:v>
      </x:c>
      <x:c r="J615" s="34" t="n">
        <x:v>45639</x:v>
      </x:c>
      <x:c r="K615" s="32" t="n">
        <x:v>781</x:v>
      </x:c>
      <x:c r="L615" s="32" t="n">
        <x:v>781</x:v>
      </x:c>
      <x:c r="M615" s="30" t="n">
        <x:v>71852</x:v>
      </x:c>
      <x:c r="N615" s="28" t="str">
        <x:v>Em atraso</x:v>
      </x:c>
      <x:c r="O615" s="28" t="str">
        <x:v>Janela perdida no cliente</x:v>
      </x:c>
      <x:c r="P615" s="30" t="n">
        <x:v>71852</x:v>
      </x:c>
    </x:row>
    <x:row r="616">
      <x:c r="A616" s="28" t="str">
        <x:v>PED-48615</x:v>
      </x:c>
      <x:c r="B616" s="34" t="n">
        <x:v>45627</x:v>
      </x:c>
      <x:c r="C616" s="28" t="str">
        <x:v>Grupo Industrial S.A.</x:v>
      </x:c>
      <x:c r="D616" s="28" t="str">
        <x:v>Planta Campinas</x:v>
      </x:c>
      <x:c r="E616" s="28" t="str">
        <x:v>Farma Vida</x:v>
      </x:c>
      <x:c r="F616" s="28" t="str">
        <x:v>Sudeste</x:v>
      </x:c>
      <x:c r="G616" s="28" t="str">
        <x:v>TransDados</x:v>
      </x:c>
      <x:c r="H616" s="28" t="str">
        <x:v>Campinas-Sudeste</x:v>
      </x:c>
      <x:c r="I616" s="34" t="n">
        <x:v>45638</x:v>
      </x:c>
      <x:c r="J616" s="34" t="n">
        <x:v>45638</x:v>
      </x:c>
      <x:c r="K616" s="32" t="n">
        <x:v>1316</x:v>
      </x:c>
      <x:c r="L616" s="32" t="n">
        <x:v>1316</x:v>
      </x:c>
      <x:c r="M616" s="30" t="n">
        <x:v>94752</x:v>
      </x:c>
      <x:c r="N616" s="28" t="str">
        <x:v>OTIF</x:v>
      </x:c>
      <x:c r="O616" s="28" t="str">
        <x:v>Janela perdida no cliente</x:v>
      </x:c>
      <x:c r="P616" s="30" t="n">
        <x:v>0</x:v>
      </x:c>
    </x:row>
    <x:row r="617">
      <x:c r="A617" s="28" t="str">
        <x:v>PED-48616</x:v>
      </x:c>
      <x:c r="B617" s="34" t="n">
        <x:v>45627</x:v>
      </x:c>
      <x:c r="C617" s="28" t="str">
        <x:v>Grupo Industrial S.A.</x:v>
      </x:c>
      <x:c r="D617" s="28" t="str">
        <x:v>Planta Campinas</x:v>
      </x:c>
      <x:c r="E617" s="28" t="str">
        <x:v>AutoPeças BR</x:v>
      </x:c>
      <x:c r="F617" s="28" t="str">
        <x:v>Sudeste</x:v>
      </x:c>
      <x:c r="G617" s="28" t="str">
        <x:v>TransDados</x:v>
      </x:c>
      <x:c r="H617" s="28" t="str">
        <x:v>Campinas-Sudeste</x:v>
      </x:c>
      <x:c r="I617" s="34" t="n">
        <x:v>45641</x:v>
      </x:c>
      <x:c r="J617" s="34" t="n">
        <x:v>45646</x:v>
      </x:c>
      <x:c r="K617" s="32" t="n">
        <x:v>988</x:v>
      </x:c>
      <x:c r="L617" s="32" t="n">
        <x:v>927</x:v>
      </x:c>
      <x:c r="M617" s="30" t="n">
        <x:v>71136</x:v>
      </x:c>
      <x:c r="N617" s="28" t="str">
        <x:v>Em atraso</x:v>
      </x:c>
      <x:c r="O617" s="28" t="str">
        <x:v>Atraso transportadora</x:v>
      </x:c>
      <x:c r="P617" s="30" t="n">
        <x:v>71136</x:v>
      </x:c>
    </x:row>
    <x:row r="618">
      <x:c r="A618" s="28" t="str">
        <x:v>PED-48617</x:v>
      </x:c>
      <x:c r="B618" s="34" t="n">
        <x:v>45627</x:v>
      </x:c>
      <x:c r="C618" s="28" t="str">
        <x:v>Grupo Industrial S.A.</x:v>
      </x:c>
      <x:c r="D618" s="28" t="str">
        <x:v>Planta Campinas</x:v>
      </x:c>
      <x:c r="E618" s="28" t="str">
        <x:v>Construbem</x:v>
      </x:c>
      <x:c r="F618" s="28" t="str">
        <x:v>Sudeste</x:v>
      </x:c>
      <x:c r="G618" s="28" t="str">
        <x:v>TransDados</x:v>
      </x:c>
      <x:c r="H618" s="28" t="str">
        <x:v>Campinas-Sudeste</x:v>
      </x:c>
      <x:c r="I618" s="34" t="n">
        <x:v>45644</x:v>
      </x:c>
      <x:c r="J618" s="34" t="n">
        <x:v>45644</x:v>
      </x:c>
      <x:c r="K618" s="32" t="n">
        <x:v>1093</x:v>
      </x:c>
      <x:c r="L618" s="32" t="n">
        <x:v>1093</x:v>
      </x:c>
      <x:c r="M618" s="30" t="n">
        <x:v>85254</x:v>
      </x:c>
      <x:c r="N618" s="28" t="str">
        <x:v>OTIF</x:v>
      </x:c>
      <x:c r="O618" s="28" t="str">
        <x:v>Janela perdida no cliente</x:v>
      </x:c>
      <x:c r="P618" s="30" t="n">
        <x:v>0</x:v>
      </x:c>
    </x:row>
    <x:row r="619">
      <x:c r="A619" s="28" t="str">
        <x:v>PED-48618</x:v>
      </x:c>
      <x:c r="B619" s="34" t="n">
        <x:v>45627</x:v>
      </x:c>
      <x:c r="C619" s="28" t="str">
        <x:v>Grupo Industrial S.A.</x:v>
      </x:c>
      <x:c r="D619" s="28" t="str">
        <x:v>Planta Campinas</x:v>
      </x:c>
      <x:c r="E619" s="28" t="str">
        <x:v>Alimentos SA</x:v>
      </x:c>
      <x:c r="F619" s="28" t="str">
        <x:v>Sudeste</x:v>
      </x:c>
      <x:c r="G619" s="28" t="str">
        <x:v>TransDados</x:v>
      </x:c>
      <x:c r="H619" s="28" t="str">
        <x:v>Campinas-Sudeste</x:v>
      </x:c>
      <x:c r="I619" s="34" t="n">
        <x:v>45647</x:v>
      </x:c>
      <x:c r="J619" s="34" t="n">
        <x:v>45647</x:v>
      </x:c>
      <x:c r="K619" s="32" t="n">
        <x:v>1940</x:v>
      </x:c>
      <x:c r="L619" s="32" t="n">
        <x:v>1940</x:v>
      </x:c>
      <x:c r="M619" s="30" t="n">
        <x:v>151320</x:v>
      </x:c>
      <x:c r="N619" s="28" t="str">
        <x:v>OTIF</x:v>
      </x:c>
      <x:c r="O619" s="28" t="str">
        <x:v>Janela perdida no cliente</x:v>
      </x:c>
      <x:c r="P619" s="30" t="n">
        <x:v>0</x:v>
      </x:c>
    </x:row>
    <x:row r="620">
      <x:c r="A620" s="28" t="str">
        <x:v>PED-48619</x:v>
      </x:c>
      <x:c r="B620" s="34" t="n">
        <x:v>45627</x:v>
      </x:c>
      <x:c r="C620" s="28" t="str">
        <x:v>Grupo Industrial S.A.</x:v>
      </x:c>
      <x:c r="D620" s="28" t="str">
        <x:v>Planta Campinas</x:v>
      </x:c>
      <x:c r="E620" s="28" t="str">
        <x:v>AutoPeças BR</x:v>
      </x:c>
      <x:c r="F620" s="28" t="str">
        <x:v>Sudeste</x:v>
      </x:c>
      <x:c r="G620" s="28" t="str">
        <x:v>RápidoSul</x:v>
      </x:c>
      <x:c r="H620" s="28" t="str">
        <x:v>Campinas-Norte</x:v>
      </x:c>
      <x:c r="I620" s="34" t="n">
        <x:v>45632</x:v>
      </x:c>
      <x:c r="J620" s="34" t="n">
        <x:v>45633</x:v>
      </x:c>
      <x:c r="K620" s="32" t="n">
        <x:v>1978</x:v>
      </x:c>
      <x:c r="L620" s="32" t="n">
        <x:v>1978</x:v>
      </x:c>
      <x:c r="M620" s="30" t="n">
        <x:v>154284</x:v>
      </x:c>
      <x:c r="N620" s="28" t="str">
        <x:v>Em atraso</x:v>
      </x:c>
      <x:c r="O620" s="28" t="str">
        <x:v>Atraso transportadora</x:v>
      </x:c>
      <x:c r="P620" s="30" t="n">
        <x:v>154284</x:v>
      </x:c>
    </x:row>
    <x:row r="621">
      <x:c r="A621" s="28" t="str">
        <x:v>PED-48620</x:v>
      </x:c>
      <x:c r="B621" s="34" t="n">
        <x:v>45627</x:v>
      </x:c>
      <x:c r="C621" s="28" t="str">
        <x:v>Grupo Industrial S.A.</x:v>
      </x:c>
      <x:c r="D621" s="28" t="str">
        <x:v>Planta Campinas</x:v>
      </x:c>
      <x:c r="E621" s="28" t="str">
        <x:v>Construbem</x:v>
      </x:c>
      <x:c r="F621" s="28" t="str">
        <x:v>Sudeste</x:v>
      </x:c>
      <x:c r="G621" s="28" t="str">
        <x:v>RápidoSul</x:v>
      </x:c>
      <x:c r="H621" s="28" t="str">
        <x:v>Campinas-Norte</x:v>
      </x:c>
      <x:c r="I621" s="34" t="n">
        <x:v>45635</x:v>
      </x:c>
      <x:c r="J621" s="34" t="n">
        <x:v>45635</x:v>
      </x:c>
      <x:c r="K621" s="32" t="n">
        <x:v>1303</x:v>
      </x:c>
      <x:c r="L621" s="32" t="n">
        <x:v>1303</x:v>
      </x:c>
      <x:c r="M621" s="30" t="n">
        <x:v>119876</x:v>
      </x:c>
      <x:c r="N621" s="28" t="str">
        <x:v>OTIF</x:v>
      </x:c>
      <x:c r="O621" s="28" t="str">
        <x:v>Janela perdida no cliente</x:v>
      </x:c>
      <x:c r="P621" s="30" t="n">
        <x:v>0</x:v>
      </x:c>
    </x:row>
    <x:row r="622">
      <x:c r="A622" s="28" t="str">
        <x:v>PED-48621</x:v>
      </x:c>
      <x:c r="B622" s="34" t="n">
        <x:v>45627</x:v>
      </x:c>
      <x:c r="C622" s="28" t="str">
        <x:v>Grupo Industrial S.A.</x:v>
      </x:c>
      <x:c r="D622" s="28" t="str">
        <x:v>Planta Campinas</x:v>
      </x:c>
      <x:c r="E622" s="28" t="str">
        <x:v>Alimentos SA</x:v>
      </x:c>
      <x:c r="F622" s="28" t="str">
        <x:v>Sudeste</x:v>
      </x:c>
      <x:c r="G622" s="28" t="str">
        <x:v>RápidoSul</x:v>
      </x:c>
      <x:c r="H622" s="28" t="str">
        <x:v>Campinas-Norte</x:v>
      </x:c>
      <x:c r="I622" s="34" t="n">
        <x:v>45638</x:v>
      </x:c>
      <x:c r="J622" s="34" t="n">
        <x:v>45638</x:v>
      </x:c>
      <x:c r="K622" s="32" t="n">
        <x:v>825</x:v>
      </x:c>
      <x:c r="L622" s="32" t="n">
        <x:v>752</x:v>
      </x:c>
      <x:c r="M622" s="30" t="n">
        <x:v>69300</x:v>
      </x:c>
      <x:c r="N622" s="28" t="str">
        <x:v>Incompleto</x:v>
      </x:c>
      <x:c r="O622" s="28" t="str">
        <x:v>Falta de produto</x:v>
      </x:c>
      <x:c r="P622" s="30" t="n">
        <x:v>69300</x:v>
      </x:c>
    </x:row>
    <x:row r="623">
      <x:c r="A623" s="28" t="str">
        <x:v>PED-48622</x:v>
      </x:c>
      <x:c r="B623" s="34" t="n">
        <x:v>45627</x:v>
      </x:c>
      <x:c r="C623" s="28" t="str">
        <x:v>Grupo Industrial S.A.</x:v>
      </x:c>
      <x:c r="D623" s="28" t="str">
        <x:v>Planta Campinas</x:v>
      </x:c>
      <x:c r="E623" s="28" t="str">
        <x:v>Farma Vida</x:v>
      </x:c>
      <x:c r="F623" s="28" t="str">
        <x:v>Sudeste</x:v>
      </x:c>
      <x:c r="G623" s="28" t="str">
        <x:v>RápidoSul</x:v>
      </x:c>
      <x:c r="H623" s="28" t="str">
        <x:v>Campinas-Norte</x:v>
      </x:c>
      <x:c r="I623" s="34" t="n">
        <x:v>45641</x:v>
      </x:c>
      <x:c r="J623" s="34" t="n">
        <x:v>45646</x:v>
      </x:c>
      <x:c r="K623" s="32" t="n">
        <x:v>1454</x:v>
      </x:c>
      <x:c r="L623" s="32" t="n">
        <x:v>1454</x:v>
      </x:c>
      <x:c r="M623" s="30" t="n">
        <x:v>113412</x:v>
      </x:c>
      <x:c r="N623" s="28" t="str">
        <x:v>Em atraso</x:v>
      </x:c>
      <x:c r="O623" s="28" t="str">
        <x:v>Janela perdida no cliente</x:v>
      </x:c>
      <x:c r="P623" s="30" t="n">
        <x:v>113412</x:v>
      </x:c>
    </x:row>
    <x:row r="624">
      <x:c r="A624" s="28" t="str">
        <x:v>PED-48623</x:v>
      </x:c>
      <x:c r="B624" s="34" t="n">
        <x:v>45627</x:v>
      </x:c>
      <x:c r="C624" s="28" t="str">
        <x:v>Grupo Industrial S.A.</x:v>
      </x:c>
      <x:c r="D624" s="28" t="str">
        <x:v>Planta Campinas</x:v>
      </x:c>
      <x:c r="E624" s="28" t="str">
        <x:v>AutoPeças BR</x:v>
      </x:c>
      <x:c r="F624" s="28" t="str">
        <x:v>Sudeste</x:v>
      </x:c>
      <x:c r="G624" s="28" t="str">
        <x:v>RápidoSul</x:v>
      </x:c>
      <x:c r="H624" s="28" t="str">
        <x:v>Campinas-Norte</x:v>
      </x:c>
      <x:c r="I624" s="34" t="n">
        <x:v>45644</x:v>
      </x:c>
      <x:c r="J624" s="34" t="n">
        <x:v>45644</x:v>
      </x:c>
      <x:c r="K624" s="32" t="n">
        <x:v>1519</x:v>
      </x:c>
      <x:c r="L624" s="32" t="n">
        <x:v>1519</x:v>
      </x:c>
      <x:c r="M624" s="30" t="n">
        <x:v>127596</x:v>
      </x:c>
      <x:c r="N624" s="28" t="str">
        <x:v>OTIF</x:v>
      </x:c>
      <x:c r="O624" s="28" t="str">
        <x:v>Janela perdida no cliente</x:v>
      </x:c>
      <x:c r="P624" s="30" t="n">
        <x:v>0</x:v>
      </x:c>
    </x:row>
    <x:row r="625">
      <x:c r="A625" s="28" t="str">
        <x:v>PED-48624</x:v>
      </x:c>
      <x:c r="B625" s="34" t="n">
        <x:v>45627</x:v>
      </x:c>
      <x:c r="C625" s="28" t="str">
        <x:v>Grupo Industrial S.A.</x:v>
      </x:c>
      <x:c r="D625" s="28" t="str">
        <x:v>Planta Campinas</x:v>
      </x:c>
      <x:c r="E625" s="28" t="str">
        <x:v>Construbem</x:v>
      </x:c>
      <x:c r="F625" s="28" t="str">
        <x:v>Sudeste</x:v>
      </x:c>
      <x:c r="G625" s="28" t="str">
        <x:v>RápidoSul</x:v>
      </x:c>
      <x:c r="H625" s="28" t="str">
        <x:v>Campinas-Norte</x:v>
      </x:c>
      <x:c r="I625" s="34" t="n">
        <x:v>45647</x:v>
      </x:c>
      <x:c r="J625" s="34" t="n">
        <x:v>45649</x:v>
      </x:c>
      <x:c r="K625" s="32" t="n">
        <x:v>2068</x:v>
      </x:c>
      <x:c r="L625" s="32" t="n">
        <x:v>2068</x:v>
      </x:c>
      <x:c r="M625" s="30" t="n">
        <x:v>148896</x:v>
      </x:c>
      <x:c r="N625" s="28" t="str">
        <x:v>Em atraso</x:v>
      </x:c>
      <x:c r="O625" s="28" t="str">
        <x:v>Janela perdida no cliente</x:v>
      </x:c>
      <x:c r="P625" s="30" t="n">
        <x:v>148896</x:v>
      </x:c>
    </x:row>
    <x:row r="626">
      <x:c r="A626" s="28" t="str">
        <x:v>PED-48625</x:v>
      </x:c>
      <x:c r="B626" s="34" t="n">
        <x:v>45627</x:v>
      </x:c>
      <x:c r="C626" s="28" t="str">
        <x:v>Grupo Industrial S.A.</x:v>
      </x:c>
      <x:c r="D626" s="28" t="str">
        <x:v>Planta Campinas</x:v>
      </x:c>
      <x:c r="E626" s="28" t="str">
        <x:v>Farma Vida</x:v>
      </x:c>
      <x:c r="F626" s="28" t="str">
        <x:v>Sudeste</x:v>
      </x:c>
      <x:c r="G626" s="28" t="str">
        <x:v>NovaLog</x:v>
      </x:c>
      <x:c r="H626" s="28" t="str">
        <x:v>Campinas-Nordeste</x:v>
      </x:c>
      <x:c r="I626" s="34" t="n">
        <x:v>45632</x:v>
      </x:c>
      <x:c r="J626" s="34" t="n">
        <x:v>45633</x:v>
      </x:c>
      <x:c r="K626" s="32" t="n">
        <x:v>1963</x:v>
      </x:c>
      <x:c r="L626" s="32" t="n">
        <x:v>1963</x:v>
      </x:c>
      <x:c r="M626" s="30" t="n">
        <x:v>180596</x:v>
      </x:c>
      <x:c r="N626" s="28" t="str">
        <x:v>Em atraso</x:v>
      </x:c>
      <x:c r="O626" s="28" t="str">
        <x:v>Janela perdida no cliente</x:v>
      </x:c>
      <x:c r="P626" s="30" t="n">
        <x:v>180596</x:v>
      </x:c>
    </x:row>
    <x:row r="627">
      <x:c r="A627" s="28" t="str">
        <x:v>PED-48626</x:v>
      </x:c>
      <x:c r="B627" s="34" t="n">
        <x:v>45627</x:v>
      </x:c>
      <x:c r="C627" s="28" t="str">
        <x:v>Grupo Industrial S.A.</x:v>
      </x:c>
      <x:c r="D627" s="28" t="str">
        <x:v>Planta Campinas</x:v>
      </x:c>
      <x:c r="E627" s="28" t="str">
        <x:v>AutoPeças BR</x:v>
      </x:c>
      <x:c r="F627" s="28" t="str">
        <x:v>Sudeste</x:v>
      </x:c>
      <x:c r="G627" s="28" t="str">
        <x:v>NovaLog</x:v>
      </x:c>
      <x:c r="H627" s="28" t="str">
        <x:v>Campinas-Nordeste</x:v>
      </x:c>
      <x:c r="I627" s="34" t="n">
        <x:v>45635</x:v>
      </x:c>
      <x:c r="J627" s="34" t="n">
        <x:v>45635</x:v>
      </x:c>
      <x:c r="K627" s="32" t="n">
        <x:v>1434</x:v>
      </x:c>
      <x:c r="L627" s="32" t="n">
        <x:v>1314</x:v>
      </x:c>
      <x:c r="M627" s="30" t="n">
        <x:v>103248</x:v>
      </x:c>
      <x:c r="N627" s="28" t="str">
        <x:v>Incompleto</x:v>
      </x:c>
      <x:c r="O627" s="28" t="str">
        <x:v>Falta de produto</x:v>
      </x:c>
      <x:c r="P627" s="30" t="n">
        <x:v>103248</x:v>
      </x:c>
    </x:row>
    <x:row r="628">
      <x:c r="A628" s="28" t="str">
        <x:v>PED-48627</x:v>
      </x:c>
      <x:c r="B628" s="34" t="n">
        <x:v>45627</x:v>
      </x:c>
      <x:c r="C628" s="28" t="str">
        <x:v>Grupo Industrial S.A.</x:v>
      </x:c>
      <x:c r="D628" s="28" t="str">
        <x:v>Planta Campinas</x:v>
      </x:c>
      <x:c r="E628" s="28" t="str">
        <x:v>Construbem</x:v>
      </x:c>
      <x:c r="F628" s="28" t="str">
        <x:v>Sudeste</x:v>
      </x:c>
      <x:c r="G628" s="28" t="str">
        <x:v>NovaLog</x:v>
      </x:c>
      <x:c r="H628" s="28" t="str">
        <x:v>Campinas-Nordeste</x:v>
      </x:c>
      <x:c r="I628" s="34" t="n">
        <x:v>45638</x:v>
      </x:c>
      <x:c r="J628" s="34" t="n">
        <x:v>45638</x:v>
      </x:c>
      <x:c r="K628" s="32" t="n">
        <x:v>1999</x:v>
      </x:c>
      <x:c r="L628" s="32" t="n">
        <x:v>1999</x:v>
      </x:c>
      <x:c r="M628" s="30" t="n">
        <x:v>183908</x:v>
      </x:c>
      <x:c r="N628" s="28" t="str">
        <x:v>OTIF</x:v>
      </x:c>
      <x:c r="O628" s="28" t="str">
        <x:v>Janela perdida no cliente</x:v>
      </x:c>
      <x:c r="P628" s="30" t="n">
        <x:v>0</x:v>
      </x:c>
    </x:row>
    <x:row r="629">
      <x:c r="A629" s="28" t="str">
        <x:v>PED-48628</x:v>
      </x:c>
      <x:c r="B629" s="34" t="n">
        <x:v>45627</x:v>
      </x:c>
      <x:c r="C629" s="28" t="str">
        <x:v>Grupo Industrial S.A.</x:v>
      </x:c>
      <x:c r="D629" s="28" t="str">
        <x:v>Planta Campinas</x:v>
      </x:c>
      <x:c r="E629" s="28" t="str">
        <x:v>Alimentos SA</x:v>
      </x:c>
      <x:c r="F629" s="28" t="str">
        <x:v>Sudeste</x:v>
      </x:c>
      <x:c r="G629" s="28" t="str">
        <x:v>NovaLog</x:v>
      </x:c>
      <x:c r="H629" s="28" t="str">
        <x:v>Campinas-Nordeste</x:v>
      </x:c>
      <x:c r="I629" s="34" t="n">
        <x:v>45641</x:v>
      </x:c>
      <x:c r="J629" s="34" t="n">
        <x:v>45642</x:v>
      </x:c>
      <x:c r="K629" s="32" t="n">
        <x:v>1668</x:v>
      </x:c>
      <x:c r="L629" s="32" t="n">
        <x:v>1668</x:v>
      </x:c>
      <x:c r="M629" s="30" t="n">
        <x:v>130104</x:v>
      </x:c>
      <x:c r="N629" s="28" t="str">
        <x:v>Em atraso</x:v>
      </x:c>
      <x:c r="O629" s="28" t="str">
        <x:v>Atraso transportadora</x:v>
      </x:c>
      <x:c r="P629" s="30" t="n">
        <x:v>130104</x:v>
      </x:c>
    </x:row>
    <x:row r="630">
      <x:c r="A630" s="28" t="str">
        <x:v>PED-48629</x:v>
      </x:c>
      <x:c r="B630" s="34" t="n">
        <x:v>45627</x:v>
      </x:c>
      <x:c r="C630" s="28" t="str">
        <x:v>Grupo Industrial S.A.</x:v>
      </x:c>
      <x:c r="D630" s="28" t="str">
        <x:v>Planta Campinas</x:v>
      </x:c>
      <x:c r="E630" s="28" t="str">
        <x:v>Farma Vida</x:v>
      </x:c>
      <x:c r="F630" s="28" t="str">
        <x:v>Sudeste</x:v>
      </x:c>
      <x:c r="G630" s="28" t="str">
        <x:v>NovaLog</x:v>
      </x:c>
      <x:c r="H630" s="28" t="str">
        <x:v>Campinas-Nordeste</x:v>
      </x:c>
      <x:c r="I630" s="34" t="n">
        <x:v>45644</x:v>
      </x:c>
      <x:c r="J630" s="34" t="n">
        <x:v>45645</x:v>
      </x:c>
      <x:c r="K630" s="32" t="n">
        <x:v>1724</x:v>
      </x:c>
      <x:c r="L630" s="32" t="n">
        <x:v>1724</x:v>
      </x:c>
      <x:c r="M630" s="30" t="n">
        <x:v>144816</x:v>
      </x:c>
      <x:c r="N630" s="28" t="str">
        <x:v>Em atraso</x:v>
      </x:c>
      <x:c r="O630" s="28" t="str">
        <x:v>Atraso transportadora</x:v>
      </x:c>
      <x:c r="P630" s="30" t="n">
        <x:v>144816</x:v>
      </x:c>
    </x:row>
    <x:row r="631">
      <x:c r="A631" s="28" t="str">
        <x:v>PED-48630</x:v>
      </x:c>
      <x:c r="B631" s="34" t="n">
        <x:v>45627</x:v>
      </x:c>
      <x:c r="C631" s="28" t="str">
        <x:v>Grupo Industrial S.A.</x:v>
      </x:c>
      <x:c r="D631" s="28" t="str">
        <x:v>Planta Campinas</x:v>
      </x:c>
      <x:c r="E631" s="28" t="str">
        <x:v>AutoPeças BR</x:v>
      </x:c>
      <x:c r="F631" s="28" t="str">
        <x:v>Sudeste</x:v>
      </x:c>
      <x:c r="G631" s="28" t="str">
        <x:v>NovaLog</x:v>
      </x:c>
      <x:c r="H631" s="28" t="str">
        <x:v>Campinas-Nordeste</x:v>
      </x:c>
      <x:c r="I631" s="34" t="n">
        <x:v>45647</x:v>
      </x:c>
      <x:c r="J631" s="34" t="n">
        <x:v>45647</x:v>
      </x:c>
      <x:c r="K631" s="32" t="n">
        <x:v>1854</x:v>
      </x:c>
      <x:c r="L631" s="32" t="n">
        <x:v>1854</x:v>
      </x:c>
      <x:c r="M631" s="30" t="n">
        <x:v>170568</x:v>
      </x:c>
      <x:c r="N631" s="28" t="str">
        <x:v>OTIF</x:v>
      </x:c>
      <x:c r="O631" s="28" t="str">
        <x:v>Janela perdida no cliente</x:v>
      </x:c>
      <x:c r="P631" s="30" t="n">
        <x:v>0</x:v>
      </x:c>
    </x:row>
    <x:row r="632">
      <x:c r="A632" s="28" t="str">
        <x:v>PED-48631</x:v>
      </x:c>
      <x:c r="B632" s="34" t="n">
        <x:v>45627</x:v>
      </x:c>
      <x:c r="C632" s="28" t="str">
        <x:v>Grupo Industrial S.A.</x:v>
      </x:c>
      <x:c r="D632" s="28" t="str">
        <x:v>Planta Curitiba</x:v>
      </x:c>
      <x:c r="E632" s="28" t="str">
        <x:v>Alimentos SA</x:v>
      </x:c>
      <x:c r="F632" s="28" t="str">
        <x:v>Sul</x:v>
      </x:c>
      <x:c r="G632" s="28" t="str">
        <x:v>TransDados</x:v>
      </x:c>
      <x:c r="H632" s="28" t="str">
        <x:v>Curitiba-Sul</x:v>
      </x:c>
      <x:c r="I632" s="34" t="n">
        <x:v>45632</x:v>
      </x:c>
      <x:c r="J632" s="34" t="n">
        <x:v>45634</x:v>
      </x:c>
      <x:c r="K632" s="32" t="n">
        <x:v>736</x:v>
      </x:c>
      <x:c r="L632" s="32" t="n">
        <x:v>736</x:v>
      </x:c>
      <x:c r="M632" s="30" t="n">
        <x:v>57408</x:v>
      </x:c>
      <x:c r="N632" s="28" t="str">
        <x:v>Em atraso</x:v>
      </x:c>
      <x:c r="O632" s="28" t="str">
        <x:v>Atraso transportadora</x:v>
      </x:c>
      <x:c r="P632" s="30" t="n">
        <x:v>57408</x:v>
      </x:c>
    </x:row>
    <x:row r="633">
      <x:c r="A633" s="28" t="str">
        <x:v>PED-48632</x:v>
      </x:c>
      <x:c r="B633" s="34" t="n">
        <x:v>45627</x:v>
      </x:c>
      <x:c r="C633" s="28" t="str">
        <x:v>Grupo Industrial S.A.</x:v>
      </x:c>
      <x:c r="D633" s="28" t="str">
        <x:v>Planta Curitiba</x:v>
      </x:c>
      <x:c r="E633" s="28" t="str">
        <x:v>Farma Vida</x:v>
      </x:c>
      <x:c r="F633" s="28" t="str">
        <x:v>Sul</x:v>
      </x:c>
      <x:c r="G633" s="28" t="str">
        <x:v>TransDados</x:v>
      </x:c>
      <x:c r="H633" s="28" t="str">
        <x:v>Curitiba-Sul</x:v>
      </x:c>
      <x:c r="I633" s="34" t="n">
        <x:v>45635</x:v>
      </x:c>
      <x:c r="J633" s="34" t="n">
        <x:v>45635</x:v>
      </x:c>
      <x:c r="K633" s="32" t="n">
        <x:v>1949</x:v>
      </x:c>
      <x:c r="L633" s="32" t="n">
        <x:v>1949</x:v>
      </x:c>
      <x:c r="M633" s="30" t="n">
        <x:v>140328</x:v>
      </x:c>
      <x:c r="N633" s="28" t="str">
        <x:v>OTIF</x:v>
      </x:c>
      <x:c r="O633" s="28" t="str">
        <x:v>Janela perdida no cliente</x:v>
      </x:c>
      <x:c r="P633" s="30" t="n">
        <x:v>0</x:v>
      </x:c>
    </x:row>
    <x:row r="634">
      <x:c r="A634" s="28" t="str">
        <x:v>PED-48633</x:v>
      </x:c>
      <x:c r="B634" s="34" t="n">
        <x:v>45627</x:v>
      </x:c>
      <x:c r="C634" s="28" t="str">
        <x:v>Grupo Industrial S.A.</x:v>
      </x:c>
      <x:c r="D634" s="28" t="str">
        <x:v>Planta Curitiba</x:v>
      </x:c>
      <x:c r="E634" s="28" t="str">
        <x:v>AutoPeças BR</x:v>
      </x:c>
      <x:c r="F634" s="28" t="str">
        <x:v>Sul</x:v>
      </x:c>
      <x:c r="G634" s="28" t="str">
        <x:v>TransDados</x:v>
      </x:c>
      <x:c r="H634" s="28" t="str">
        <x:v>Curitiba-Sul</x:v>
      </x:c>
      <x:c r="I634" s="34" t="n">
        <x:v>45638</x:v>
      </x:c>
      <x:c r="J634" s="34" t="n">
        <x:v>45639</x:v>
      </x:c>
      <x:c r="K634" s="32" t="n">
        <x:v>1013</x:v>
      </x:c>
      <x:c r="L634" s="32" t="n">
        <x:v>1013</x:v>
      </x:c>
      <x:c r="M634" s="30" t="n">
        <x:v>93196</x:v>
      </x:c>
      <x:c r="N634" s="28" t="str">
        <x:v>Em atraso</x:v>
      </x:c>
      <x:c r="O634" s="28" t="str">
        <x:v>Atraso transportadora</x:v>
      </x:c>
      <x:c r="P634" s="30" t="n">
        <x:v>93196</x:v>
      </x:c>
    </x:row>
    <x:row r="635">
      <x:c r="A635" s="28" t="str">
        <x:v>PED-48634</x:v>
      </x:c>
      <x:c r="B635" s="34" t="n">
        <x:v>45627</x:v>
      </x:c>
      <x:c r="C635" s="28" t="str">
        <x:v>Grupo Industrial S.A.</x:v>
      </x:c>
      <x:c r="D635" s="28" t="str">
        <x:v>Planta Curitiba</x:v>
      </x:c>
      <x:c r="E635" s="28" t="str">
        <x:v>Construbem</x:v>
      </x:c>
      <x:c r="F635" s="28" t="str">
        <x:v>Sul</x:v>
      </x:c>
      <x:c r="G635" s="28" t="str">
        <x:v>TransDados</x:v>
      </x:c>
      <x:c r="H635" s="28" t="str">
        <x:v>Curitiba-Sul</x:v>
      </x:c>
      <x:c r="I635" s="34" t="n">
        <x:v>45641</x:v>
      </x:c>
      <x:c r="J635" s="34" t="n">
        <x:v>45641</x:v>
      </x:c>
      <x:c r="K635" s="32" t="n">
        <x:v>883</x:v>
      </x:c>
      <x:c r="L635" s="32" t="n">
        <x:v>883</x:v>
      </x:c>
      <x:c r="M635" s="30" t="n">
        <x:v>68874</x:v>
      </x:c>
      <x:c r="N635" s="28" t="str">
        <x:v>OTIF</x:v>
      </x:c>
      <x:c r="O635" s="28" t="str">
        <x:v>Janela perdida no cliente</x:v>
      </x:c>
      <x:c r="P635" s="30" t="n">
        <x:v>0</x:v>
      </x:c>
    </x:row>
    <x:row r="636">
      <x:c r="A636" s="28" t="str">
        <x:v>PED-48635</x:v>
      </x:c>
      <x:c r="B636" s="34" t="n">
        <x:v>45627</x:v>
      </x:c>
      <x:c r="C636" s="28" t="str">
        <x:v>Grupo Industrial S.A.</x:v>
      </x:c>
      <x:c r="D636" s="28" t="str">
        <x:v>Planta Curitiba</x:v>
      </x:c>
      <x:c r="E636" s="28" t="str">
        <x:v>Alimentos SA</x:v>
      </x:c>
      <x:c r="F636" s="28" t="str">
        <x:v>Sul</x:v>
      </x:c>
      <x:c r="G636" s="28" t="str">
        <x:v>TransDados</x:v>
      </x:c>
      <x:c r="H636" s="28" t="str">
        <x:v>Curitiba-Sul</x:v>
      </x:c>
      <x:c r="I636" s="34" t="n">
        <x:v>45644</x:v>
      </x:c>
      <x:c r="J636" s="34" t="n">
        <x:v>45645</x:v>
      </x:c>
      <x:c r="K636" s="32" t="n">
        <x:v>2146</x:v>
      </x:c>
      <x:c r="L636" s="32" t="n">
        <x:v>2146</x:v>
      </x:c>
      <x:c r="M636" s="30" t="n">
        <x:v>197432</x:v>
      </x:c>
      <x:c r="N636" s="28" t="str">
        <x:v>Em atraso</x:v>
      </x:c>
      <x:c r="O636" s="28" t="str">
        <x:v>Janela perdida no cliente</x:v>
      </x:c>
      <x:c r="P636" s="30" t="n">
        <x:v>197432</x:v>
      </x:c>
    </x:row>
    <x:row r="637">
      <x:c r="A637" s="28" t="str">
        <x:v>PED-48636</x:v>
      </x:c>
      <x:c r="B637" s="34" t="n">
        <x:v>45627</x:v>
      </x:c>
      <x:c r="C637" s="28" t="str">
        <x:v>Grupo Industrial S.A.</x:v>
      </x:c>
      <x:c r="D637" s="28" t="str">
        <x:v>Planta Curitiba</x:v>
      </x:c>
      <x:c r="E637" s="28" t="str">
        <x:v>Farma Vida</x:v>
      </x:c>
      <x:c r="F637" s="28" t="str">
        <x:v>Sul</x:v>
      </x:c>
      <x:c r="G637" s="28" t="str">
        <x:v>TransDados</x:v>
      </x:c>
      <x:c r="H637" s="28" t="str">
        <x:v>Curitiba-Sul</x:v>
      </x:c>
      <x:c r="I637" s="34" t="n">
        <x:v>45647</x:v>
      </x:c>
      <x:c r="J637" s="34" t="n">
        <x:v>45647</x:v>
      </x:c>
      <x:c r="K637" s="32" t="n">
        <x:v>1723</x:v>
      </x:c>
      <x:c r="L637" s="32" t="n">
        <x:v>1723</x:v>
      </x:c>
      <x:c r="M637" s="30" t="n">
        <x:v>144732</x:v>
      </x:c>
      <x:c r="N637" s="28" t="str">
        <x:v>OTIF</x:v>
      </x:c>
      <x:c r="O637" s="28" t="str">
        <x:v>Janela perdida no cliente</x:v>
      </x:c>
      <x:c r="P637" s="30" t="n">
        <x:v>0</x:v>
      </x:c>
    </x:row>
    <x:row r="638">
      <x:c r="A638" s="28" t="str">
        <x:v>PED-48637</x:v>
      </x:c>
      <x:c r="B638" s="34" t="n">
        <x:v>45627</x:v>
      </x:c>
      <x:c r="C638" s="28" t="str">
        <x:v>Grupo Industrial S.A.</x:v>
      </x:c>
      <x:c r="D638" s="28" t="str">
        <x:v>Planta Curitiba</x:v>
      </x:c>
      <x:c r="E638" s="28" t="str">
        <x:v>Construbem</x:v>
      </x:c>
      <x:c r="F638" s="28" t="str">
        <x:v>Sul</x:v>
      </x:c>
      <x:c r="G638" s="28" t="str">
        <x:v>RápidoSul</x:v>
      </x:c>
      <x:c r="H638" s="28" t="str">
        <x:v>Curitiba-Sudeste</x:v>
      </x:c>
      <x:c r="I638" s="34" t="n">
        <x:v>45632</x:v>
      </x:c>
      <x:c r="J638" s="34" t="n">
        <x:v>45632</x:v>
      </x:c>
      <x:c r="K638" s="32" t="n">
        <x:v>1432</x:v>
      </x:c>
      <x:c r="L638" s="32" t="n">
        <x:v>1432</x:v>
      </x:c>
      <x:c r="M638" s="30" t="n">
        <x:v>111696</x:v>
      </x:c>
      <x:c r="N638" s="28" t="str">
        <x:v>OTIF</x:v>
      </x:c>
      <x:c r="O638" s="28" t="str">
        <x:v>Janela perdida no cliente</x:v>
      </x:c>
      <x:c r="P638" s="30" t="n">
        <x:v>0</x:v>
      </x:c>
    </x:row>
    <x:row r="639">
      <x:c r="A639" s="28" t="str">
        <x:v>PED-48638</x:v>
      </x:c>
      <x:c r="B639" s="34" t="n">
        <x:v>45627</x:v>
      </x:c>
      <x:c r="C639" s="28" t="str">
        <x:v>Grupo Industrial S.A.</x:v>
      </x:c>
      <x:c r="D639" s="28" t="str">
        <x:v>Planta Curitiba</x:v>
      </x:c>
      <x:c r="E639" s="28" t="str">
        <x:v>Alimentos SA</x:v>
      </x:c>
      <x:c r="F639" s="28" t="str">
        <x:v>Sul</x:v>
      </x:c>
      <x:c r="G639" s="28" t="str">
        <x:v>RápidoSul</x:v>
      </x:c>
      <x:c r="H639" s="28" t="str">
        <x:v>Curitiba-Sudeste</x:v>
      </x:c>
      <x:c r="I639" s="34" t="n">
        <x:v>45635</x:v>
      </x:c>
      <x:c r="J639" s="34" t="n">
        <x:v>45636</x:v>
      </x:c>
      <x:c r="K639" s="32" t="n">
        <x:v>1982</x:v>
      </x:c>
      <x:c r="L639" s="32" t="n">
        <x:v>1982</x:v>
      </x:c>
      <x:c r="M639" s="30" t="n">
        <x:v>142704</x:v>
      </x:c>
      <x:c r="N639" s="28" t="str">
        <x:v>Em atraso</x:v>
      </x:c>
      <x:c r="O639" s="28" t="str">
        <x:v>Janela perdida no cliente</x:v>
      </x:c>
      <x:c r="P639" s="30" t="n">
        <x:v>142704</x:v>
      </x:c>
    </x:row>
    <x:row r="640">
      <x:c r="A640" s="28" t="str">
        <x:v>PED-48639</x:v>
      </x:c>
      <x:c r="B640" s="34" t="n">
        <x:v>45627</x:v>
      </x:c>
      <x:c r="C640" s="28" t="str">
        <x:v>Grupo Industrial S.A.</x:v>
      </x:c>
      <x:c r="D640" s="28" t="str">
        <x:v>Planta Curitiba</x:v>
      </x:c>
      <x:c r="E640" s="28" t="str">
        <x:v>Farma Vida</x:v>
      </x:c>
      <x:c r="F640" s="28" t="str">
        <x:v>Sul</x:v>
      </x:c>
      <x:c r="G640" s="28" t="str">
        <x:v>RápidoSul</x:v>
      </x:c>
      <x:c r="H640" s="28" t="str">
        <x:v>Curitiba-Sudeste</x:v>
      </x:c>
      <x:c r="I640" s="34" t="n">
        <x:v>45638</x:v>
      </x:c>
      <x:c r="J640" s="34" t="n">
        <x:v>45642</x:v>
      </x:c>
      <x:c r="K640" s="32" t="n">
        <x:v>2139</x:v>
      </x:c>
      <x:c r="L640" s="32" t="n">
        <x:v>2139</x:v>
      </x:c>
      <x:c r="M640" s="30" t="n">
        <x:v>166842</x:v>
      </x:c>
      <x:c r="N640" s="28" t="str">
        <x:v>Em atraso</x:v>
      </x:c>
      <x:c r="O640" s="28" t="str">
        <x:v>Atraso transportadora</x:v>
      </x:c>
      <x:c r="P640" s="30" t="n">
        <x:v>166842</x:v>
      </x:c>
    </x:row>
    <x:row r="641">
      <x:c r="A641" s="28" t="str">
        <x:v>PED-48640</x:v>
      </x:c>
      <x:c r="B641" s="34" t="n">
        <x:v>45627</x:v>
      </x:c>
      <x:c r="C641" s="28" t="str">
        <x:v>Grupo Industrial S.A.</x:v>
      </x:c>
      <x:c r="D641" s="28" t="str">
        <x:v>Planta Curitiba</x:v>
      </x:c>
      <x:c r="E641" s="28" t="str">
        <x:v>AutoPeças BR</x:v>
      </x:c>
      <x:c r="F641" s="28" t="str">
        <x:v>Sul</x:v>
      </x:c>
      <x:c r="G641" s="28" t="str">
        <x:v>RápidoSul</x:v>
      </x:c>
      <x:c r="H641" s="28" t="str">
        <x:v>Curitiba-Sudeste</x:v>
      </x:c>
      <x:c r="I641" s="34" t="n">
        <x:v>45641</x:v>
      </x:c>
      <x:c r="J641" s="34" t="n">
        <x:v>45643</x:v>
      </x:c>
      <x:c r="K641" s="32" t="n">
        <x:v>2094</x:v>
      </x:c>
      <x:c r="L641" s="32" t="n">
        <x:v>1817</x:v>
      </x:c>
      <x:c r="M641" s="30" t="n">
        <x:v>192648</x:v>
      </x:c>
      <x:c r="N641" s="28" t="str">
        <x:v>Em atraso</x:v>
      </x:c>
      <x:c r="O641" s="28" t="str">
        <x:v>Falta de produto</x:v>
      </x:c>
      <x:c r="P641" s="30" t="n">
        <x:v>192648</x:v>
      </x:c>
    </x:row>
    <x:row r="642">
      <x:c r="A642" s="28" t="str">
        <x:v>PED-48641</x:v>
      </x:c>
      <x:c r="B642" s="34" t="n">
        <x:v>45627</x:v>
      </x:c>
      <x:c r="C642" s="28" t="str">
        <x:v>Grupo Industrial S.A.</x:v>
      </x:c>
      <x:c r="D642" s="28" t="str">
        <x:v>Planta Curitiba</x:v>
      </x:c>
      <x:c r="E642" s="28" t="str">
        <x:v>Construbem</x:v>
      </x:c>
      <x:c r="F642" s="28" t="str">
        <x:v>Sul</x:v>
      </x:c>
      <x:c r="G642" s="28" t="str">
        <x:v>RápidoSul</x:v>
      </x:c>
      <x:c r="H642" s="28" t="str">
        <x:v>Curitiba-Sudeste</x:v>
      </x:c>
      <x:c r="I642" s="34" t="n">
        <x:v>45644</x:v>
      </x:c>
      <x:c r="J642" s="34" t="n">
        <x:v>45648</x:v>
      </x:c>
      <x:c r="K642" s="32" t="n">
        <x:v>1248</x:v>
      </x:c>
      <x:c r="L642" s="32" t="n">
        <x:v>1248</x:v>
      </x:c>
      <x:c r="M642" s="30" t="n">
        <x:v>97344</x:v>
      </x:c>
      <x:c r="N642" s="28" t="str">
        <x:v>Em atraso</x:v>
      </x:c>
      <x:c r="O642" s="28" t="str">
        <x:v>Janela perdida no cliente</x:v>
      </x:c>
      <x:c r="P642" s="30" t="n">
        <x:v>97344</x:v>
      </x:c>
    </x:row>
    <x:row r="643">
      <x:c r="A643" s="28" t="str">
        <x:v>PED-48642</x:v>
      </x:c>
      <x:c r="B643" s="34" t="n">
        <x:v>45627</x:v>
      </x:c>
      <x:c r="C643" s="28" t="str">
        <x:v>Grupo Industrial S.A.</x:v>
      </x:c>
      <x:c r="D643" s="28" t="str">
        <x:v>Planta Curitiba</x:v>
      </x:c>
      <x:c r="E643" s="28" t="str">
        <x:v>Alimentos SA</x:v>
      </x:c>
      <x:c r="F643" s="28" t="str">
        <x:v>Sul</x:v>
      </x:c>
      <x:c r="G643" s="28" t="str">
        <x:v>RápidoSul</x:v>
      </x:c>
      <x:c r="H643" s="28" t="str">
        <x:v>Curitiba-Sudeste</x:v>
      </x:c>
      <x:c r="I643" s="34" t="n">
        <x:v>45647</x:v>
      </x:c>
      <x:c r="J643" s="34" t="n">
        <x:v>45647</x:v>
      </x:c>
      <x:c r="K643" s="32" t="n">
        <x:v>1173</x:v>
      </x:c>
      <x:c r="L643" s="32" t="n">
        <x:v>1173</x:v>
      </x:c>
      <x:c r="M643" s="30" t="n">
        <x:v>91494</x:v>
      </x:c>
      <x:c r="N643" s="28" t="str">
        <x:v>OTIF</x:v>
      </x:c>
      <x:c r="O643" s="28" t="str">
        <x:v>Janela perdida no cliente</x:v>
      </x:c>
      <x:c r="P643" s="30" t="n">
        <x:v>0</x:v>
      </x:c>
    </x:row>
    <x:row r="644">
      <x:c r="A644" s="28" t="str">
        <x:v>PED-48643</x:v>
      </x:c>
      <x:c r="B644" s="34" t="n">
        <x:v>45627</x:v>
      </x:c>
      <x:c r="C644" s="28" t="str">
        <x:v>Grupo Industrial S.A.</x:v>
      </x:c>
      <x:c r="D644" s="28" t="str">
        <x:v>Planta Curitiba</x:v>
      </x:c>
      <x:c r="E644" s="28" t="str">
        <x:v>AutoPeças BR</x:v>
      </x:c>
      <x:c r="F644" s="28" t="str">
        <x:v>Sul</x:v>
      </x:c>
      <x:c r="G644" s="28" t="str">
        <x:v>NovaLog</x:v>
      </x:c>
      <x:c r="H644" s="28" t="str">
        <x:v>Curitiba-Centro-Oeste</x:v>
      </x:c>
      <x:c r="I644" s="34" t="n">
        <x:v>45632</x:v>
      </x:c>
      <x:c r="J644" s="34" t="n">
        <x:v>45632</x:v>
      </x:c>
      <x:c r="K644" s="32" t="n">
        <x:v>1210</x:v>
      </x:c>
      <x:c r="L644" s="32" t="n">
        <x:v>1210</x:v>
      </x:c>
      <x:c r="M644" s="30" t="n">
        <x:v>101640</x:v>
      </x:c>
      <x:c r="N644" s="28" t="str">
        <x:v>OTIF</x:v>
      </x:c>
      <x:c r="O644" s="28" t="str">
        <x:v>Janela perdida no cliente</x:v>
      </x:c>
      <x:c r="P644" s="30" t="n">
        <x:v>0</x:v>
      </x:c>
    </x:row>
    <x:row r="645">
      <x:c r="A645" s="28" t="str">
        <x:v>PED-48644</x:v>
      </x:c>
      <x:c r="B645" s="34" t="n">
        <x:v>45627</x:v>
      </x:c>
      <x:c r="C645" s="28" t="str">
        <x:v>Grupo Industrial S.A.</x:v>
      </x:c>
      <x:c r="D645" s="28" t="str">
        <x:v>Planta Curitiba</x:v>
      </x:c>
      <x:c r="E645" s="28" t="str">
        <x:v>Construbem</x:v>
      </x:c>
      <x:c r="F645" s="28" t="str">
        <x:v>Sul</x:v>
      </x:c>
      <x:c r="G645" s="28" t="str">
        <x:v>NovaLog</x:v>
      </x:c>
      <x:c r="H645" s="28" t="str">
        <x:v>Curitiba-Centro-Oeste</x:v>
      </x:c>
      <x:c r="I645" s="34" t="n">
        <x:v>45635</x:v>
      </x:c>
      <x:c r="J645" s="34" t="n">
        <x:v>45639</x:v>
      </x:c>
      <x:c r="K645" s="32" t="n">
        <x:v>1012</x:v>
      </x:c>
      <x:c r="L645" s="32" t="n">
        <x:v>1012</x:v>
      </x:c>
      <x:c r="M645" s="30" t="n">
        <x:v>72864</x:v>
      </x:c>
      <x:c r="N645" s="28" t="str">
        <x:v>Em atraso</x:v>
      </x:c>
      <x:c r="O645" s="28" t="str">
        <x:v>Atraso transportadora</x:v>
      </x:c>
      <x:c r="P645" s="30" t="n">
        <x:v>72864</x:v>
      </x:c>
    </x:row>
    <x:row r="646">
      <x:c r="A646" s="28" t="str">
        <x:v>PED-48645</x:v>
      </x:c>
      <x:c r="B646" s="34" t="n">
        <x:v>45627</x:v>
      </x:c>
      <x:c r="C646" s="28" t="str">
        <x:v>Grupo Industrial S.A.</x:v>
      </x:c>
      <x:c r="D646" s="28" t="str">
        <x:v>Planta Curitiba</x:v>
      </x:c>
      <x:c r="E646" s="28" t="str">
        <x:v>Alimentos SA</x:v>
      </x:c>
      <x:c r="F646" s="28" t="str">
        <x:v>Sul</x:v>
      </x:c>
      <x:c r="G646" s="28" t="str">
        <x:v>NovaLog</x:v>
      </x:c>
      <x:c r="H646" s="28" t="str">
        <x:v>Curitiba-Centro-Oeste</x:v>
      </x:c>
      <x:c r="I646" s="34" t="n">
        <x:v>45638</x:v>
      </x:c>
      <x:c r="J646" s="34" t="n">
        <x:v>45638</x:v>
      </x:c>
      <x:c r="K646" s="32" t="n">
        <x:v>2177</x:v>
      </x:c>
      <x:c r="L646" s="32" t="n">
        <x:v>2177</x:v>
      </x:c>
      <x:c r="M646" s="30" t="n">
        <x:v>182868</x:v>
      </x:c>
      <x:c r="N646" s="28" t="str">
        <x:v>OTIF</x:v>
      </x:c>
      <x:c r="O646" s="28" t="str">
        <x:v>Janela perdida no cliente</x:v>
      </x:c>
      <x:c r="P646" s="30" t="n">
        <x:v>0</x:v>
      </x:c>
    </x:row>
    <x:row r="647">
      <x:c r="A647" s="28" t="str">
        <x:v>PED-48646</x:v>
      </x:c>
      <x:c r="B647" s="34" t="n">
        <x:v>45627</x:v>
      </x:c>
      <x:c r="C647" s="28" t="str">
        <x:v>Grupo Industrial S.A.</x:v>
      </x:c>
      <x:c r="D647" s="28" t="str">
        <x:v>Planta Curitiba</x:v>
      </x:c>
      <x:c r="E647" s="28" t="str">
        <x:v>Farma Vida</x:v>
      </x:c>
      <x:c r="F647" s="28" t="str">
        <x:v>Sul</x:v>
      </x:c>
      <x:c r="G647" s="28" t="str">
        <x:v>NovaLog</x:v>
      </x:c>
      <x:c r="H647" s="28" t="str">
        <x:v>Curitiba-Centro-Oeste</x:v>
      </x:c>
      <x:c r="I647" s="34" t="n">
        <x:v>45641</x:v>
      </x:c>
      <x:c r="J647" s="34" t="n">
        <x:v>45641</x:v>
      </x:c>
      <x:c r="K647" s="32" t="n">
        <x:v>1217</x:v>
      </x:c>
      <x:c r="L647" s="32" t="n">
        <x:v>1217</x:v>
      </x:c>
      <x:c r="M647" s="30" t="n">
        <x:v>87624</x:v>
      </x:c>
      <x:c r="N647" s="28" t="str">
        <x:v>OTIF</x:v>
      </x:c>
      <x:c r="O647" s="28" t="str">
        <x:v>Janela perdida no cliente</x:v>
      </x:c>
      <x:c r="P647" s="30" t="n">
        <x:v>0</x:v>
      </x:c>
    </x:row>
    <x:row r="648">
      <x:c r="A648" s="28" t="str">
        <x:v>PED-48647</x:v>
      </x:c>
      <x:c r="B648" s="34" t="n">
        <x:v>45627</x:v>
      </x:c>
      <x:c r="C648" s="28" t="str">
        <x:v>Grupo Industrial S.A.</x:v>
      </x:c>
      <x:c r="D648" s="28" t="str">
        <x:v>Planta Curitiba</x:v>
      </x:c>
      <x:c r="E648" s="28" t="str">
        <x:v>AutoPeças BR</x:v>
      </x:c>
      <x:c r="F648" s="28" t="str">
        <x:v>Sul</x:v>
      </x:c>
      <x:c r="G648" s="28" t="str">
        <x:v>NovaLog</x:v>
      </x:c>
      <x:c r="H648" s="28" t="str">
        <x:v>Curitiba-Centro-Oeste</x:v>
      </x:c>
      <x:c r="I648" s="34" t="n">
        <x:v>45644</x:v>
      </x:c>
      <x:c r="J648" s="34" t="n">
        <x:v>45644</x:v>
      </x:c>
      <x:c r="K648" s="32" t="n">
        <x:v>920</x:v>
      </x:c>
      <x:c r="L648" s="32" t="n">
        <x:v>920</x:v>
      </x:c>
      <x:c r="M648" s="30" t="n">
        <x:v>77280</x:v>
      </x:c>
      <x:c r="N648" s="28" t="str">
        <x:v>OTIF</x:v>
      </x:c>
      <x:c r="O648" s="28" t="str">
        <x:v>Janela perdida no cliente</x:v>
      </x:c>
      <x:c r="P648" s="30" t="n">
        <x:v>0</x:v>
      </x:c>
    </x:row>
    <x:row r="649">
      <x:c r="A649" s="28" t="str">
        <x:v>PED-48648</x:v>
      </x:c>
      <x:c r="B649" s="34" t="n">
        <x:v>45627</x:v>
      </x:c>
      <x:c r="C649" s="28" t="str">
        <x:v>Grupo Industrial S.A.</x:v>
      </x:c>
      <x:c r="D649" s="28" t="str">
        <x:v>Planta Curitiba</x:v>
      </x:c>
      <x:c r="E649" s="28" t="str">
        <x:v>Construbem</x:v>
      </x:c>
      <x:c r="F649" s="28" t="str">
        <x:v>Sul</x:v>
      </x:c>
      <x:c r="G649" s="28" t="str">
        <x:v>NovaLog</x:v>
      </x:c>
      <x:c r="H649" s="28" t="str">
        <x:v>Curitiba-Centro-Oeste</x:v>
      </x:c>
      <x:c r="I649" s="34" t="n">
        <x:v>45647</x:v>
      </x:c>
      <x:c r="J649" s="34" t="n">
        <x:v>45648</x:v>
      </x:c>
      <x:c r="K649" s="32" t="n">
        <x:v>2097</x:v>
      </x:c>
      <x:c r="L649" s="32" t="n">
        <x:v>2097</x:v>
      </x:c>
      <x:c r="M649" s="30" t="n">
        <x:v>163566</x:v>
      </x:c>
      <x:c r="N649" s="28" t="str">
        <x:v>Em atraso</x:v>
      </x:c>
      <x:c r="O649" s="28" t="str">
        <x:v>Atraso transportadora</x:v>
      </x:c>
      <x:c r="P649" s="30" t="n">
        <x:v>163566</x:v>
      </x:c>
    </x:row>
  </x:sheetData>
  <x:conditionalFormatting sqref="N2:N1000">
    <x:cfRule type="expression" dxfId="2" priority="1">
      <x:formula>N2="Em atraso"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22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20" hidden="0" customWidth="1"/>
    <x:col min="12" max="12" width="24" hidden="0" customWidth="1"/>
    <x:col min="13" max="13" width="16" hidden="0" customWidth="1"/>
    <x:col min="14" max="14" width="20" hidden="0" customWidth="1"/>
    <x:col min="15" max="15" width="24" hidden="0" customWidth="1"/>
    <x:col min="16" max="16" width="20" hidden="0" customWidth="1"/>
    <x:col min="17" max="17" width="22" hidden="0" customWidth="1"/>
    <x:col min="18" max="18" width="18" hidden="0" customWidth="1"/>
    <x:col min="19" max="19" width="24" hidden="0" customWidth="1"/>
    <x:col min="20" max="20" width="18" hidden="0" customWidth="1"/>
    <x:col min="21" max="21" width="20" hidden="0" customWidth="1"/>
    <x:col min="22" max="22" width="16" hidden="0" customWidth="1"/>
    <x:col min="23" max="23" width="18" hidden="0" customWidth="1"/>
    <x:col min="24" max="24" width="18" hidden="0" customWidth="1"/>
    <x:col min="25" max="25" width="20" hidden="0" customWidth="1"/>
    <x:col min="26" max="26" width="22" hidden="0" customWidth="1"/>
    <x:col min="27" max="27" width="16" hidden="0" customWidth="1"/>
    <x:col min="28" max="28" width="22" hidden="0" customWidth="1"/>
    <x:col min="29" max="29" width="20" hidden="0" customWidth="1"/>
  </x:cols>
  <x:sheetData>
    <x:row r="1">
      <x:c r="A1" s="22" t="str">
        <x:v>Competencia</x:v>
      </x:c>
      <x:c r="B1" s="22" t="str">
        <x:v>Grupo</x:v>
      </x:c>
      <x:c r="C1" s="22" t="str">
        <x:v>Planta</x:v>
      </x:c>
      <x:c r="D1" s="22" t="str">
        <x:v>Receita_Bruta</x:v>
      </x:c>
      <x:c r="E1" s="22" t="str">
        <x:v>Impostos_Deducoes</x:v>
      </x:c>
      <x:c r="F1" s="22" t="str">
        <x:v>Receita_Liquida</x:v>
      </x:c>
      <x:c r="G1" s="22" t="str">
        <x:v>Insumos_MP</x:v>
      </x:c>
      <x:c r="H1" s="22" t="str">
        <x:v>MOD</x:v>
      </x:c>
      <x:c r="I1" s="22" t="str">
        <x:v>GGF_Frete</x:v>
      </x:c>
      <x:c r="J1" s="22" t="str">
        <x:v>GGF_Energia</x:v>
      </x:c>
      <x:c r="K1" s="22" t="str">
        <x:v>GGF_Manutencao</x:v>
      </x:c>
      <x:c r="L1" s="22" t="str">
        <x:v>GGF_Contratos_Servicos</x:v>
      </x:c>
      <x:c r="M1" s="22" t="str">
        <x:v>GGF_Outros</x:v>
      </x:c>
      <x:c r="N1" s="22" t="str">
        <x:v>Margem_Industrial</x:v>
      </x:c>
      <x:c r="O1" s="22" t="str">
        <x:v>Custos_Fixos_Industriais</x:v>
      </x:c>
      <x:c r="P1" s="22" t="str">
        <x:v>Resultado_Industrial</x:v>
      </x:c>
      <x:c r="Q1" s="22" t="str">
        <x:v>Desp_Administrativas</x:v>
      </x:c>
      <x:c r="R1" s="22" t="str">
        <x:v>Desp_Comerciais</x:v>
      </x:c>
      <x:c r="S1" s="22" t="str">
        <x:v>Desp_Logisticas_sem_Frete</x:v>
      </x:c>
      <x:c r="T1" s="22" t="str">
        <x:v>Outros_OPEX</x:v>
      </x:c>
      <x:c r="U1" s="22" t="str">
        <x:v>EBITDA_Gerencial</x:v>
      </x:c>
      <x:c r="V1" s="22" t="str">
        <x:v>EBITDA_Margem</x:v>
      </x:c>
      <x:c r="W1" s="22" t="str">
        <x:v>Volume_Vendido</x:v>
      </x:c>
      <x:c r="X1" s="22" t="str">
        <x:v>Consumo_MP_kg</x:v>
      </x:c>
      <x:c r="Y1" s="22" t="str">
        <x:v>Preco_Medio_MP_kg</x:v>
      </x:c>
      <x:c r="Z1" s="22" t="str">
        <x:v>Consumo_Energia_kWh</x:v>
      </x:c>
      <x:c r="AA1" s="22" t="str">
        <x:v>Estoque_Dias</x:v>
      </x:c>
      <x:c r="AB1" s="22" t="str">
        <x:v>Prazo_Fornecedor_Dias</x:v>
      </x:c>
      <x:c r="AC1" s="22" t="str">
        <x:v>Prazo_Cliente_Dias</x:v>
      </x:c>
    </x:row>
    <x:row r="2">
      <x:c r="A2" s="34" t="n">
        <x:v>45292</x:v>
      </x:c>
      <x:c r="B2" s="28" t="str">
        <x:v>Grupo Industrial S.A.</x:v>
      </x:c>
      <x:c r="C2" s="28" t="str">
        <x:v>Planta São Paulo</x:v>
      </x:c>
      <x:c r="D2" s="30" t="n">
        <x:v>4004329.79</x:v>
      </x:c>
      <x:c r="E2" s="30" t="n">
        <x:v>240259.79</x:v>
      </x:c>
      <x:c r="F2" s="30" t="n">
        <x:v>3764070</x:v>
      </x:c>
      <x:c r="G2" s="30" t="n">
        <x:v>556075.33</x:v>
      </x:c>
      <x:c r="H2" s="30" t="n">
        <x:v>343231.25</x:v>
      </x:c>
      <x:c r="I2" s="30" t="n">
        <x:v>185406.16</x:v>
      </x:c>
      <x:c r="J2" s="30" t="n">
        <x:v>16780.34</x:v>
      </x:c>
      <x:c r="K2" s="30" t="n">
        <x:v>72369.67</x:v>
      </x:c>
      <x:c r="L2" s="30" t="n">
        <x:v>45168.84</x:v>
      </x:c>
      <x:c r="M2" s="30" t="n">
        <x:v>30112.56</x:v>
      </x:c>
      <x:c r="N2" s="46" t="n">
        <x:f>F2-SUM(G2:M2)</x:f>
        <x:v>2514925.8499999996</x:v>
      </x:c>
      <x:c r="O2" s="30" t="n">
        <x:v>142263.28</x:v>
      </x:c>
      <x:c r="P2" s="46" t="n">
        <x:f>N2-O2</x:f>
        <x:v>2372662.57</x:v>
      </x:c>
      <x:c r="Q2" s="30" t="n">
        <x:v>79045.47</x:v>
      </x:c>
      <x:c r="R2" s="30" t="n">
        <x:v>60225.12</x:v>
      </x:c>
      <x:c r="S2" s="30" t="n">
        <x:v>33876.63</x:v>
      </x:c>
      <x:c r="T2" s="30" t="n">
        <x:v>18820.35</x:v>
      </x:c>
      <x:c r="U2" s="46" t="n">
        <x:f>P2-SUM(Q2:T2)</x:f>
        <x:v>2180695</x:v>
      </x:c>
      <x:c r="V2" s="48" t="n">
        <x:f>IFERROR(U2/F2,0)</x:f>
        <x:v>0.5793449643603865</x:v>
      </x:c>
      <x:c r="W2" s="32" t="n">
        <x:v>51685</x:v>
      </x:c>
      <x:c r="X2" s="32" t="n">
        <x:v>60442.97</x:v>
      </x:c>
      <x:c r="Y2" s="30" t="n">
        <x:v>9.2</x:v>
      </x:c>
      <x:c r="Z2" s="32" t="n">
        <x:v>20463.84</x:v>
      </x:c>
      <x:c r="AA2" s="32" t="n">
        <x:v>32</x:v>
      </x:c>
      <x:c r="AB2" s="32" t="n">
        <x:v>35</x:v>
      </x:c>
      <x:c r="AC2" s="32" t="n">
        <x:v>31</x:v>
      </x:c>
    </x:row>
    <x:row r="3">
      <x:c r="A3" s="34" t="n">
        <x:v>45292</x:v>
      </x:c>
      <x:c r="B3" s="28" t="str">
        <x:v>Grupo Industrial S.A.</x:v>
      </x:c>
      <x:c r="C3" s="28" t="str">
        <x:v>Planta Campinas</x:v>
      </x:c>
      <x:c r="D3" s="30" t="n">
        <x:v>2847269.15</x:v>
      </x:c>
      <x:c r="E3" s="30" t="n">
        <x:v>170836.15</x:v>
      </x:c>
      <x:c r="F3" s="30" t="n">
        <x:v>2676433</x:v>
      </x:c>
      <x:c r="G3" s="30" t="n">
        <x:v>407838.28</x:v>
      </x:c>
      <x:c r="H3" s="30" t="n">
        <x:v>361624.94</x:v>
      </x:c>
      <x:c r="I3" s="30" t="n">
        <x:v>196030.8</x:v>
      </x:c>
      <x:c r="J3" s="30" t="n">
        <x:v>15391.31</x:v>
      </x:c>
      <x:c r="K3" s="30" t="n">
        <x:v>137327.57</x:v>
      </x:c>
      <x:c r="L3" s="30" t="n">
        <x:v>32117.2</x:v>
      </x:c>
      <x:c r="M3" s="30" t="n">
        <x:v>21411.46</x:v>
      </x:c>
      <x:c r="N3" s="46" t="n">
        <x:f>F3-SUM(G3:M3)</x:f>
        <x:v>1504691.44</x:v>
      </x:c>
      <x:c r="O3" s="30" t="n">
        <x:v>118983.83</x:v>
      </x:c>
      <x:c r="P3" s="46" t="n">
        <x:f>N3-O3</x:f>
        <x:v>1385707.6099999999</x:v>
      </x:c>
      <x:c r="Q3" s="30" t="n">
        <x:v>56205.09</x:v>
      </x:c>
      <x:c r="R3" s="30" t="n">
        <x:v>42822.93</x:v>
      </x:c>
      <x:c r="S3" s="30" t="n">
        <x:v>24087.9</x:v>
      </x:c>
      <x:c r="T3" s="30" t="n">
        <x:v>13382.17</x:v>
      </x:c>
      <x:c r="U3" s="46" t="n">
        <x:f>P3-SUM(Q3:T3)</x:f>
        <x:v>1249209.5199999998</x:v>
      </x:c>
      <x:c r="V3" s="48" t="n">
        <x:f>IFERROR(U3/F3,0)</x:f>
        <x:v>0.46674417779185945</x:v>
      </x:c>
      <x:c r="W3" s="32" t="n">
        <x:v>35363</x:v>
      </x:c>
      <x:c r="X3" s="32" t="n">
        <x:v>43039.08</x:v>
      </x:c>
      <x:c r="Y3" s="30" t="n">
        <x:v>9.48</x:v>
      </x:c>
      <x:c r="Z3" s="32" t="n">
        <x:v>18769.9</x:v>
      </x:c>
      <x:c r="AA3" s="32" t="n">
        <x:v>38</x:v>
      </x:c>
      <x:c r="AB3" s="32" t="n">
        <x:v>30</x:v>
      </x:c>
      <x:c r="AC3" s="32" t="n">
        <x:v>35</x:v>
      </x:c>
    </x:row>
    <x:row r="4">
      <x:c r="A4" s="34" t="n">
        <x:v>45292</x:v>
      </x:c>
      <x:c r="B4" s="28" t="str">
        <x:v>Grupo Industrial S.A.</x:v>
      </x:c>
      <x:c r="C4" s="28" t="str">
        <x:v>Planta Curitiba</x:v>
      </x:c>
      <x:c r="D4" s="30" t="n">
        <x:v>3031431.91</x:v>
      </x:c>
      <x:c r="E4" s="30" t="n">
        <x:v>181885.91</x:v>
      </x:c>
      <x:c r="F4" s="30" t="n">
        <x:v>2849546</x:v>
      </x:c>
      <x:c r="G4" s="30" t="n">
        <x:v>424623.12</x:v>
      </x:c>
      <x:c r="H4" s="30" t="n">
        <x:v>387806.68</x:v>
      </x:c>
      <x:c r="I4" s="30" t="n">
        <x:v>199398.53</x:v>
      </x:c>
      <x:c r="J4" s="30" t="n">
        <x:v>14860.64</x:v>
      </x:c>
      <x:c r="K4" s="30" t="n">
        <x:v>93909.12</x:v>
      </x:c>
      <x:c r="L4" s="30" t="n">
        <x:v>34194.55</x:v>
      </x:c>
      <x:c r="M4" s="30" t="n">
        <x:v>22796.37</x:v>
      </x:c>
      <x:c r="N4" s="46" t="n">
        <x:f>F4-SUM(G4:M4)</x:f>
        <x:v>1671956.9899999998</x:v>
      </x:c>
      <x:c r="O4" s="30" t="n">
        <x:v>118983.83</x:v>
      </x:c>
      <x:c r="P4" s="46" t="n">
        <x:f>N4-O4</x:f>
        <x:v>1552973.1599999997</x:v>
      </x:c>
      <x:c r="Q4" s="30" t="n">
        <x:v>59840.47</x:v>
      </x:c>
      <x:c r="R4" s="30" t="n">
        <x:v>45592.74</x:v>
      </x:c>
      <x:c r="S4" s="30" t="n">
        <x:v>25645.91</x:v>
      </x:c>
      <x:c r="T4" s="30" t="n">
        <x:v>14247.73</x:v>
      </x:c>
      <x:c r="U4" s="46" t="n">
        <x:f>P4-SUM(Q4:T4)</x:f>
        <x:v>1407646.3099999996</x:v>
      </x:c>
      <x:c r="V4" s="48" t="n">
        <x:f>IFERROR(U4/F4,0)</x:f>
        <x:v>0.49398967765391383</x:v>
      </x:c>
      <x:c r="W4" s="32" t="n">
        <x:v>38195</x:v>
      </x:c>
      <x:c r="X4" s="32" t="n">
        <x:v>46154.69</x:v>
      </x:c>
      <x:c r="Y4" s="30" t="n">
        <x:v>9.2</x:v>
      </x:c>
      <x:c r="Z4" s="32" t="n">
        <x:v>18122.74</x:v>
      </x:c>
      <x:c r="AA4" s="32" t="n">
        <x:v>35</x:v>
      </x:c>
      <x:c r="AB4" s="32" t="n">
        <x:v>33</x:v>
      </x:c>
      <x:c r="AC4" s="32" t="n">
        <x:v>32</x:v>
      </x:c>
    </x:row>
    <x:row r="5">
      <x:c r="A5" s="34" t="n">
        <x:v>45323</x:v>
      </x:c>
      <x:c r="B5" s="28" t="str">
        <x:v>Grupo Industrial S.A.</x:v>
      </x:c>
      <x:c r="C5" s="28" t="str">
        <x:v>Planta São Paulo</x:v>
      </x:c>
      <x:c r="D5" s="30" t="n">
        <x:v>3277895.74</x:v>
      </x:c>
      <x:c r="E5" s="30" t="n">
        <x:v>196673.74</x:v>
      </x:c>
      <x:c r="F5" s="30" t="n">
        <x:v>3081222</x:v>
      </x:c>
      <x:c r="G5" s="30" t="n">
        <x:v>450842.09</x:v>
      </x:c>
      <x:c r="H5" s="30" t="n">
        <x:v>277359.32</x:v>
      </x:c>
      <x:c r="I5" s="30" t="n">
        <x:v>207318.22</x:v>
      </x:c>
      <x:c r="J5" s="30" t="n">
        <x:v>14019.73</x:v>
      </x:c>
      <x:c r="K5" s="30" t="n">
        <x:v>56623.56</x:v>
      </x:c>
      <x:c r="L5" s="30" t="n">
        <x:v>36974.66</x:v>
      </x:c>
      <x:c r="M5" s="30" t="n">
        <x:v>24649.78</x:v>
      </x:c>
      <x:c r="N5" s="46" t="n">
        <x:f>F5-SUM(G5:M5)</x:f>
        <x:v>2013434.6400000001</x:v>
      </x:c>
      <x:c r="O5" s="30" t="n">
        <x:v>113810.62</x:v>
      </x:c>
      <x:c r="P5" s="46" t="n">
        <x:f>N5-O5</x:f>
        <x:v>1899624.02</x:v>
      </x:c>
      <x:c r="Q5" s="30" t="n">
        <x:v>64705.66</x:v>
      </x:c>
      <x:c r="R5" s="30" t="n">
        <x:v>49299.55</x:v>
      </x:c>
      <x:c r="S5" s="30" t="n">
        <x:v>27731</x:v>
      </x:c>
      <x:c r="T5" s="30" t="n">
        <x:v>15406.11</x:v>
      </x:c>
      <x:c r="U5" s="46" t="n">
        <x:f>P5-SUM(Q5:T5)</x:f>
        <x:v>1742481.7</x:v>
      </x:c>
      <x:c r="V5" s="48" t="n">
        <x:f>IFERROR(U5/F5,0)</x:f>
        <x:v>0.5655164412041715</x:v>
      </x:c>
      <x:c r="W5" s="32" t="n">
        <x:v>42353</x:v>
      </x:c>
      <x:c r="X5" s="32" t="n">
        <x:v>48960.06</x:v>
      </x:c>
      <x:c r="Y5" s="30" t="n">
        <x:v>9.21</x:v>
      </x:c>
      <x:c r="Z5" s="32" t="n">
        <x:v>17097.23</x:v>
      </x:c>
      <x:c r="AA5" s="32" t="n">
        <x:v>32</x:v>
      </x:c>
      <x:c r="AB5" s="32" t="n">
        <x:v>35</x:v>
      </x:c>
      <x:c r="AC5" s="32" t="n">
        <x:v>31</x:v>
      </x:c>
    </x:row>
    <x:row r="6">
      <x:c r="A6" s="34" t="n">
        <x:v>45323</x:v>
      </x:c>
      <x:c r="B6" s="28" t="str">
        <x:v>Grupo Industrial S.A.</x:v>
      </x:c>
      <x:c r="C6" s="28" t="str">
        <x:v>Planta Campinas</x:v>
      </x:c>
      <x:c r="D6" s="30" t="n">
        <x:v>2374127.66</x:v>
      </x:c>
      <x:c r="E6" s="30" t="n">
        <x:v>142447.66</x:v>
      </x:c>
      <x:c r="F6" s="30" t="n">
        <x:v>2231680</x:v>
      </x:c>
      <x:c r="G6" s="30" t="n">
        <x:v>340395.88</x:v>
      </x:c>
      <x:c r="H6" s="30" t="n">
        <x:v>287875.34</x:v>
      </x:c>
      <x:c r="I6" s="30" t="n">
        <x:v>232790.42</x:v>
      </x:c>
      <x:c r="J6" s="30" t="n">
        <x:v>12820.3</x:v>
      </x:c>
      <x:c r="K6" s="30" t="n">
        <x:v>110480.24</x:v>
      </x:c>
      <x:c r="L6" s="30" t="n">
        <x:v>26780.16</x:v>
      </x:c>
      <x:c r="M6" s="30" t="n">
        <x:v>17853.44</x:v>
      </x:c>
      <x:c r="N6" s="46" t="n">
        <x:f>F6-SUM(G6:M6)</x:f>
        <x:v>1202684.22</x:v>
      </x:c>
      <x:c r="O6" s="30" t="n">
        <x:v>95187.07</x:v>
      </x:c>
      <x:c r="P6" s="46" t="n">
        <x:f>N6-O6</x:f>
        <x:v>1107497.15</x:v>
      </x:c>
      <x:c r="Q6" s="30" t="n">
        <x:v>46865.28</x:v>
      </x:c>
      <x:c r="R6" s="30" t="n">
        <x:v>35706.88</x:v>
      </x:c>
      <x:c r="S6" s="30" t="n">
        <x:v>20085.12</x:v>
      </x:c>
      <x:c r="T6" s="30" t="n">
        <x:v>11158.4</x:v>
      </x:c>
      <x:c r="U6" s="46" t="n">
        <x:f>P6-SUM(Q6:T6)</x:f>
        <x:v>993681.47</x:v>
      </x:c>
      <x:c r="V6" s="48" t="n">
        <x:f>IFERROR(U6/F6,0)</x:f>
        <x:v>0.4452616280111844</x:v>
      </x:c>
      <x:c r="W6" s="32" t="n">
        <x:v>29551</x:v>
      </x:c>
      <x:c r="X6" s="32" t="n">
        <x:v>35889.26</x:v>
      </x:c>
      <x:c r="Y6" s="30" t="n">
        <x:v>9.48</x:v>
      </x:c>
      <x:c r="Z6" s="32" t="n">
        <x:v>15634.51</x:v>
      </x:c>
      <x:c r="AA6" s="32" t="n">
        <x:v>38</x:v>
      </x:c>
      <x:c r="AB6" s="32" t="n">
        <x:v>30</x:v>
      </x:c>
      <x:c r="AC6" s="32" t="n">
        <x:v>35</x:v>
      </x:c>
    </x:row>
    <x:row r="7">
      <x:c r="A7" s="34" t="n">
        <x:v>45323</x:v>
      </x:c>
      <x:c r="B7" s="28" t="str">
        <x:v>Grupo Industrial S.A.</x:v>
      </x:c>
      <x:c r="C7" s="28" t="str">
        <x:v>Planta Curitiba</x:v>
      </x:c>
      <x:c r="D7" s="30" t="n">
        <x:v>2462897.87</x:v>
      </x:c>
      <x:c r="E7" s="30" t="n">
        <x:v>147773.87</x:v>
      </x:c>
      <x:c r="F7" s="30" t="n">
        <x:v>2315124</x:v>
      </x:c>
      <x:c r="G7" s="30" t="n">
        <x:v>345886.6</x:v>
      </x:c>
      <x:c r="H7" s="30" t="n">
        <x:v>309832.18</x:v>
      </x:c>
      <x:c r="I7" s="30" t="n">
        <x:v>220011.95</x:v>
      </x:c>
      <x:c r="J7" s="30" t="n">
        <x:v>12116.06</x:v>
      </x:c>
      <x:c r="K7" s="30" t="n">
        <x:v>72553.93</x:v>
      </x:c>
      <x:c r="L7" s="30" t="n">
        <x:v>27781.49</x:v>
      </x:c>
      <x:c r="M7" s="30" t="n">
        <x:v>18520.99</x:v>
      </x:c>
      <x:c r="N7" s="46" t="n">
        <x:f>F7-SUM(G7:M7)</x:f>
        <x:v>1308420.8</x:v>
      </x:c>
      <x:c r="O7" s="30" t="n">
        <x:v>95187.07</x:v>
      </x:c>
      <x:c r="P7" s="46" t="n">
        <x:f>N7-O7</x:f>
        <x:v>1213233.73</x:v>
      </x:c>
      <x:c r="Q7" s="30" t="n">
        <x:v>48617.6</x:v>
      </x:c>
      <x:c r="R7" s="30" t="n">
        <x:v>37041.98</x:v>
      </x:c>
      <x:c r="S7" s="30" t="n">
        <x:v>20836.12</x:v>
      </x:c>
      <x:c r="T7" s="30" t="n">
        <x:v>11575.62</x:v>
      </x:c>
      <x:c r="U7" s="46" t="n">
        <x:f>P7-SUM(Q7:T7)</x:f>
        <x:v>1095162.41</x:v>
      </x:c>
      <x:c r="V7" s="48" t="n">
        <x:f>IFERROR(U7/F7,0)</x:f>
        <x:v>0.4730469771813518</x:v>
      </x:c>
      <x:c r="W7" s="32" t="n">
        <x:v>30937</x:v>
      </x:c>
      <x:c r="X7" s="32" t="n">
        <x:v>37562.22</x:v>
      </x:c>
      <x:c r="Y7" s="30" t="n">
        <x:v>9.21</x:v>
      </x:c>
      <x:c r="Z7" s="32" t="n">
        <x:v>14775.69</x:v>
      </x:c>
      <x:c r="AA7" s="32" t="n">
        <x:v>35</x:v>
      </x:c>
      <x:c r="AB7" s="32" t="n">
        <x:v>33</x:v>
      </x:c>
      <x:c r="AC7" s="32" t="n">
        <x:v>32</x:v>
      </x:c>
    </x:row>
    <x:row r="8">
      <x:c r="A8" s="34" t="n">
        <x:v>45352</x:v>
      </x:c>
      <x:c r="B8" s="28" t="str">
        <x:v>Grupo Industrial S.A.</x:v>
      </x:c>
      <x:c r="C8" s="28" t="str">
        <x:v>Planta São Paulo</x:v>
      </x:c>
      <x:c r="D8" s="30" t="n">
        <x:v>3413438.3</x:v>
      </x:c>
      <x:c r="E8" s="30" t="n">
        <x:v>204806.3</x:v>
      </x:c>
      <x:c r="F8" s="30" t="n">
        <x:v>3208632</x:v>
      </x:c>
      <x:c r="G8" s="30" t="n">
        <x:v>472200.35</x:v>
      </x:c>
      <x:c r="H8" s="30" t="n">
        <x:v>275560.87</x:v>
      </x:c>
      <x:c r="I8" s="30" t="n">
        <x:v>192649.95</x:v>
      </x:c>
      <x:c r="J8" s="30" t="n">
        <x:v>14706.46</x:v>
      </x:c>
      <x:c r="K8" s="30" t="n">
        <x:v>56821.53</x:v>
      </x:c>
      <x:c r="L8" s="30" t="n">
        <x:v>38503.58</x:v>
      </x:c>
      <x:c r="M8" s="30" t="n">
        <x:v>25669.06</x:v>
      </x:c>
      <x:c r="N8" s="46" t="n">
        <x:f>F8-SUM(G8:M8)</x:f>
        <x:v>2132520.2</x:v>
      </x:c>
      <x:c r="O8" s="30" t="n">
        <x:v>113810.62</x:v>
      </x:c>
      <x:c r="P8" s="46" t="n">
        <x:f>N8-O8</x:f>
        <x:v>2018709.58</x:v>
      </x:c>
      <x:c r="Q8" s="30" t="n">
        <x:v>67381.27</x:v>
      </x:c>
      <x:c r="R8" s="30" t="n">
        <x:v>51338.11</x:v>
      </x:c>
      <x:c r="S8" s="30" t="n">
        <x:v>28877.69</x:v>
      </x:c>
      <x:c r="T8" s="30" t="n">
        <x:v>16043.16</x:v>
      </x:c>
      <x:c r="U8" s="46" t="n">
        <x:f>P8-SUM(Q8:T8)</x:f>
        <x:v>1855069.35</x:v>
      </x:c>
      <x:c r="V8" s="48" t="n">
        <x:f>IFERROR(U8/F8,0)</x:f>
        <x:v>0.5781496132931417</x:v>
      </x:c>
      <x:c r="W8" s="32" t="n">
        <x:v>43958</x:v>
      </x:c>
      <x:c r="X8" s="32" t="n">
        <x:v>51232.97</x:v>
      </x:c>
      <x:c r="Y8" s="30" t="n">
        <x:v>9.22</x:v>
      </x:c>
      <x:c r="Z8" s="32" t="n">
        <x:v>17934.71</x:v>
      </x:c>
      <x:c r="AA8" s="32" t="n">
        <x:v>32</x:v>
      </x:c>
      <x:c r="AB8" s="32" t="n">
        <x:v>35</x:v>
      </x:c>
      <x:c r="AC8" s="32" t="n">
        <x:v>31</x:v>
      </x:c>
    </x:row>
    <x:row r="9">
      <x:c r="A9" s="34" t="n">
        <x:v>45352</x:v>
      </x:c>
      <x:c r="B9" s="28" t="str">
        <x:v>Grupo Industrial S.A.</x:v>
      </x:c>
      <x:c r="C9" s="28" t="str">
        <x:v>Planta Campinas</x:v>
      </x:c>
      <x:c r="D9" s="30" t="n">
        <x:v>2457022.34</x:v>
      </x:c>
      <x:c r="E9" s="30" t="n">
        <x:v>147421.34</x:v>
      </x:c>
      <x:c r="F9" s="30" t="n">
        <x:v>2309601</x:v>
      </x:c>
      <x:c r="G9" s="30" t="n">
        <x:v>355093.12</x:v>
      </x:c>
      <x:c r="H9" s="30" t="n">
        <x:v>287752.98</x:v>
      </x:c>
      <x:c r="I9" s="30" t="n">
        <x:v>228673.95</x:v>
      </x:c>
      <x:c r="J9" s="30" t="n">
        <x:v>13073.08</x:v>
      </x:c>
      <x:c r="K9" s="30" t="n">
        <x:v>112098.16</x:v>
      </x:c>
      <x:c r="L9" s="30" t="n">
        <x:v>27715.21</x:v>
      </x:c>
      <x:c r="M9" s="30" t="n">
        <x:v>18476.81</x:v>
      </x:c>
      <x:c r="N9" s="46" t="n">
        <x:f>F9-SUM(G9:M9)</x:f>
        <x:v>1266717.69</x:v>
      </x:c>
      <x:c r="O9" s="30" t="n">
        <x:v>95187.07</x:v>
      </x:c>
      <x:c r="P9" s="46" t="n">
        <x:f>N9-O9</x:f>
        <x:v>1171530.6199999999</x:v>
      </x:c>
      <x:c r="Q9" s="30" t="n">
        <x:v>48501.62</x:v>
      </x:c>
      <x:c r="R9" s="30" t="n">
        <x:v>36953.62</x:v>
      </x:c>
      <x:c r="S9" s="30" t="n">
        <x:v>20786.41</x:v>
      </x:c>
      <x:c r="T9" s="30" t="n">
        <x:v>11548.01</x:v>
      </x:c>
      <x:c r="U9" s="46" t="n">
        <x:f>P9-SUM(Q9:T9)</x:f>
        <x:v>1053740.96</x:v>
      </x:c>
      <x:c r="V9" s="48" t="n">
        <x:f>IFERROR(U9/F9,0)</x:f>
        <x:v>0.4562437234829739</x:v>
      </x:c>
      <x:c r="W9" s="32" t="n">
        <x:v>30646</x:v>
      </x:c>
      <x:c r="X9" s="32" t="n">
        <x:v>37404.88</x:v>
      </x:c>
      <x:c r="Y9" s="30" t="n">
        <x:v>9.49</x:v>
      </x:c>
      <x:c r="Z9" s="32" t="n">
        <x:v>15942.78</x:v>
      </x:c>
      <x:c r="AA9" s="32" t="n">
        <x:v>38</x:v>
      </x:c>
      <x:c r="AB9" s="32" t="n">
        <x:v>30</x:v>
      </x:c>
      <x:c r="AC9" s="32" t="n">
        <x:v>35</x:v>
      </x:c>
    </x:row>
    <x:row r="10">
      <x:c r="A10" s="34" t="n">
        <x:v>45352</x:v>
      </x:c>
      <x:c r="B10" s="28" t="str">
        <x:v>Grupo Industrial S.A.</x:v>
      </x:c>
      <x:c r="C10" s="28" t="str">
        <x:v>Planta Curitiba</x:v>
      </x:c>
      <x:c r="D10" s="30" t="n">
        <x:v>2552185.11</x:v>
      </x:c>
      <x:c r="E10" s="30" t="n">
        <x:v>153131.11</x:v>
      </x:c>
      <x:c r="F10" s="30" t="n">
        <x:v>2399054</x:v>
      </x:c>
      <x:c r="G10" s="30" t="n">
        <x:v>356455.43</x:v>
      </x:c>
      <x:c r="H10" s="30" t="n">
        <x:v>306011.69</x:v>
      </x:c>
      <x:c r="I10" s="30" t="n">
        <x:v>207384.28</x:v>
      </x:c>
      <x:c r="J10" s="30" t="n">
        <x:v>12593.01</x:v>
      </x:c>
      <x:c r="K10" s="30" t="n">
        <x:v>75647.51</x:v>
      </x:c>
      <x:c r="L10" s="30" t="n">
        <x:v>28788.65</x:v>
      </x:c>
      <x:c r="M10" s="30" t="n">
        <x:v>19192.43</x:v>
      </x:c>
      <x:c r="N10" s="46" t="n">
        <x:f>F10-SUM(G10:M10)</x:f>
        <x:v>1392981</x:v>
      </x:c>
      <x:c r="O10" s="30" t="n">
        <x:v>95187.07</x:v>
      </x:c>
      <x:c r="P10" s="46" t="n">
        <x:f>N10-O10</x:f>
        <x:v>1297793.93</x:v>
      </x:c>
      <x:c r="Q10" s="30" t="n">
        <x:v>50380.13</x:v>
      </x:c>
      <x:c r="R10" s="30" t="n">
        <x:v>38384.86</x:v>
      </x:c>
      <x:c r="S10" s="30" t="n">
        <x:v>21591.49</x:v>
      </x:c>
      <x:c r="T10" s="30" t="n">
        <x:v>11995.27</x:v>
      </x:c>
      <x:c r="U10" s="46" t="n">
        <x:f>P10-SUM(Q10:T10)</x:f>
        <x:v>1175442.18</x:v>
      </x:c>
      <x:c r="V10" s="48" t="n">
        <x:f>IFERROR(U10/F10,0)</x:f>
        <x:v>0.48996070117638035</x:v>
      </x:c>
      <x:c r="W10" s="32" t="n">
        <x:v>32078</x:v>
      </x:c>
      <x:c r="X10" s="32" t="n">
        <x:v>38674.84</x:v>
      </x:c>
      <x:c r="Y10" s="30" t="n">
        <x:v>9.22</x:v>
      </x:c>
      <x:c r="Z10" s="32" t="n">
        <x:v>15357.33</x:v>
      </x:c>
      <x:c r="AA10" s="32" t="n">
        <x:v>35</x:v>
      </x:c>
      <x:c r="AB10" s="32" t="n">
        <x:v>33</x:v>
      </x:c>
      <x:c r="AC10" s="32" t="n">
        <x:v>32</x:v>
      </x:c>
    </x:row>
    <x:row r="11">
      <x:c r="A11" s="34" t="n">
        <x:v>45383</x:v>
      </x:c>
      <x:c r="B11" s="28" t="str">
        <x:v>Grupo Industrial S.A.</x:v>
      </x:c>
      <x:c r="C11" s="28" t="str">
        <x:v>Planta São Paulo</x:v>
      </x:c>
      <x:c r="D11" s="30" t="n">
        <x:v>4212759.57</x:v>
      </x:c>
      <x:c r="E11" s="30" t="n">
        <x:v>252765.57</x:v>
      </x:c>
      <x:c r="F11" s="30" t="n">
        <x:v>3959994</x:v>
      </x:c>
      <x:c r="G11" s="30" t="n">
        <x:v>584351.48</x:v>
      </x:c>
      <x:c r="H11" s="30" t="n">
        <x:v>343840.8</x:v>
      </x:c>
      <x:c r="I11" s="30" t="n">
        <x:v>164097.35</x:v>
      </x:c>
      <x:c r="J11" s="30" t="n">
        <x:v>18508.4</x:v>
      </x:c>
      <x:c r="K11" s="30" t="n">
        <x:v>71197.59</x:v>
      </x:c>
      <x:c r="L11" s="30" t="n">
        <x:v>47519.93</x:v>
      </x:c>
      <x:c r="M11" s="30" t="n">
        <x:v>31679.95</x:v>
      </x:c>
      <x:c r="N11" s="46" t="n">
        <x:f>F11-SUM(G11:M11)</x:f>
        <x:v>2698798.5</x:v>
      </x:c>
      <x:c r="O11" s="30" t="n">
        <x:v>142263.28</x:v>
      </x:c>
      <x:c r="P11" s="46" t="n">
        <x:f>N11-O11</x:f>
        <x:v>2556535.22</x:v>
      </x:c>
      <x:c r="Q11" s="30" t="n">
        <x:v>83159.87</x:v>
      </x:c>
      <x:c r="R11" s="30" t="n">
        <x:v>63359.9</x:v>
      </x:c>
      <x:c r="S11" s="30" t="n">
        <x:v>35639.95</x:v>
      </x:c>
      <x:c r="T11" s="30" t="n">
        <x:v>19799.97</x:v>
      </x:c>
      <x:c r="U11" s="46" t="n">
        <x:f>P11-SUM(Q11:T11)</x:f>
        <x:v>2354575.5300000003</x:v>
      </x:c>
      <x:c r="V11" s="48" t="n">
        <x:f>IFERROR(U11/F11,0)</x:f>
        <x:v>0.5945906811980018</x:v>
      </x:c>
      <x:c r="W11" s="32" t="n">
        <x:v>54375</x:v>
      </x:c>
      <x:c r="X11" s="32" t="n">
        <x:v>63343.72</x:v>
      </x:c>
      <x:c r="Y11" s="30" t="n">
        <x:v>9.23</x:v>
      </x:c>
      <x:c r="Z11" s="32" t="n">
        <x:v>22571.22</x:v>
      </x:c>
      <x:c r="AA11" s="32" t="n">
        <x:v>32</x:v>
      </x:c>
      <x:c r="AB11" s="32" t="n">
        <x:v>35</x:v>
      </x:c>
      <x:c r="AC11" s="32" t="n">
        <x:v>31</x:v>
      </x:c>
    </x:row>
    <x:row r="12">
      <x:c r="A12" s="34" t="n">
        <x:v>45383</x:v>
      </x:c>
      <x:c r="B12" s="28" t="str">
        <x:v>Grupo Industrial S.A.</x:v>
      </x:c>
      <x:c r="C12" s="28" t="str">
        <x:v>Planta Campinas</x:v>
      </x:c>
      <x:c r="D12" s="30" t="n">
        <x:v>2997673.4</x:v>
      </x:c>
      <x:c r="E12" s="30" t="n">
        <x:v>179860.4</x:v>
      </x:c>
      <x:c r="F12" s="30" t="n">
        <x:v>2817813</x:v>
      </x:c>
      <x:c r="G12" s="30" t="n">
        <x:v>432532.15</x:v>
      </x:c>
      <x:c r="H12" s="30" t="n">
        <x:v>364280.78</x:v>
      </x:c>
      <x:c r="I12" s="30" t="n">
        <x:v>207119.26</x:v>
      </x:c>
      <x:c r="J12" s="30" t="n">
        <x:v>16281.51</x:v>
      </x:c>
      <x:c r="K12" s="30" t="n">
        <x:v>135753.81</x:v>
      </x:c>
      <x:c r="L12" s="30" t="n">
        <x:v>33813.76</x:v>
      </x:c>
      <x:c r="M12" s="30" t="n">
        <x:v>22542.5</x:v>
      </x:c>
      <x:c r="N12" s="46" t="n">
        <x:f>F12-SUM(G12:M12)</x:f>
        <x:v>1605489.23</x:v>
      </x:c>
      <x:c r="O12" s="30" t="n">
        <x:v>118983.83</x:v>
      </x:c>
      <x:c r="P12" s="46" t="n">
        <x:f>N12-O12</x:f>
        <x:v>1486505.4</x:v>
      </x:c>
      <x:c r="Q12" s="30" t="n">
        <x:v>59174.07</x:v>
      </x:c>
      <x:c r="R12" s="30" t="n">
        <x:v>45085.01</x:v>
      </x:c>
      <x:c r="S12" s="30" t="n">
        <x:v>25360.32</x:v>
      </x:c>
      <x:c r="T12" s="30" t="n">
        <x:v>14089.07</x:v>
      </x:c>
      <x:c r="U12" s="46" t="n">
        <x:f>P12-SUM(Q12:T12)</x:f>
        <x:v>1342796.93</x:v>
      </x:c>
      <x:c r="V12" s="48" t="n">
        <x:f>IFERROR(U12/F12,0)</x:f>
        <x:v>0.4765386950801916</x:v>
      </x:c>
      <x:c r="W12" s="32" t="n">
        <x:v>37386</x:v>
      </x:c>
      <x:c r="X12" s="32" t="n">
        <x:v>45520.87</x:v>
      </x:c>
      <x:c r="Y12" s="30" t="n">
        <x:v>9.5</x:v>
      </x:c>
      <x:c r="Z12" s="32" t="n">
        <x:v>19855.5</x:v>
      </x:c>
      <x:c r="AA12" s="32" t="n">
        <x:v>38</x:v>
      </x:c>
      <x:c r="AB12" s="32" t="n">
        <x:v>30</x:v>
      </x:c>
      <x:c r="AC12" s="32" t="n">
        <x:v>35</x:v>
      </x:c>
    </x:row>
    <x:row r="13">
      <x:c r="A13" s="34" t="n">
        <x:v>45383</x:v>
      </x:c>
      <x:c r="B13" s="28" t="str">
        <x:v>Grupo Industrial S.A.</x:v>
      </x:c>
      <x:c r="C13" s="28" t="str">
        <x:v>Planta Curitiba</x:v>
      </x:c>
      <x:c r="D13" s="30" t="n">
        <x:v>3142776.6</x:v>
      </x:c>
      <x:c r="E13" s="30" t="n">
        <x:v>188566.6</x:v>
      </x:c>
      <x:c r="F13" s="30" t="n">
        <x:v>2954210</x:v>
      </x:c>
      <x:c r="G13" s="30" t="n">
        <x:v>441887.38</x:v>
      </x:c>
      <x:c r="H13" s="30" t="n">
        <x:v>389110.92</x:v>
      </x:c>
      <x:c r="I13" s="30" t="n">
        <x:v>195424.63</x:v>
      </x:c>
      <x:c r="J13" s="30" t="n">
        <x:v>15950.22</x:v>
      </x:c>
      <x:c r="K13" s="30" t="n">
        <x:v>90290.63</x:v>
      </x:c>
      <x:c r="L13" s="30" t="n">
        <x:v>35450.52</x:v>
      </x:c>
      <x:c r="M13" s="30" t="n">
        <x:v>23633.68</x:v>
      </x:c>
      <x:c r="N13" s="46" t="n">
        <x:f>F13-SUM(G13:M13)</x:f>
        <x:v>1762462.02</x:v>
      </x:c>
      <x:c r="O13" s="30" t="n">
        <x:v>118983.83</x:v>
      </x:c>
      <x:c r="P13" s="46" t="n">
        <x:f>N13-O13</x:f>
        <x:v>1643478.19</x:v>
      </x:c>
      <x:c r="Q13" s="30" t="n">
        <x:v>62038.41</x:v>
      </x:c>
      <x:c r="R13" s="30" t="n">
        <x:v>47267.36</x:v>
      </x:c>
      <x:c r="S13" s="30" t="n">
        <x:v>26587.89</x:v>
      </x:c>
      <x:c r="T13" s="30" t="n">
        <x:v>14771.05</x:v>
      </x:c>
      <x:c r="U13" s="46" t="n">
        <x:f>P13-SUM(Q13:T13)</x:f>
        <x:v>1492813.48</x:v>
      </x:c>
      <x:c r="V13" s="48" t="n">
        <x:f>IFERROR(U13/F13,0)</x:f>
        <x:v>0.5053173200280278</x:v>
      </x:c>
      <x:c r="W13" s="32" t="n">
        <x:v>39552</x:v>
      </x:c>
      <x:c r="X13" s="32" t="n">
        <x:v>47900.6</x:v>
      </x:c>
      <x:c r="Y13" s="30" t="n">
        <x:v>9.23</x:v>
      </x:c>
      <x:c r="Z13" s="32" t="n">
        <x:v>19451.48</x:v>
      </x:c>
      <x:c r="AA13" s="32" t="n">
        <x:v>35</x:v>
      </x:c>
      <x:c r="AB13" s="32" t="n">
        <x:v>33</x:v>
      </x:c>
      <x:c r="AC13" s="32" t="n">
        <x:v>32</x:v>
      </x:c>
    </x:row>
    <x:row r="14">
      <x:c r="A14" s="34" t="n">
        <x:v>45413</x:v>
      </x:c>
      <x:c r="B14" s="28" t="str">
        <x:v>Grupo Industrial S.A.</x:v>
      </x:c>
      <x:c r="C14" s="28" t="str">
        <x:v>Planta São Paulo</x:v>
      </x:c>
      <x:c r="D14" s="30" t="n">
        <x:v>3467668.09</x:v>
      </x:c>
      <x:c r="E14" s="30" t="n">
        <x:v>208060.09</x:v>
      </x:c>
      <x:c r="F14" s="30" t="n">
        <x:v>3259608</x:v>
      </x:c>
      <x:c r="G14" s="30" t="n">
        <x:v>484895.69</x:v>
      </x:c>
      <x:c r="H14" s="30" t="n">
        <x:v>277973.79</x:v>
      </x:c>
      <x:c r="I14" s="30" t="n">
        <x:v>211702.15</x:v>
      </x:c>
      <x:c r="J14" s="30" t="n">
        <x:v>14871.45</x:v>
      </x:c>
      <x:c r="K14" s="30" t="n">
        <x:v>55015.55</x:v>
      </x:c>
      <x:c r="L14" s="30" t="n">
        <x:v>39115.3</x:v>
      </x:c>
      <x:c r="M14" s="30" t="n">
        <x:v>26076.86</x:v>
      </x:c>
      <x:c r="N14" s="46" t="n">
        <x:f>F14-SUM(G14:M14)</x:f>
        <x:v>2149957.21</x:v>
      </x:c>
      <x:c r="O14" s="30" t="n">
        <x:v>113810.62</x:v>
      </x:c>
      <x:c r="P14" s="46" t="n">
        <x:f>N14-O14</x:f>
        <x:v>2036146.5899999999</x:v>
      </x:c>
      <x:c r="Q14" s="30" t="n">
        <x:v>68451.77</x:v>
      </x:c>
      <x:c r="R14" s="30" t="n">
        <x:v>52153.73</x:v>
      </x:c>
      <x:c r="S14" s="30" t="n">
        <x:v>29336.47</x:v>
      </x:c>
      <x:c r="T14" s="30" t="n">
        <x:v>16298.04</x:v>
      </x:c>
      <x:c r="U14" s="46" t="n">
        <x:f>P14-SUM(Q14:T14)</x:f>
        <x:v>1869906.5799999998</x:v>
      </x:c>
      <x:c r="V14" s="48" t="n">
        <x:f>IFERROR(U14/F14,0)</x:f>
        <x:v>0.5736599554302234</x:v>
      </x:c>
      <x:c r="W14" s="32" t="n">
        <x:v>44853</x:v>
      </x:c>
      <x:c r="X14" s="32" t="n">
        <x:v>52515.1</x:v>
      </x:c>
      <x:c r="Y14" s="30" t="n">
        <x:v>9.23</x:v>
      </x:c>
      <x:c r="Z14" s="32" t="n">
        <x:v>18135.91</x:v>
      </x:c>
      <x:c r="AA14" s="32" t="n">
        <x:v>32</x:v>
      </x:c>
      <x:c r="AB14" s="32" t="n">
        <x:v>35</x:v>
      </x:c>
      <x:c r="AC14" s="32" t="n">
        <x:v>31</x:v>
      </x:c>
    </x:row>
    <x:row r="15">
      <x:c r="A15" s="34" t="n">
        <x:v>45413</x:v>
      </x:c>
      <x:c r="B15" s="28" t="str">
        <x:v>Grupo Industrial S.A.</x:v>
      </x:c>
      <x:c r="C15" s="28" t="str">
        <x:v>Planta Campinas</x:v>
      </x:c>
      <x:c r="D15" s="30" t="n">
        <x:v>2517489.36</x:v>
      </x:c>
      <x:c r="E15" s="30" t="n">
        <x:v>151049.36</x:v>
      </x:c>
      <x:c r="F15" s="30" t="n">
        <x:v>2366440</x:v>
      </x:c>
      <x:c r="G15" s="30" t="n">
        <x:v>363213.47</x:v>
      </x:c>
      <x:c r="H15" s="30" t="n">
        <x:v>294586.65</x:v>
      </x:c>
      <x:c r="I15" s="30" t="n">
        <x:v>233644.83</x:v>
      </x:c>
      <x:c r="J15" s="30" t="n">
        <x:v>13580.88</x:v>
      </x:c>
      <x:c r="K15" s="30" t="n">
        <x:v>101524.17</x:v>
      </x:c>
      <x:c r="L15" s="30" t="n">
        <x:v>28397.28</x:v>
      </x:c>
      <x:c r="M15" s="30" t="n">
        <x:v>18931.52</x:v>
      </x:c>
      <x:c r="N15" s="46" t="n">
        <x:f>F15-SUM(G15:M15)</x:f>
        <x:v>1312561.2</x:v>
      </x:c>
      <x:c r="O15" s="30" t="n">
        <x:v>95187.07</x:v>
      </x:c>
      <x:c r="P15" s="46" t="n">
        <x:f>N15-O15</x:f>
        <x:v>1217374.13</x:v>
      </x:c>
      <x:c r="Q15" s="30" t="n">
        <x:v>49695.24</x:v>
      </x:c>
      <x:c r="R15" s="30" t="n">
        <x:v>37863.04</x:v>
      </x:c>
      <x:c r="S15" s="30" t="n">
        <x:v>21297.96</x:v>
      </x:c>
      <x:c r="T15" s="30" t="n">
        <x:v>11832.2</x:v>
      </x:c>
      <x:c r="U15" s="46" t="n">
        <x:f>P15-SUM(Q15:T15)</x:f>
        <x:v>1096685.69</x:v>
      </x:c>
      <x:c r="V15" s="48" t="n">
        <x:f>IFERROR(U15/F15,0)</x:f>
        <x:v>0.46343270482243365</x:v>
      </x:c>
      <x:c r="W15" s="32" t="n">
        <x:v>31255</x:v>
      </x:c>
      <x:c r="X15" s="32" t="n">
        <x:v>38190.96</x:v>
      </x:c>
      <x:c r="Y15" s="30" t="n">
        <x:v>9.51</x:v>
      </x:c>
      <x:c r="Z15" s="32" t="n">
        <x:v>16562.04</x:v>
      </x:c>
      <x:c r="AA15" s="32" t="n">
        <x:v>38</x:v>
      </x:c>
      <x:c r="AB15" s="32" t="n">
        <x:v>30</x:v>
      </x:c>
      <x:c r="AC15" s="32" t="n">
        <x:v>35</x:v>
      </x:c>
    </x:row>
    <x:row r="16">
      <x:c r="A16" s="34" t="n">
        <x:v>45413</x:v>
      </x:c>
      <x:c r="B16" s="28" t="str">
        <x:v>Grupo Industrial S.A.</x:v>
      </x:c>
      <x:c r="C16" s="28" t="str">
        <x:v>Planta Curitiba</x:v>
      </x:c>
      <x:c r="D16" s="30" t="n">
        <x:v>2610046.81</x:v>
      </x:c>
      <x:c r="E16" s="30" t="n">
        <x:v>156602.81</x:v>
      </x:c>
      <x:c r="F16" s="30" t="n">
        <x:v>2453444</x:v>
      </x:c>
      <x:c r="G16" s="30" t="n">
        <x:v>366057.62</x:v>
      </x:c>
      <x:c r="H16" s="30" t="n">
        <x:v>311869.61</x:v>
      </x:c>
      <x:c r="I16" s="30" t="n">
        <x:v>199677.57</x:v>
      </x:c>
      <x:c r="J16" s="30" t="n">
        <x:v>12983.57</x:v>
      </x:c>
      <x:c r="K16" s="30" t="n">
        <x:v>69199.29</x:v>
      </x:c>
      <x:c r="L16" s="30" t="n">
        <x:v>29441.33</x:v>
      </x:c>
      <x:c r="M16" s="30" t="n">
        <x:v>19627.55</x:v>
      </x:c>
      <x:c r="N16" s="46" t="n">
        <x:f>F16-SUM(G16:M16)</x:f>
        <x:v>1444587.46</x:v>
      </x:c>
      <x:c r="O16" s="30" t="n">
        <x:v>95187.07</x:v>
      </x:c>
      <x:c r="P16" s="46" t="n">
        <x:f>N16-O16</x:f>
        <x:v>1349400.39</x:v>
      </x:c>
      <x:c r="Q16" s="30" t="n">
        <x:v>51522.32</x:v>
      </x:c>
      <x:c r="R16" s="30" t="n">
        <x:v>39255.1</x:v>
      </x:c>
      <x:c r="S16" s="30" t="n">
        <x:v>22081</x:v>
      </x:c>
      <x:c r="T16" s="30" t="n">
        <x:v>12267.22</x:v>
      </x:c>
      <x:c r="U16" s="46" t="n">
        <x:f>P16-SUM(Q16:T16)</x:f>
        <x:v>1224274.75</x:v>
      </x:c>
      <x:c r="V16" s="48" t="n">
        <x:f>IFERROR(U16/F16,0)</x:f>
        <x:v>0.49900252461437883</x:v>
      </x:c>
      <x:c r="W16" s="32" t="n">
        <x:v>32838</x:v>
      </x:c>
      <x:c r="X16" s="32" t="n">
        <x:v>39644.7</x:v>
      </x:c>
      <x:c r="Y16" s="30" t="n">
        <x:v>9.23</x:v>
      </x:c>
      <x:c r="Z16" s="32" t="n">
        <x:v>15833.62</x:v>
      </x:c>
      <x:c r="AA16" s="32" t="n">
        <x:v>35</x:v>
      </x:c>
      <x:c r="AB16" s="32" t="n">
        <x:v>33</x:v>
      </x:c>
      <x:c r="AC16" s="32" t="n">
        <x:v>32</x:v>
      </x:c>
    </x:row>
    <x:row r="17">
      <x:c r="A17" s="34" t="n">
        <x:v>45444</x:v>
      </x:c>
      <x:c r="B17" s="28" t="str">
        <x:v>Grupo Industrial S.A.</x:v>
      </x:c>
      <x:c r="C17" s="28" t="str">
        <x:v>Planta São Paulo</x:v>
      </x:c>
      <x:c r="D17" s="30" t="n">
        <x:v>3436748.94</x:v>
      </x:c>
      <x:c r="E17" s="30" t="n">
        <x:v>206204.94</x:v>
      </x:c>
      <x:c r="F17" s="30" t="n">
        <x:v>3230544</x:v>
      </x:c>
      <x:c r="G17" s="30" t="n">
        <x:v>478744.16</x:v>
      </x:c>
      <x:c r="H17" s="30" t="n">
        <x:v>277201</x:v>
      </x:c>
      <x:c r="I17" s="30" t="n">
        <x:v>178281.58</x:v>
      </x:c>
      <x:c r="J17" s="30" t="n">
        <x:v>15064.97</x:v>
      </x:c>
      <x:c r="K17" s="30" t="n">
        <x:v>58171.31</x:v>
      </x:c>
      <x:c r="L17" s="30" t="n">
        <x:v>38766.53</x:v>
      </x:c>
      <x:c r="M17" s="30" t="n">
        <x:v>25844.35</x:v>
      </x:c>
      <x:c r="N17" s="46" t="n">
        <x:f>F17-SUM(G17:M17)</x:f>
        <x:v>2158470.1</x:v>
      </x:c>
      <x:c r="O17" s="30" t="n">
        <x:v>113810.62</x:v>
      </x:c>
      <x:c r="P17" s="46" t="n">
        <x:f>N17-O17</x:f>
        <x:v>2044659.48</x:v>
      </x:c>
      <x:c r="Q17" s="30" t="n">
        <x:v>67841.42</x:v>
      </x:c>
      <x:c r="R17" s="30" t="n">
        <x:v>51688.7</x:v>
      </x:c>
      <x:c r="S17" s="30" t="n">
        <x:v>29074.9</x:v>
      </x:c>
      <x:c r="T17" s="30" t="n">
        <x:v>16152.72</x:v>
      </x:c>
      <x:c r="U17" s="46" t="n">
        <x:f>P17-SUM(Q17:T17)</x:f>
        <x:v>1879901.74</x:v>
      </x:c>
      <x:c r="V17" s="48" t="n">
        <x:f>IFERROR(U17/F17,0)</x:f>
        <x:v>0.581914915877945</x:v>
      </x:c>
      <x:c r="W17" s="32" t="n">
        <x:v>44323</x:v>
      </x:c>
      <x:c r="X17" s="32" t="n">
        <x:v>51801.94</x:v>
      </x:c>
      <x:c r="Y17" s="30" t="n">
        <x:v>9.24</x:v>
      </x:c>
      <x:c r="Z17" s="32" t="n">
        <x:v>18371.92</x:v>
      </x:c>
      <x:c r="AA17" s="32" t="n">
        <x:v>32</x:v>
      </x:c>
      <x:c r="AB17" s="32" t="n">
        <x:v>35</x:v>
      </x:c>
      <x:c r="AC17" s="32" t="n">
        <x:v>31</x:v>
      </x:c>
    </x:row>
    <x:row r="18">
      <x:c r="A18" s="34" t="n">
        <x:v>45444</x:v>
      </x:c>
      <x:c r="B18" s="28" t="str">
        <x:v>Grupo Industrial S.A.</x:v>
      </x:c>
      <x:c r="C18" s="28" t="str">
        <x:v>Planta Campinas</x:v>
      </x:c>
      <x:c r="D18" s="30" t="n">
        <x:v>2409718.09</x:v>
      </x:c>
      <x:c r="E18" s="30" t="n">
        <x:v>144583.09</x:v>
      </x:c>
      <x:c r="F18" s="30" t="n">
        <x:v>2265135</x:v>
      </x:c>
      <x:c r="G18" s="30" t="n">
        <x:v>351069.24</x:v>
      </x:c>
      <x:c r="H18" s="30" t="n">
        <x:v>291939.42</x:v>
      </x:c>
      <x:c r="I18" s="30" t="n">
        <x:v>232072.81</x:v>
      </x:c>
      <x:c r="J18" s="30" t="n">
        <x:v>13028.25</x:v>
      </x:c>
      <x:c r="K18" s="30" t="n">
        <x:v>103847.36</x:v>
      </x:c>
      <x:c r="L18" s="30" t="n">
        <x:v>27181.62</x:v>
      </x:c>
      <x:c r="M18" s="30" t="n">
        <x:v>18121.08</x:v>
      </x:c>
      <x:c r="N18" s="46" t="n">
        <x:f>F18-SUM(G18:M18)</x:f>
        <x:v>1227875.2200000002</x:v>
      </x:c>
      <x:c r="O18" s="30" t="n">
        <x:v>95187.07</x:v>
      </x:c>
      <x:c r="P18" s="46" t="n">
        <x:f>N18-O18</x:f>
        <x:v>1132688.1500000001</x:v>
      </x:c>
      <x:c r="Q18" s="30" t="n">
        <x:v>47567.84</x:v>
      </x:c>
      <x:c r="R18" s="30" t="n">
        <x:v>36242.16</x:v>
      </x:c>
      <x:c r="S18" s="30" t="n">
        <x:v>20386.22</x:v>
      </x:c>
      <x:c r="T18" s="30" t="n">
        <x:v>11325.68</x:v>
      </x:c>
      <x:c r="U18" s="46" t="n">
        <x:f>P18-SUM(Q18:T18)</x:f>
        <x:v>1017166.2500000001</x:v>
      </x:c>
      <x:c r="V18" s="48" t="n">
        <x:f>IFERROR(U18/F18,0)</x:f>
        <x:v>0.4490532573113744</x:v>
      </x:c>
      <x:c r="W18" s="32" t="n">
        <x:v>30008</x:v>
      </x:c>
      <x:c r="X18" s="32" t="n">
        <x:v>36880.61</x:v>
      </x:c>
      <x:c r="Y18" s="30" t="n">
        <x:v>9.52</x:v>
      </x:c>
      <x:c r="Z18" s="32" t="n">
        <x:v>15888.11</x:v>
      </x:c>
      <x:c r="AA18" s="32" t="n">
        <x:v>38</x:v>
      </x:c>
      <x:c r="AB18" s="32" t="n">
        <x:v>30</x:v>
      </x:c>
      <x:c r="AC18" s="32" t="n">
        <x:v>35</x:v>
      </x:c>
    </x:row>
    <x:row r="19">
      <x:c r="A19" s="34" t="n">
        <x:v>45444</x:v>
      </x:c>
      <x:c r="B19" s="28" t="str">
        <x:v>Grupo Industrial S.A.</x:v>
      </x:c>
      <x:c r="C19" s="28" t="str">
        <x:v>Planta Curitiba</x:v>
      </x:c>
      <x:c r="D19" s="30" t="n">
        <x:v>2567793.62</x:v>
      </x:c>
      <x:c r="E19" s="30" t="n">
        <x:v>154067.62</x:v>
      </x:c>
      <x:c r="F19" s="30" t="n">
        <x:v>2413726</x:v>
      </x:c>
      <x:c r="G19" s="30" t="n">
        <x:v>359745.85</x:v>
      </x:c>
      <x:c r="H19" s="30" t="n">
        <x:v>312991.51</x:v>
      </x:c>
      <x:c r="I19" s="30" t="n">
        <x:v>193341.6</x:v>
      </x:c>
      <x:c r="J19" s="30" t="n">
        <x:v>12931.94</x:v>
      </x:c>
      <x:c r="K19" s="30" t="n">
        <x:v>67153</x:v>
      </x:c>
      <x:c r="L19" s="30" t="n">
        <x:v>28964.71</x:v>
      </x:c>
      <x:c r="M19" s="30" t="n">
        <x:v>19309.81</x:v>
      </x:c>
      <x:c r="N19" s="46" t="n">
        <x:f>F19-SUM(G19:M19)</x:f>
        <x:v>1419287.58</x:v>
      </x:c>
      <x:c r="O19" s="30" t="n">
        <x:v>95187.07</x:v>
      </x:c>
      <x:c r="P19" s="46" t="n">
        <x:f>N19-O19</x:f>
        <x:v>1324100.51</x:v>
      </x:c>
      <x:c r="Q19" s="30" t="n">
        <x:v>50688.25</x:v>
      </x:c>
      <x:c r="R19" s="30" t="n">
        <x:v>38619.62</x:v>
      </x:c>
      <x:c r="S19" s="30" t="n">
        <x:v>21723.53</x:v>
      </x:c>
      <x:c r="T19" s="30" t="n">
        <x:v>12068.63</x:v>
      </x:c>
      <x:c r="U19" s="46" t="n">
        <x:f>P19-SUM(Q19:T19)</x:f>
        <x:v>1201000.48</x:v>
      </x:c>
      <x:c r="V19" s="48" t="n">
        <x:f>IFERROR(U19/F19,0)</x:f>
        <x:v>0.4975711741929283</x:v>
      </x:c>
      <x:c r="W19" s="32" t="n">
        <x:v>32275</x:v>
      </x:c>
      <x:c r="X19" s="32" t="n">
        <x:v>38925.87</x:v>
      </x:c>
      <x:c r="Y19" s="30" t="n">
        <x:v>9.24</x:v>
      </x:c>
      <x:c r="Z19" s="32" t="n">
        <x:v>15770.65</x:v>
      </x:c>
      <x:c r="AA19" s="32" t="n">
        <x:v>35</x:v>
      </x:c>
      <x:c r="AB19" s="32" t="n">
        <x:v>33</x:v>
      </x:c>
      <x:c r="AC19" s="32" t="n">
        <x:v>32</x:v>
      </x:c>
    </x:row>
    <x:row r="20">
      <x:c r="A20" s="34" t="n">
        <x:v>45474</x:v>
      </x:c>
      <x:c r="B20" s="28" t="str">
        <x:v>Grupo Industrial S.A.</x:v>
      </x:c>
      <x:c r="C20" s="28" t="str">
        <x:v>Planta São Paulo</x:v>
      </x:c>
      <x:c r="D20" s="30" t="n">
        <x:v>4151234.04</x:v>
      </x:c>
      <x:c r="E20" s="30" t="n">
        <x:v>249074.04</x:v>
      </x:c>
      <x:c r="F20" s="30" t="n">
        <x:v>3902160</x:v>
      </x:c>
      <x:c r="G20" s="30" t="n">
        <x:v>575947.5</x:v>
      </x:c>
      <x:c r="H20" s="30" t="n">
        <x:v>343935.32</x:v>
      </x:c>
      <x:c r="I20" s="30" t="n">
        <x:v>207491.33</x:v>
      </x:c>
      <x:c r="J20" s="30" t="n">
        <x:v>18087.08</x:v>
      </x:c>
      <x:c r="K20" s="30" t="n">
        <x:v>72577.85</x:v>
      </x:c>
      <x:c r="L20" s="30" t="n">
        <x:v>46825.92</x:v>
      </x:c>
      <x:c r="M20" s="30" t="n">
        <x:v>31217.28</x:v>
      </x:c>
      <x:c r="N20" s="46" t="n">
        <x:f>F20-SUM(G20:M20)</x:f>
        <x:v>2606077.7199999997</x:v>
      </x:c>
      <x:c r="O20" s="30" t="n">
        <x:v>142263.28</x:v>
      </x:c>
      <x:c r="P20" s="46" t="n">
        <x:f>N20-O20</x:f>
        <x:v>2463814.44</x:v>
      </x:c>
      <x:c r="Q20" s="30" t="n">
        <x:v>81945.36</x:v>
      </x:c>
      <x:c r="R20" s="30" t="n">
        <x:v>62434.56</x:v>
      </x:c>
      <x:c r="S20" s="30" t="n">
        <x:v>35119.44</x:v>
      </x:c>
      <x:c r="T20" s="30" t="n">
        <x:v>19510.8</x:v>
      </x:c>
      <x:c r="U20" s="46" t="n">
        <x:f>P20-SUM(Q20:T20)</x:f>
        <x:v>2264804.28</x:v>
      </x:c>
      <x:c r="V20" s="48" t="n">
        <x:f>IFERROR(U20/F20,0)</x:f>
        <x:v>0.5803975951780552</x:v>
      </x:c>
      <x:c r="W20" s="32" t="n">
        <x:v>53606</x:v>
      </x:c>
      <x:c r="X20" s="32" t="n">
        <x:v>62263.38</x:v>
      </x:c>
      <x:c r="Y20" s="30" t="n">
        <x:v>9.25</x:v>
      </x:c>
      <x:c r="Z20" s="32" t="n">
        <x:v>22057.41</x:v>
      </x:c>
      <x:c r="AA20" s="32" t="n">
        <x:v>32</x:v>
      </x:c>
      <x:c r="AB20" s="32" t="n">
        <x:v>35</x:v>
      </x:c>
      <x:c r="AC20" s="32" t="n">
        <x:v>31</x:v>
      </x:c>
    </x:row>
    <x:row r="21">
      <x:c r="A21" s="34" t="n">
        <x:v>45474</x:v>
      </x:c>
      <x:c r="B21" s="28" t="str">
        <x:v>Grupo Industrial S.A.</x:v>
      </x:c>
      <x:c r="C21" s="28" t="str">
        <x:v>Planta Campinas</x:v>
      </x:c>
      <x:c r="D21" s="30" t="n">
        <x:v>2950970.21</x:v>
      </x:c>
      <x:c r="E21" s="30" t="n">
        <x:v>177058.21</x:v>
      </x:c>
      <x:c r="F21" s="30" t="n">
        <x:v>2773912</x:v>
      </x:c>
      <x:c r="G21" s="30" t="n">
        <x:v>426513.14</x:v>
      </x:c>
      <x:c r="H21" s="30" t="n">
        <x:v>364498.49</x:v>
      </x:c>
      <x:c r="I21" s="30" t="n">
        <x:v>210422.06</x:v>
      </x:c>
      <x:c r="J21" s="30" t="n">
        <x:v>15789.86</x:v>
      </x:c>
      <x:c r="K21" s="30" t="n">
        <x:v>130523.66</x:v>
      </x:c>
      <x:c r="L21" s="30" t="n">
        <x:v>33286.94</x:v>
      </x:c>
      <x:c r="M21" s="30" t="n">
        <x:v>22191.3</x:v>
      </x:c>
      <x:c r="N21" s="46" t="n">
        <x:f>F21-SUM(G21:M21)</x:f>
        <x:v>1570686.55</x:v>
      </x:c>
      <x:c r="O21" s="30" t="n">
        <x:v>118983.83</x:v>
      </x:c>
      <x:c r="P21" s="46" t="n">
        <x:f>N21-O21</x:f>
        <x:v>1451702.72</x:v>
      </x:c>
      <x:c r="Q21" s="30" t="n">
        <x:v>58252.15</x:v>
      </x:c>
      <x:c r="R21" s="30" t="n">
        <x:v>44382.59</x:v>
      </x:c>
      <x:c r="S21" s="30" t="n">
        <x:v>24965.21</x:v>
      </x:c>
      <x:c r="T21" s="30" t="n">
        <x:v>13869.56</x:v>
      </x:c>
      <x:c r="U21" s="46" t="n">
        <x:f>P21-SUM(Q21:T21)</x:f>
        <x:v>1310233.21</x:v>
      </x:c>
      <x:c r="V21" s="48" t="n">
        <x:f>IFERROR(U21/F21,0)</x:f>
        <x:v>0.47234130354531795</x:v>
      </x:c>
      <x:c r="W21" s="32" t="n">
        <x:v>36643</x:v>
      </x:c>
      <x:c r="X21" s="32" t="n">
        <x:v>44765.64</x:v>
      </x:c>
      <x:c r="Y21" s="30" t="n">
        <x:v>9.53</x:v>
      </x:c>
      <x:c r="Z21" s="32" t="n">
        <x:v>19255.92</x:v>
      </x:c>
      <x:c r="AA21" s="32" t="n">
        <x:v>38</x:v>
      </x:c>
      <x:c r="AB21" s="32" t="n">
        <x:v>30</x:v>
      </x:c>
      <x:c r="AC21" s="32" t="n">
        <x:v>35</x:v>
      </x:c>
    </x:row>
    <x:row r="22">
      <x:c r="A22" s="34" t="n">
        <x:v>45474</x:v>
      </x:c>
      <x:c r="B22" s="28" t="str">
        <x:v>Grupo Industrial S.A.</x:v>
      </x:c>
      <x:c r="C22" s="28" t="str">
        <x:v>Planta Curitiba</x:v>
      </x:c>
      <x:c r="D22" s="30" t="n">
        <x:v>3059819.15</x:v>
      </x:c>
      <x:c r="E22" s="30" t="n">
        <x:v>183589.15</x:v>
      </x:c>
      <x:c r="F22" s="30" t="n">
        <x:v>2876230</x:v>
      </x:c>
      <x:c r="G22" s="30" t="n">
        <x:v>427742.63</x:v>
      </x:c>
      <x:c r="H22" s="30" t="n">
        <x:v>388854.64</x:v>
      </x:c>
      <x:c r="I22" s="30" t="n">
        <x:v>177965.36</x:v>
      </x:c>
      <x:c r="J22" s="30" t="n">
        <x:v>15404.44</x:v>
      </x:c>
      <x:c r="K22" s="30" t="n">
        <x:v>87947.05</x:v>
      </x:c>
      <x:c r="L22" s="30" t="n">
        <x:v>34514.76</x:v>
      </x:c>
      <x:c r="M22" s="30" t="n">
        <x:v>23009.84</x:v>
      </x:c>
      <x:c r="N22" s="46" t="n">
        <x:f>F22-SUM(G22:M22)</x:f>
        <x:v>1720791.28</x:v>
      </x:c>
      <x:c r="O22" s="30" t="n">
        <x:v>118983.83</x:v>
      </x:c>
      <x:c r="P22" s="46" t="n">
        <x:f>N22-O22</x:f>
        <x:v>1601807.45</x:v>
      </x:c>
      <x:c r="Q22" s="30" t="n">
        <x:v>60400.83</x:v>
      </x:c>
      <x:c r="R22" s="30" t="n">
        <x:v>46019.68</x:v>
      </x:c>
      <x:c r="S22" s="30" t="n">
        <x:v>25886.07</x:v>
      </x:c>
      <x:c r="T22" s="30" t="n">
        <x:v>14381.15</x:v>
      </x:c>
      <x:c r="U22" s="46" t="n">
        <x:f>P22-SUM(Q22:T22)</x:f>
        <x:v>1455119.72</x:v>
      </x:c>
      <x:c r="V22" s="48" t="n">
        <x:f>IFERROR(U22/F22,0)</x:f>
        <x:v>0.5059121558428915</x:v>
      </x:c>
      <x:c r="W22" s="32" t="n">
        <x:v>38324</x:v>
      </x:c>
      <x:c r="X22" s="32" t="n">
        <x:v>46241.54</x:v>
      </x:c>
      <x:c r="Y22" s="30" t="n">
        <x:v>9.25</x:v>
      </x:c>
      <x:c r="Z22" s="32" t="n">
        <x:v>18785.9</x:v>
      </x:c>
      <x:c r="AA22" s="32" t="n">
        <x:v>35</x:v>
      </x:c>
      <x:c r="AB22" s="32" t="n">
        <x:v>33</x:v>
      </x:c>
      <x:c r="AC22" s="32" t="n">
        <x:v>32</x:v>
      </x:c>
    </x:row>
    <x:row r="23">
      <x:c r="A23" s="34" t="n">
        <x:v>45505</x:v>
      </x:c>
      <x:c r="B23" s="28" t="str">
        <x:v>Grupo Industrial S.A.</x:v>
      </x:c>
      <x:c r="C23" s="28" t="str">
        <x:v>Planta São Paulo</x:v>
      </x:c>
      <x:c r="D23" s="30" t="n">
        <x:v>3347080.85</x:v>
      </x:c>
      <x:c r="E23" s="30" t="n">
        <x:v>200824.85</x:v>
      </x:c>
      <x:c r="F23" s="30" t="n">
        <x:v>3146256</x:v>
      </x:c>
      <x:c r="G23" s="30" t="n">
        <x:v>470796.18</x:v>
      </x:c>
      <x:c r="H23" s="30" t="n">
        <x:v>277907.17</x:v>
      </x:c>
      <x:c r="I23" s="30" t="n">
        <x:v>157000.35</x:v>
      </x:c>
      <x:c r="J23" s="30" t="n">
        <x:v>14761.79</x:v>
      </x:c>
      <x:c r="K23" s="30" t="n">
        <x:v>58410.95</x:v>
      </x:c>
      <x:c r="L23" s="30" t="n">
        <x:v>37755.07</x:v>
      </x:c>
      <x:c r="M23" s="30" t="n">
        <x:v>25170.05</x:v>
      </x:c>
      <x:c r="N23" s="46" t="n">
        <x:f>F23-SUM(G23:M23)</x:f>
        <x:v>2104454.44</x:v>
      </x:c>
      <x:c r="O23" s="30" t="n">
        <x:v>113810.62</x:v>
      </x:c>
      <x:c r="P23" s="46" t="n">
        <x:f>N23-O23</x:f>
        <x:v>1990643.8199999998</x:v>
      </x:c>
      <x:c r="Q23" s="30" t="n">
        <x:v>66071.38</x:v>
      </x:c>
      <x:c r="R23" s="30" t="n">
        <x:v>50340.1</x:v>
      </x:c>
      <x:c r="S23" s="30" t="n">
        <x:v>28316.3</x:v>
      </x:c>
      <x:c r="T23" s="30" t="n">
        <x:v>15731.28</x:v>
      </x:c>
      <x:c r="U23" s="46" t="n">
        <x:f>P23-SUM(Q23:T23)</x:f>
        <x:v>1830184.7599999998</x:v>
      </x:c>
      <x:c r="V23" s="48" t="n">
        <x:f>IFERROR(U23/F23,0)</x:f>
        <x:v>0.581702429808636</x:v>
      </x:c>
      <x:c r="W23" s="32" t="n">
        <x:v>43377</x:v>
      </x:c>
      <x:c r="X23" s="32" t="n">
        <x:v>50849.92</x:v>
      </x:c>
      <x:c r="Y23" s="30" t="n">
        <x:v>9.26</x:v>
      </x:c>
      <x:c r="Z23" s="32" t="n">
        <x:v>18002.17</x:v>
      </x:c>
      <x:c r="AA23" s="32" t="n">
        <x:v>32</x:v>
      </x:c>
      <x:c r="AB23" s="32" t="n">
        <x:v>35</x:v>
      </x:c>
      <x:c r="AC23" s="32" t="n">
        <x:v>31</x:v>
      </x:c>
    </x:row>
    <x:row r="24">
      <x:c r="A24" s="34" t="n">
        <x:v>45505</x:v>
      </x:c>
      <x:c r="B24" s="28" t="str">
        <x:v>Grupo Industrial S.A.</x:v>
      </x:c>
      <x:c r="C24" s="28" t="str">
        <x:v>Planta Campinas</x:v>
      </x:c>
      <x:c r="D24" s="30" t="n">
        <x:v>2454685.11</x:v>
      </x:c>
      <x:c r="E24" s="30" t="n">
        <x:v>147281.11</x:v>
      </x:c>
      <x:c r="F24" s="30" t="n">
        <x:v>2307404</x:v>
      </x:c>
      <x:c r="G24" s="30" t="n">
        <x:v>353660.55</x:v>
      </x:c>
      <x:c r="H24" s="30" t="n">
        <x:v>292439.01</x:v>
      </x:c>
      <x:c r="I24" s="30" t="n">
        <x:v>234714.15</x:v>
      </x:c>
      <x:c r="J24" s="30" t="n">
        <x:v>13153.92</x:v>
      </x:c>
      <x:c r="K24" s="30" t="n">
        <x:v>104288.06</x:v>
      </x:c>
      <x:c r="L24" s="30" t="n">
        <x:v>27688.85</x:v>
      </x:c>
      <x:c r="M24" s="30" t="n">
        <x:v>18459.23</x:v>
      </x:c>
      <x:c r="N24" s="46" t="n">
        <x:f>F24-SUM(G24:M24)</x:f>
        <x:v>1263000.23</x:v>
      </x:c>
      <x:c r="O24" s="30" t="n">
        <x:v>95187.07</x:v>
      </x:c>
      <x:c r="P24" s="46" t="n">
        <x:f>N24-O24</x:f>
        <x:v>1167813.16</x:v>
      </x:c>
      <x:c r="Q24" s="30" t="n">
        <x:v>48455.48</x:v>
      </x:c>
      <x:c r="R24" s="30" t="n">
        <x:v>36918.46</x:v>
      </x:c>
      <x:c r="S24" s="30" t="n">
        <x:v>20766.64</x:v>
      </x:c>
      <x:c r="T24" s="30" t="n">
        <x:v>11537.02</x:v>
      </x:c>
      <x:c r="U24" s="46" t="n">
        <x:f>P24-SUM(Q24:T24)</x:f>
        <x:v>1050135.5599999998</x:v>
      </x:c>
      <x:c r="V24" s="48" t="n">
        <x:f>IFERROR(U24/F24,0)</x:f>
        <x:v>0.4551156017758485</x:v>
      </x:c>
      <x:c r="W24" s="32" t="n">
        <x:v>30450</x:v>
      </x:c>
      <x:c r="X24" s="32" t="n">
        <x:v>37085.72</x:v>
      </x:c>
      <x:c r="Y24" s="30" t="n">
        <x:v>9.54</x:v>
      </x:c>
      <x:c r="Z24" s="32" t="n">
        <x:v>16041.36</x:v>
      </x:c>
      <x:c r="AA24" s="32" t="n">
        <x:v>38</x:v>
      </x:c>
      <x:c r="AB24" s="32" t="n">
        <x:v>30</x:v>
      </x:c>
      <x:c r="AC24" s="32" t="n">
        <x:v>35</x:v>
      </x:c>
    </x:row>
    <x:row r="25">
      <x:c r="A25" s="34" t="n">
        <x:v>45505</x:v>
      </x:c>
      <x:c r="B25" s="28" t="str">
        <x:v>Grupo Industrial S.A.</x:v>
      </x:c>
      <x:c r="C25" s="28" t="str">
        <x:v>Planta Curitiba</x:v>
      </x:c>
      <x:c r="D25" s="30" t="n">
        <x:v>2566900</x:v>
      </x:c>
      <x:c r="E25" s="30" t="n">
        <x:v>154014</x:v>
      </x:c>
      <x:c r="F25" s="30" t="n">
        <x:v>2412886</x:v>
      </x:c>
      <x:c r="G25" s="30" t="n">
        <x:v>361990.96</x:v>
      </x:c>
      <x:c r="H25" s="30" t="n">
        <x:v>310506.53</x:v>
      </x:c>
      <x:c r="I25" s="30" t="n">
        <x:v>199066.67</x:v>
      </x:c>
      <x:c r="J25" s="30" t="n">
        <x:v>12928.64</x:v>
      </x:c>
      <x:c r="K25" s="30" t="n">
        <x:v>73188.78</x:v>
      </x:c>
      <x:c r="L25" s="30" t="n">
        <x:v>28954.63</x:v>
      </x:c>
      <x:c r="M25" s="30" t="n">
        <x:v>19303.09</x:v>
      </x:c>
      <x:c r="N25" s="46" t="n">
        <x:f>F25-SUM(G25:M25)</x:f>
        <x:v>1406946.7</x:v>
      </x:c>
      <x:c r="O25" s="30" t="n">
        <x:v>95187.07</x:v>
      </x:c>
      <x:c r="P25" s="46" t="n">
        <x:f>N25-O25</x:f>
        <x:v>1311759.63</x:v>
      </x:c>
      <x:c r="Q25" s="30" t="n">
        <x:v>50670.61</x:v>
      </x:c>
      <x:c r="R25" s="30" t="n">
        <x:v>38606.18</x:v>
      </x:c>
      <x:c r="S25" s="30" t="n">
        <x:v>21715.97</x:v>
      </x:c>
      <x:c r="T25" s="30" t="n">
        <x:v>12064.43</x:v>
      </x:c>
      <x:c r="U25" s="46" t="n">
        <x:f>P25-SUM(Q25:T25)</x:f>
        <x:v>1188702.44</x:v>
      </x:c>
      <x:c r="V25" s="48" t="n">
        <x:f>IFERROR(U25/F25,0)</x:f>
        <x:v>0.49264757638777795</x:v>
      </x:c>
      <x:c r="W25" s="32" t="n">
        <x:v>32240</x:v>
      </x:c>
      <x:c r="X25" s="32" t="n">
        <x:v>39098.03</x:v>
      </x:c>
      <x:c r="Y25" s="30" t="n">
        <x:v>9.26</x:v>
      </x:c>
      <x:c r="Z25" s="32" t="n">
        <x:v>15766.64</x:v>
      </x:c>
      <x:c r="AA25" s="32" t="n">
        <x:v>35</x:v>
      </x:c>
      <x:c r="AB25" s="32" t="n">
        <x:v>33</x:v>
      </x:c>
      <x:c r="AC25" s="32" t="n">
        <x:v>32</x:v>
      </x:c>
    </x:row>
    <x:row r="26">
      <x:c r="A26" s="34" t="n">
        <x:v>45536</x:v>
      </x:c>
      <x:c r="B26" s="28" t="str">
        <x:v>Grupo Industrial S.A.</x:v>
      </x:c>
      <x:c r="C26" s="28" t="str">
        <x:v>Planta São Paulo</x:v>
      </x:c>
      <x:c r="D26" s="30" t="n">
        <x:v>4136476.6</x:v>
      </x:c>
      <x:c r="E26" s="30" t="n">
        <x:v>248188.6</x:v>
      </x:c>
      <x:c r="F26" s="30" t="n">
        <x:v>3888288</x:v>
      </x:c>
      <x:c r="G26" s="30" t="n">
        <x:v>572638.62</x:v>
      </x:c>
      <x:c r="H26" s="30" t="n">
        <x:v>346993.91</x:v>
      </x:c>
      <x:c r="I26" s="30" t="n">
        <x:v>194628.65</x:v>
      </x:c>
      <x:c r="J26" s="30" t="n">
        <x:v>17819.94</x:v>
      </x:c>
      <x:c r="K26" s="30" t="n">
        <x:v>70150.4</x:v>
      </x:c>
      <x:c r="L26" s="30" t="n">
        <x:v>46659.46</x:v>
      </x:c>
      <x:c r="M26" s="30" t="n">
        <x:v>31106.3</x:v>
      </x:c>
      <x:c r="N26" s="46" t="n">
        <x:f>F26-SUM(G26:M26)</x:f>
        <x:v>2608290.72</x:v>
      </x:c>
      <x:c r="O26" s="30" t="n">
        <x:v>142263.28</x:v>
      </x:c>
      <x:c r="P26" s="46" t="n">
        <x:f>N26-O26</x:f>
        <x:v>2466027.4400000004</x:v>
      </x:c>
      <x:c r="Q26" s="30" t="n">
        <x:v>81654.05</x:v>
      </x:c>
      <x:c r="R26" s="30" t="n">
        <x:v>62212.61</x:v>
      </x:c>
      <x:c r="S26" s="30" t="n">
        <x:v>34994.59</x:v>
      </x:c>
      <x:c r="T26" s="30" t="n">
        <x:v>19441.44</x:v>
      </x:c>
      <x:c r="U26" s="46" t="n">
        <x:f>P26-SUM(Q26:T26)</x:f>
        <x:v>2267724.7500000005</x:v>
      </x:c>
      <x:c r="V26" s="48" t="n">
        <x:f>IFERROR(U26/F26,0)</x:f>
        <x:v>0.5832193371478657</x:v>
      </x:c>
      <x:c r="W26" s="32" t="n">
        <x:v>53272</x:v>
      </x:c>
      <x:c r="X26" s="32" t="n">
        <x:v>61793.91</x:v>
      </x:c>
      <x:c r="Y26" s="30" t="n">
        <x:v>9.27</x:v>
      </x:c>
      <x:c r="Z26" s="32" t="n">
        <x:v>21731.63</x:v>
      </x:c>
      <x:c r="AA26" s="32" t="n">
        <x:v>32</x:v>
      </x:c>
      <x:c r="AB26" s="32" t="n">
        <x:v>35</x:v>
      </x:c>
      <x:c r="AC26" s="32" t="n">
        <x:v>31</x:v>
      </x:c>
    </x:row>
    <x:row r="27">
      <x:c r="A27" s="34" t="n">
        <x:v>45536</x:v>
      </x:c>
      <x:c r="B27" s="28" t="str">
        <x:v>Grupo Industrial S.A.</x:v>
      </x:c>
      <x:c r="C27" s="28" t="str">
        <x:v>Planta Campinas</x:v>
      </x:c>
      <x:c r="D27" s="30" t="n">
        <x:v>2978120.21</x:v>
      </x:c>
      <x:c r="E27" s="30" t="n">
        <x:v>178687.21</x:v>
      </x:c>
      <x:c r="F27" s="30" t="n">
        <x:v>2799433</x:v>
      </x:c>
      <x:c r="G27" s="30" t="n">
        <x:v>431893.97</x:v>
      </x:c>
      <x:c r="H27" s="30" t="n">
        <x:v>364871.3</x:v>
      </x:c>
      <x:c r="I27" s="30" t="n">
        <x:v>227562.92</x:v>
      </x:c>
      <x:c r="J27" s="30" t="n">
        <x:v>15884.56</x:v>
      </x:c>
      <x:c r="K27" s="30" t="n">
        <x:v>130390.6</x:v>
      </x:c>
      <x:c r="L27" s="30" t="n">
        <x:v>33593.2</x:v>
      </x:c>
      <x:c r="M27" s="30" t="n">
        <x:v>22395.46</x:v>
      </x:c>
      <x:c r="N27" s="46" t="n">
        <x:f>F27-SUM(G27:M27)</x:f>
        <x:v>1572840.99</x:v>
      </x:c>
      <x:c r="O27" s="30" t="n">
        <x:v>118983.83</x:v>
      </x:c>
      <x:c r="P27" s="46" t="n">
        <x:f>N27-O27</x:f>
        <x:v>1453857.16</x:v>
      </x:c>
      <x:c r="Q27" s="30" t="n">
        <x:v>58788.09</x:v>
      </x:c>
      <x:c r="R27" s="30" t="n">
        <x:v>44790.93</x:v>
      </x:c>
      <x:c r="S27" s="30" t="n">
        <x:v>25194.9</x:v>
      </x:c>
      <x:c r="T27" s="30" t="n">
        <x:v>13997.17</x:v>
      </x:c>
      <x:c r="U27" s="46" t="n">
        <x:f>P27-SUM(Q27:T27)</x:f>
        <x:v>1311086.0699999998</x:v>
      </x:c>
      <x:c r="V27" s="48" t="n">
        <x:f>IFERROR(U27/F27,0)</x:f>
        <x:v>0.468339863822424</x:v>
      </x:c>
      <x:c r="W27" s="32" t="n">
        <x:v>36988</x:v>
      </x:c>
      <x:c r="X27" s="32" t="n">
        <x:v>45248.59</x:v>
      </x:c>
      <x:c r="Y27" s="30" t="n">
        <x:v>9.54</x:v>
      </x:c>
      <x:c r="Z27" s="32" t="n">
        <x:v>19371.41</x:v>
      </x:c>
      <x:c r="AA27" s="32" t="n">
        <x:v>38</x:v>
      </x:c>
      <x:c r="AB27" s="32" t="n">
        <x:v>30</x:v>
      </x:c>
      <x:c r="AC27" s="32" t="n">
        <x:v>35</x:v>
      </x:c>
    </x:row>
    <x:row r="28">
      <x:c r="A28" s="34" t="n">
        <x:v>45536</x:v>
      </x:c>
      <x:c r="B28" s="28" t="str">
        <x:v>Grupo Industrial S.A.</x:v>
      </x:c>
      <x:c r="C28" s="28" t="str">
        <x:v>Planta Curitiba</x:v>
      </x:c>
      <x:c r="D28" s="30" t="n">
        <x:v>3211957.45</x:v>
      </x:c>
      <x:c r="E28" s="30" t="n">
        <x:v>192717.45</x:v>
      </x:c>
      <x:c r="F28" s="30" t="n">
        <x:v>3019240</x:v>
      </x:c>
      <x:c r="G28" s="30" t="n">
        <x:v>452803.75</x:v>
      </x:c>
      <x:c r="H28" s="30" t="n">
        <x:v>389533.28</x:v>
      </x:c>
      <x:c r="I28" s="30" t="n">
        <x:v>196560.77</x:v>
      </x:c>
      <x:c r="J28" s="30" t="n">
        <x:v>15787.65</x:v>
      </x:c>
      <x:c r="K28" s="30" t="n">
        <x:v>89940.71</x:v>
      </x:c>
      <x:c r="L28" s="30" t="n">
        <x:v>36230.88</x:v>
      </x:c>
      <x:c r="M28" s="30" t="n">
        <x:v>24153.92</x:v>
      </x:c>
      <x:c r="N28" s="46" t="n">
        <x:f>F28-SUM(G28:M28)</x:f>
        <x:v>1814229.0400000003</x:v>
      </x:c>
      <x:c r="O28" s="30" t="n">
        <x:v>118983.83</x:v>
      </x:c>
      <x:c r="P28" s="46" t="n">
        <x:f>N28-O28</x:f>
        <x:v>1695245.2100000002</x:v>
      </x:c>
      <x:c r="Q28" s="30" t="n">
        <x:v>63404.04</x:v>
      </x:c>
      <x:c r="R28" s="30" t="n">
        <x:v>48307.84</x:v>
      </x:c>
      <x:c r="S28" s="30" t="n">
        <x:v>27173.16</x:v>
      </x:c>
      <x:c r="T28" s="30" t="n">
        <x:v>15096.2</x:v>
      </x:c>
      <x:c r="U28" s="46" t="n">
        <x:f>P28-SUM(Q28:T28)</x:f>
        <x:v>1541263.9700000002</x:v>
      </x:c>
      <x:c r="V28" s="48" t="n">
        <x:f>IFERROR(U28/F28,0)</x:f>
        <x:v>0.51048077330719</x:v>
      </x:c>
      <x:c r="W28" s="32" t="n">
        <x:v>40434</x:v>
      </x:c>
      <x:c r="X28" s="32" t="n">
        <x:v>48862.45</x:v>
      </x:c>
      <x:c r="Y28" s="30" t="n">
        <x:v>9.27</x:v>
      </x:c>
      <x:c r="Z28" s="32" t="n">
        <x:v>19253.24</x:v>
      </x:c>
      <x:c r="AA28" s="32" t="n">
        <x:v>35</x:v>
      </x:c>
      <x:c r="AB28" s="32" t="n">
        <x:v>33</x:v>
      </x:c>
      <x:c r="AC28" s="32" t="n">
        <x:v>32</x:v>
      </x:c>
    </x:row>
    <x:row r="29">
      <x:c r="A29" s="34" t="n">
        <x:v>45566</x:v>
      </x:c>
      <x:c r="B29" s="28" t="str">
        <x:v>Grupo Industrial S.A.</x:v>
      </x:c>
      <x:c r="C29" s="28" t="str">
        <x:v>Planta São Paulo</x:v>
      </x:c>
      <x:c r="D29" s="30" t="n">
        <x:v>3511876.6</x:v>
      </x:c>
      <x:c r="E29" s="30" t="n">
        <x:v>210712.6</x:v>
      </x:c>
      <x:c r="F29" s="30" t="n">
        <x:v>3301164</x:v>
      </x:c>
      <x:c r="G29" s="30" t="n">
        <x:v>491674.13</x:v>
      </x:c>
      <x:c r="H29" s="30" t="n">
        <x:v>276349.55</x:v>
      </x:c>
      <x:c r="I29" s="30" t="n">
        <x:v>180888.1</x:v>
      </x:c>
      <x:c r="J29" s="30" t="n">
        <x:v>15197.67</x:v>
      </x:c>
      <x:c r="K29" s="30" t="n">
        <x:v>57724.72</x:v>
      </x:c>
      <x:c r="L29" s="30" t="n">
        <x:v>39613.97</x:v>
      </x:c>
      <x:c r="M29" s="30" t="n">
        <x:v>26409.31</x:v>
      </x:c>
      <x:c r="N29" s="46" t="n">
        <x:f>F29-SUM(G29:M29)</x:f>
        <x:v>2213306.55</x:v>
      </x:c>
      <x:c r="O29" s="30" t="n">
        <x:v>113810.62</x:v>
      </x:c>
      <x:c r="P29" s="46" t="n">
        <x:f>N29-O29</x:f>
        <x:v>2099495.9299999997</x:v>
      </x:c>
      <x:c r="Q29" s="30" t="n">
        <x:v>69324.44</x:v>
      </x:c>
      <x:c r="R29" s="30" t="n">
        <x:v>52818.62</x:v>
      </x:c>
      <x:c r="S29" s="30" t="n">
        <x:v>29710.48</x:v>
      </x:c>
      <x:c r="T29" s="30" t="n">
        <x:v>16505.82</x:v>
      </x:c>
      <x:c r="U29" s="46" t="n">
        <x:f>P29-SUM(Q29:T29)</x:f>
        <x:v>1931136.5699999996</x:v>
      </x:c>
      <x:c r="V29" s="48" t="n">
        <x:f>IFERROR(U29/F29,0)</x:f>
        <x:v>0.5849865592863607</x:v>
      </x:c>
      <x:c r="W29" s="32" t="n">
        <x:v>45300</x:v>
      </x:c>
      <x:c r="X29" s="32" t="n">
        <x:v>53009.13</x:v>
      </x:c>
      <x:c r="Y29" s="30" t="n">
        <x:v>9.28</x:v>
      </x:c>
      <x:c r="Z29" s="32" t="n">
        <x:v>18533.74</x:v>
      </x:c>
      <x:c r="AA29" s="32" t="n">
        <x:v>32</x:v>
      </x:c>
      <x:c r="AB29" s="32" t="n">
        <x:v>35</x:v>
      </x:c>
      <x:c r="AC29" s="32" t="n">
        <x:v>31</x:v>
      </x:c>
    </x:row>
    <x:row r="30">
      <x:c r="A30" s="34" t="n">
        <x:v>45566</x:v>
      </x:c>
      <x:c r="B30" s="28" t="str">
        <x:v>Grupo Industrial S.A.</x:v>
      </x:c>
      <x:c r="C30" s="28" t="str">
        <x:v>Planta Campinas</x:v>
      </x:c>
      <x:c r="D30" s="30" t="n">
        <x:v>2567958.51</x:v>
      </x:c>
      <x:c r="E30" s="30" t="n">
        <x:v>154077.51</x:v>
      </x:c>
      <x:c r="F30" s="30" t="n">
        <x:v>2413881</x:v>
      </x:c>
      <x:c r="G30" s="30" t="n">
        <x:v>367747.65</x:v>
      </x:c>
      <x:c r="H30" s="30" t="n">
        <x:v>292724.54</x:v>
      </x:c>
      <x:c r="I30" s="30" t="n">
        <x:v>192436.94</x:v>
      </x:c>
      <x:c r="J30" s="30" t="n">
        <x:v>13612.8</x:v>
      </x:c>
      <x:c r="K30" s="30" t="n">
        <x:v>105514.44</x:v>
      </x:c>
      <x:c r="L30" s="30" t="n">
        <x:v>28966.57</x:v>
      </x:c>
      <x:c r="M30" s="30" t="n">
        <x:v>19311.05</x:v>
      </x:c>
      <x:c r="N30" s="46" t="n">
        <x:f>F30-SUM(G30:M30)</x:f>
        <x:v>1393567.0100000002</x:v>
      </x:c>
      <x:c r="O30" s="30" t="n">
        <x:v>95187.07</x:v>
      </x:c>
      <x:c r="P30" s="46" t="n">
        <x:f>N30-O30</x:f>
        <x:v>1298379.9400000002</x:v>
      </x:c>
      <x:c r="Q30" s="30" t="n">
        <x:v>50691.5</x:v>
      </x:c>
      <x:c r="R30" s="30" t="n">
        <x:v>38622.1</x:v>
      </x:c>
      <x:c r="S30" s="30" t="n">
        <x:v>21724.93</x:v>
      </x:c>
      <x:c r="T30" s="30" t="n">
        <x:v>12069.41</x:v>
      </x:c>
      <x:c r="U30" s="46" t="n">
        <x:f>P30-SUM(Q30:T30)</x:f>
        <x:v>1175272.0000000002</x:v>
      </x:c>
      <x:c r="V30" s="48" t="n">
        <x:f>IFERROR(U30/F30,0)</x:f>
        <x:v>0.48688067058815254</x:v>
      </x:c>
      <x:c r="W30" s="32" t="n">
        <x:v>31929</x:v>
      </x:c>
      <x:c r="X30" s="32" t="n">
        <x:v>38493.37</x:v>
      </x:c>
      <x:c r="Y30" s="30" t="n">
        <x:v>9.55</x:v>
      </x:c>
      <x:c r="Z30" s="32" t="n">
        <x:v>16600.98</x:v>
      </x:c>
      <x:c r="AA30" s="32" t="n">
        <x:v>38</x:v>
      </x:c>
      <x:c r="AB30" s="32" t="n">
        <x:v>30</x:v>
      </x:c>
      <x:c r="AC30" s="32" t="n">
        <x:v>35</x:v>
      </x:c>
    </x:row>
    <x:row r="31">
      <x:c r="A31" s="34" t="n">
        <x:v>45566</x:v>
      </x:c>
      <x:c r="B31" s="28" t="str">
        <x:v>Grupo Industrial S.A.</x:v>
      </x:c>
      <x:c r="C31" s="28" t="str">
        <x:v>Planta Curitiba</x:v>
      </x:c>
      <x:c r="D31" s="30" t="n">
        <x:v>2718338.3</x:v>
      </x:c>
      <x:c r="E31" s="30" t="n">
        <x:v>163100.3</x:v>
      </x:c>
      <x:c r="F31" s="30" t="n">
        <x:v>2555238</x:v>
      </x:c>
      <x:c r="G31" s="30" t="n">
        <x:v>385743.7</x:v>
      </x:c>
      <x:c r="H31" s="30" t="n">
        <x:v>312690.78</x:v>
      </x:c>
      <x:c r="I31" s="30" t="n">
        <x:v>152802.87</x:v>
      </x:c>
      <x:c r="J31" s="30" t="n">
        <x:v>13443.11</x:v>
      </x:c>
      <x:c r="K31" s="30" t="n">
        <x:v>71362.86</x:v>
      </x:c>
      <x:c r="L31" s="30" t="n">
        <x:v>30662.86</x:v>
      </x:c>
      <x:c r="M31" s="30" t="n">
        <x:v>20441.9</x:v>
      </x:c>
      <x:c r="N31" s="46" t="n">
        <x:f>F31-SUM(G31:M31)</x:f>
        <x:v>1568089.92</x:v>
      </x:c>
      <x:c r="O31" s="30" t="n">
        <x:v>95187.07</x:v>
      </x:c>
      <x:c r="P31" s="46" t="n">
        <x:f>N31-O31</x:f>
        <x:v>1472902.8499999999</x:v>
      </x:c>
      <x:c r="Q31" s="30" t="n">
        <x:v>53660</x:v>
      </x:c>
      <x:c r="R31" s="30" t="n">
        <x:v>40883.81</x:v>
      </x:c>
      <x:c r="S31" s="30" t="n">
        <x:v>22997.14</x:v>
      </x:c>
      <x:c r="T31" s="30" t="n">
        <x:v>12776.19</x:v>
      </x:c>
      <x:c r="U31" s="46" t="n">
        <x:f>P31-SUM(Q31:T31)</x:f>
        <x:v>1342585.71</x:v>
      </x:c>
      <x:c r="V31" s="48" t="n">
        <x:f>IFERROR(U31/F31,0)</x:f>
        <x:v>0.5254249154090539</x:v>
      </x:c>
      <x:c r="W31" s="32" t="n">
        <x:v>34208</x:v>
      </x:c>
      <x:c r="X31" s="32" t="n">
        <x:v>41588.4</x:v>
      </x:c>
      <x:c r="Y31" s="30" t="n">
        <x:v>9.28</x:v>
      </x:c>
      <x:c r="Z31" s="32" t="n">
        <x:v>16394.04</x:v>
      </x:c>
      <x:c r="AA31" s="32" t="n">
        <x:v>35</x:v>
      </x:c>
      <x:c r="AB31" s="32" t="n">
        <x:v>33</x:v>
      </x:c>
      <x:c r="AC31" s="32" t="n">
        <x:v>32</x:v>
      </x:c>
    </x:row>
    <x:row r="32">
      <x:c r="A32" s="34" t="n">
        <x:v>45597</x:v>
      </x:c>
      <x:c r="B32" s="28" t="str">
        <x:v>Grupo Industrial S.A.</x:v>
      </x:c>
      <x:c r="C32" s="28" t="str">
        <x:v>Planta São Paulo</x:v>
      </x:c>
      <x:c r="D32" s="30" t="n">
        <x:v>3473195.74</x:v>
      </x:c>
      <x:c r="E32" s="30" t="n">
        <x:v>208391.74</x:v>
      </x:c>
      <x:c r="F32" s="30" t="n">
        <x:v>3264804</x:v>
      </x:c>
      <x:c r="G32" s="30" t="n">
        <x:v>485535.31</x:v>
      </x:c>
      <x:c r="H32" s="30" t="n">
        <x:v>278279.05</x:v>
      </x:c>
      <x:c r="I32" s="30" t="n">
        <x:v>169957.79</x:v>
      </x:c>
      <x:c r="J32" s="30" t="n">
        <x:v>14982.4</x:v>
      </x:c>
      <x:c r="K32" s="30" t="n">
        <x:v>55838.98</x:v>
      </x:c>
      <x:c r="L32" s="30" t="n">
        <x:v>39177.65</x:v>
      </x:c>
      <x:c r="M32" s="30" t="n">
        <x:v>26118.43</x:v>
      </x:c>
      <x:c r="N32" s="46" t="n">
        <x:f>F32-SUM(G32:M32)</x:f>
        <x:v>2194914.3899999997</x:v>
      </x:c>
      <x:c r="O32" s="30" t="n">
        <x:v>113810.62</x:v>
      </x:c>
      <x:c r="P32" s="46" t="n">
        <x:f>N32-O32</x:f>
        <x:v>2081103.7699999996</x:v>
      </x:c>
      <x:c r="Q32" s="30" t="n">
        <x:v>68560.88</x:v>
      </x:c>
      <x:c r="R32" s="30" t="n">
        <x:v>52236.86</x:v>
      </x:c>
      <x:c r="S32" s="30" t="n">
        <x:v>29383.24</x:v>
      </x:c>
      <x:c r="T32" s="30" t="n">
        <x:v>16324.02</x:v>
      </x:c>
      <x:c r="U32" s="46" t="n">
        <x:f>P32-SUM(Q32:T32)</x:f>
        <x:v>1914598.7699999996</x:v>
      </x:c>
      <x:c r="V32" s="48" t="n">
        <x:f>IFERROR(U32/F32,0)</x:f>
        <x:v>0.5864360525164756</x:v>
      </x:c>
      <x:c r="W32" s="32" t="n">
        <x:v>44749</x:v>
      </x:c>
      <x:c r="X32" s="32" t="n">
        <x:v>52300.12</x:v>
      </x:c>
      <x:c r="Y32" s="30" t="n">
        <x:v>9.28</x:v>
      </x:c>
      <x:c r="Z32" s="32" t="n">
        <x:v>18271.22</x:v>
      </x:c>
      <x:c r="AA32" s="32" t="n">
        <x:v>32</x:v>
      </x:c>
      <x:c r="AB32" s="32" t="n">
        <x:v>35</x:v>
      </x:c>
      <x:c r="AC32" s="32" t="n">
        <x:v>31</x:v>
      </x:c>
    </x:row>
    <x:row r="33">
      <x:c r="A33" s="34" t="n">
        <x:v>45597</x:v>
      </x:c>
      <x:c r="B33" s="28" t="str">
        <x:v>Grupo Industrial S.A.</x:v>
      </x:c>
      <x:c r="C33" s="28" t="str">
        <x:v>Planta Campinas</x:v>
      </x:c>
      <x:c r="D33" s="30" t="n">
        <x:v>2597257.45</x:v>
      </x:c>
      <x:c r="E33" s="30" t="n">
        <x:v>155835.45</x:v>
      </x:c>
      <x:c r="F33" s="30" t="n">
        <x:v>2441422</x:v>
      </x:c>
      <x:c r="G33" s="30" t="n">
        <x:v>376146.66</x:v>
      </x:c>
      <x:c r="H33" s="30" t="n">
        <x:v>292434.15</x:v>
      </x:c>
      <x:c r="I33" s="30" t="n">
        <x:v>203544.8</x:v>
      </x:c>
      <x:c r="J33" s="30" t="n">
        <x:v>13612.91</x:v>
      </x:c>
      <x:c r="K33" s="30" t="n">
        <x:v>107107.5</x:v>
      </x:c>
      <x:c r="L33" s="30" t="n">
        <x:v>29297.06</x:v>
      </x:c>
      <x:c r="M33" s="30" t="n">
        <x:v>19531.38</x:v>
      </x:c>
      <x:c r="N33" s="46" t="n">
        <x:f>F33-SUM(G33:M33)</x:f>
        <x:v>1399747.5399999998</x:v>
      </x:c>
      <x:c r="O33" s="30" t="n">
        <x:v>95187.07</x:v>
      </x:c>
      <x:c r="P33" s="46" t="n">
        <x:f>N33-O33</x:f>
        <x:v>1304560.4699999997</x:v>
      </x:c>
      <x:c r="Q33" s="30" t="n">
        <x:v>51269.86</x:v>
      </x:c>
      <x:c r="R33" s="30" t="n">
        <x:v>39062.75</x:v>
      </x:c>
      <x:c r="S33" s="30" t="n">
        <x:v>21972.8</x:v>
      </x:c>
      <x:c r="T33" s="30" t="n">
        <x:v>12207.11</x:v>
      </x:c>
      <x:c r="U33" s="46" t="n">
        <x:f>P33-SUM(Q33:T33)</x:f>
        <x:v>1180047.9499999997</x:v>
      </x:c>
      <x:c r="V33" s="48" t="n">
        <x:f>IFERROR(U33/F33,0)</x:f>
        <x:v>0.4833445221678185</x:v>
      </x:c>
      <x:c r="W33" s="32" t="n">
        <x:v>32277</x:v>
      </x:c>
      <x:c r="X33" s="32" t="n">
        <x:v>39337.06</x:v>
      </x:c>
      <x:c r="Y33" s="30" t="n">
        <x:v>9.56</x:v>
      </x:c>
      <x:c r="Z33" s="32" t="n">
        <x:v>16601.1</x:v>
      </x:c>
      <x:c r="AA33" s="32" t="n">
        <x:v>38</x:v>
      </x:c>
      <x:c r="AB33" s="32" t="n">
        <x:v>30</x:v>
      </x:c>
      <x:c r="AC33" s="32" t="n">
        <x:v>35</x:v>
      </x:c>
    </x:row>
    <x:row r="34">
      <x:c r="A34" s="34" t="n">
        <x:v>45597</x:v>
      </x:c>
      <x:c r="B34" s="28" t="str">
        <x:v>Grupo Industrial S.A.</x:v>
      </x:c>
      <x:c r="C34" s="28" t="str">
        <x:v>Planta Curitiba</x:v>
      </x:c>
      <x:c r="D34" s="30" t="n">
        <x:v>2561895.74</x:v>
      </x:c>
      <x:c r="E34" s="30" t="n">
        <x:v>153713.74</x:v>
      </x:c>
      <x:c r="F34" s="30" t="n">
        <x:v>2408182</x:v>
      </x:c>
      <x:c r="G34" s="30" t="n">
        <x:v>363678.32</x:v>
      </x:c>
      <x:c r="H34" s="30" t="n">
        <x:v>309916.97</x:v>
      </x:c>
      <x:c r="I34" s="30" t="n">
        <x:v>193987.22</x:v>
      </x:c>
      <x:c r="J34" s="30" t="n">
        <x:v>12845.39</x:v>
      </x:c>
      <x:c r="K34" s="30" t="n">
        <x:v>71532.22</x:v>
      </x:c>
      <x:c r="L34" s="30" t="n">
        <x:v>28898.18</x:v>
      </x:c>
      <x:c r="M34" s="30" t="n">
        <x:v>19265.46</x:v>
      </x:c>
      <x:c r="N34" s="46" t="n">
        <x:f>F34-SUM(G34:M34)</x:f>
        <x:v>1408058.24</x:v>
      </x:c>
      <x:c r="O34" s="30" t="n">
        <x:v>95187.07</x:v>
      </x:c>
      <x:c r="P34" s="46" t="n">
        <x:f>N34-O34</x:f>
        <x:v>1312871.17</x:v>
      </x:c>
      <x:c r="Q34" s="30" t="n">
        <x:v>50571.82</x:v>
      </x:c>
      <x:c r="R34" s="30" t="n">
        <x:v>38530.91</x:v>
      </x:c>
      <x:c r="S34" s="30" t="n">
        <x:v>21673.64</x:v>
      </x:c>
      <x:c r="T34" s="30" t="n">
        <x:v>12040.91</x:v>
      </x:c>
      <x:c r="U34" s="46" t="n">
        <x:f>P34-SUM(Q34:T34)</x:f>
        <x:v>1190053.89</x:v>
      </x:c>
      <x:c r="V34" s="48" t="n">
        <x:f>IFERROR(U34/F34,0)</x:f>
        <x:v>0.4941710759402736</x:v>
      </x:c>
      <x:c r="W34" s="32" t="n">
        <x:v>32179</x:v>
      </x:c>
      <x:c r="X34" s="32" t="n">
        <x:v>39174.12</x:v>
      </x:c>
      <x:c r="Y34" s="30" t="n">
        <x:v>9.28</x:v>
      </x:c>
      <x:c r="Z34" s="32" t="n">
        <x:v>15665.1</x:v>
      </x:c>
      <x:c r="AA34" s="32" t="n">
        <x:v>35</x:v>
      </x:c>
      <x:c r="AB34" s="32" t="n">
        <x:v>33</x:v>
      </x:c>
      <x:c r="AC34" s="32" t="n">
        <x:v>32</x:v>
      </x:c>
    </x:row>
    <x:row r="35">
      <x:c r="A35" s="34" t="n">
        <x:v>45627</x:v>
      </x:c>
      <x:c r="B35" s="28" t="str">
        <x:v>Grupo Industrial S.A.</x:v>
      </x:c>
      <x:c r="C35" s="28" t="str">
        <x:v>Planta São Paulo</x:v>
      </x:c>
      <x:c r="D35" s="30" t="n">
        <x:v>3865040.43</x:v>
      </x:c>
      <x:c r="E35" s="30" t="n">
        <x:v>231902.43</x:v>
      </x:c>
      <x:c r="F35" s="30" t="n">
        <x:v>3633138</x:v>
      </x:c>
      <x:c r="G35" s="30" t="n">
        <x:v>540526.31</x:v>
      </x:c>
      <x:c r="H35" s="30" t="n">
        <x:v>345719.77</x:v>
      </x:c>
      <x:c r="I35" s="30" t="n">
        <x:v>173248.96</x:v>
      </x:c>
      <x:c r="J35" s="30" t="n">
        <x:v>16767.76</x:v>
      </x:c>
      <x:c r="K35" s="30" t="n">
        <x:v>73165.4</x:v>
      </x:c>
      <x:c r="L35" s="30" t="n">
        <x:v>43597.66</x:v>
      </x:c>
      <x:c r="M35" s="30" t="n">
        <x:v>29065.1</x:v>
      </x:c>
      <x:c r="N35" s="46" t="n">
        <x:f>F35-SUM(G35:M35)</x:f>
        <x:v>2411047.04</x:v>
      </x:c>
      <x:c r="O35" s="30" t="n">
        <x:v>142263.28</x:v>
      </x:c>
      <x:c r="P35" s="46" t="n">
        <x:f>N35-O35</x:f>
        <x:v>2268783.7600000002</x:v>
      </x:c>
      <x:c r="Q35" s="30" t="n">
        <x:v>76295.9</x:v>
      </x:c>
      <x:c r="R35" s="30" t="n">
        <x:v>58130.21</x:v>
      </x:c>
      <x:c r="S35" s="30" t="n">
        <x:v>32698.24</x:v>
      </x:c>
      <x:c r="T35" s="30" t="n">
        <x:v>18165.69</x:v>
      </x:c>
      <x:c r="U35" s="46" t="n">
        <x:f>P35-SUM(Q35:T35)</x:f>
        <x:v>2083493.7200000002</x:v>
      </x:c>
      <x:c r="V35" s="48" t="n">
        <x:f>IFERROR(U35/F35,0)</x:f>
        <x:v>0.5734694690925586</x:v>
      </x:c>
      <x:c r="W35" s="32" t="n">
        <x:v>49869</x:v>
      </x:c>
      <x:c r="X35" s="32" t="n">
        <x:v>58171.16</x:v>
      </x:c>
      <x:c r="Y35" s="30" t="n">
        <x:v>9.29</x:v>
      </x:c>
      <x:c r="Z35" s="32" t="n">
        <x:v>20448.49</x:v>
      </x:c>
      <x:c r="AA35" s="32" t="n">
        <x:v>32</x:v>
      </x:c>
      <x:c r="AB35" s="32" t="n">
        <x:v>35</x:v>
      </x:c>
      <x:c r="AC35" s="32" t="n">
        <x:v>31</x:v>
      </x:c>
    </x:row>
    <x:row r="36">
      <x:c r="A36" s="34" t="n">
        <x:v>45627</x:v>
      </x:c>
      <x:c r="B36" s="28" t="str">
        <x:v>Grupo Industrial S.A.</x:v>
      </x:c>
      <x:c r="C36" s="28" t="str">
        <x:v>Planta Campinas</x:v>
      </x:c>
      <x:c r="D36" s="30" t="n">
        <x:v>2807509.57</x:v>
      </x:c>
      <x:c r="E36" s="30" t="n">
        <x:v>168450.57</x:v>
      </x:c>
      <x:c r="F36" s="30" t="n">
        <x:v>2639059</x:v>
      </x:c>
      <x:c r="G36" s="30" t="n">
        <x:v>409335.94</x:v>
      </x:c>
      <x:c r="H36" s="30" t="n">
        <x:v>358855.05</x:v>
      </x:c>
      <x:c r="I36" s="30" t="n">
        <x:v>186332.56</x:v>
      </x:c>
      <x:c r="J36" s="30" t="n">
        <x:v>15042.16</x:v>
      </x:c>
      <x:c r="K36" s="30" t="n">
        <x:v>142214.27</x:v>
      </x:c>
      <x:c r="L36" s="30" t="n">
        <x:v>31668.71</x:v>
      </x:c>
      <x:c r="M36" s="30" t="n">
        <x:v>21112.47</x:v>
      </x:c>
      <x:c r="N36" s="46" t="n">
        <x:f>F36-SUM(G36:M36)</x:f>
        <x:v>1474497.84</x:v>
      </x:c>
      <x:c r="O36" s="30" t="n">
        <x:v>118983.83</x:v>
      </x:c>
      <x:c r="P36" s="46" t="n">
        <x:f>N36-O36</x:f>
        <x:v>1355514.01</x:v>
      </x:c>
      <x:c r="Q36" s="30" t="n">
        <x:v>55420.24</x:v>
      </x:c>
      <x:c r="R36" s="30" t="n">
        <x:v>42224.94</x:v>
      </x:c>
      <x:c r="S36" s="30" t="n">
        <x:v>23751.53</x:v>
      </x:c>
      <x:c r="T36" s="30" t="n">
        <x:v>13195.3</x:v>
      </x:c>
      <x:c r="U36" s="46" t="n">
        <x:f>P36-SUM(Q36:T36)</x:f>
        <x:v>1220922</x:v>
      </x:c>
      <x:c r="V36" s="48" t="n">
        <x:f>IFERROR(U36/F36,0)</x:f>
        <x:v>0.4626353560113662</x:v>
      </x:c>
      <x:c r="W36" s="32" t="n">
        <x:v>35010</x:v>
      </x:c>
      <x:c r="X36" s="32" t="n">
        <x:v>42769.42</x:v>
      </x:c>
      <x:c r="Y36" s="30" t="n">
        <x:v>9.57</x:v>
      </x:c>
      <x:c r="Z36" s="32" t="n">
        <x:v>18344.1</x:v>
      </x:c>
      <x:c r="AA36" s="32" t="n">
        <x:v>38</x:v>
      </x:c>
      <x:c r="AB36" s="32" t="n">
        <x:v>30</x:v>
      </x:c>
      <x:c r="AC36" s="32" t="n">
        <x:v>35</x:v>
      </x:c>
    </x:row>
    <x:row r="37">
      <x:c r="A37" s="34" t="n">
        <x:v>45627</x:v>
      </x:c>
      <x:c r="B37" s="28" t="str">
        <x:v>Grupo Industrial S.A.</x:v>
      </x:c>
      <x:c r="C37" s="28" t="str">
        <x:v>Planta Curitiba</x:v>
      </x:c>
      <x:c r="D37" s="30" t="n">
        <x:v>3010714.89</x:v>
      </x:c>
      <x:c r="E37" s="30" t="n">
        <x:v>180642.89</x:v>
      </x:c>
      <x:c r="F37" s="30" t="n">
        <x:v>2830072</x:v>
      </x:c>
      <x:c r="G37" s="30" t="n">
        <x:v>424565.52</x:v>
      </x:c>
      <x:c r="H37" s="30" t="n">
        <x:v>390275.92</x:v>
      </x:c>
      <x:c r="I37" s="30" t="n">
        <x:v>208091.02</x:v>
      </x:c>
      <x:c r="J37" s="30" t="n">
        <x:v>15139.31</x:v>
      </x:c>
      <x:c r="K37" s="30" t="n">
        <x:v>89778.33</x:v>
      </x:c>
      <x:c r="L37" s="30" t="n">
        <x:v>33960.86</x:v>
      </x:c>
      <x:c r="M37" s="30" t="n">
        <x:v>22640.58</x:v>
      </x:c>
      <x:c r="N37" s="46" t="n">
        <x:f>F37-SUM(G37:M37)</x:f>
        <x:v>1645620.4599999997</x:v>
      </x:c>
      <x:c r="O37" s="30" t="n">
        <x:v>118983.83</x:v>
      </x:c>
      <x:c r="P37" s="46" t="n">
        <x:f>N37-O37</x:f>
        <x:v>1526636.6299999997</x:v>
      </x:c>
      <x:c r="Q37" s="30" t="n">
        <x:v>59431.51</x:v>
      </x:c>
      <x:c r="R37" s="30" t="n">
        <x:v>45281.15</x:v>
      </x:c>
      <x:c r="S37" s="30" t="n">
        <x:v>25470.65</x:v>
      </x:c>
      <x:c r="T37" s="30" t="n">
        <x:v>14150.36</x:v>
      </x:c>
      <x:c r="U37" s="46" t="n">
        <x:f>P37-SUM(Q37:T37)</x:f>
        <x:v>1382302.9599999997</x:v>
      </x:c>
      <x:c r="V37" s="48" t="n">
        <x:f>IFERROR(U37/F37,0)</x:f>
        <x:v>0.488433849032816</x:v>
      </x:c>
      <x:c r="W37" s="32" t="n">
        <x:v>37757</x:v>
      </x:c>
      <x:c r="X37" s="32" t="n">
        <x:v>45691.53</x:v>
      </x:c>
      <x:c r="Y37" s="30" t="n">
        <x:v>9.29</x:v>
      </x:c>
      <x:c r="Z37" s="32" t="n">
        <x:v>18462.58</x:v>
      </x:c>
      <x:c r="AA37" s="32" t="n">
        <x:v>35</x:v>
      </x:c>
      <x:c r="AB37" s="32" t="n">
        <x:v>33</x:v>
      </x:c>
      <x:c r="AC37" s="32" t="n">
        <x:v>32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18" hidden="0" customWidth="1"/>
    <x:col min="5" max="5" width="22" hidden="0" customWidth="1"/>
    <x:col min="6" max="6" width="18" hidden="0" customWidth="1"/>
    <x:col min="7" max="7" width="52" hidden="0" customWidth="1"/>
  </x:cols>
  <x:sheetData>
    <x:row r="1">
      <x:c r="A1" s="22" t="str">
        <x:v>Campo_Canonico</x:v>
      </x:c>
      <x:c r="B1" s="22" t="str">
        <x:v>Grupo_DRE</x:v>
      </x:c>
      <x:c r="C1" s="22" t="str">
        <x:v>Subgrupo</x:v>
      </x:c>
      <x:c r="D1" s="22" t="str">
        <x:v>Natureza</x:v>
      </x:c>
      <x:c r="E1" s="22" t="str">
        <x:v>Comportamento_Default</x:v>
      </x:c>
      <x:c r="F1" s="22" t="str">
        <x:v>Inclui_EBITDA</x:v>
      </x:c>
      <x:c r="G1" s="22" t="str">
        <x:v>Observacao</x:v>
      </x:c>
    </x:row>
    <x:row r="2">
      <x:c r="A2" s="28" t="str">
        <x:v>receita_bruta</x:v>
      </x:c>
      <x:c r="B2" s="28" t="str">
        <x:v>Receita</x:v>
      </x:c>
      <x:c r="C2" s="28" t="str">
        <x:v>Receita Bruta</x:v>
      </x:c>
      <x:c r="D2" s="28" t="str">
        <x:v>Receita</x:v>
      </x:c>
      <x:c r="E2" s="28" t="str">
        <x:v>Variável</x:v>
      </x:c>
      <x:c r="F2" s="28" t="str">
        <x:v>Sim</x:v>
      </x:c>
      <x:c r="G2" s="28" t="str">
        <x:v>Receita antes de impostos/deduções</x:v>
      </x:c>
    </x:row>
    <x:row r="3">
      <x:c r="A3" s="28" t="str">
        <x:v>impostos_deducoes</x:v>
      </x:c>
      <x:c r="B3" s="28" t="str">
        <x:v>Receita</x:v>
      </x:c>
      <x:c r="C3" s="28" t="str">
        <x:v>Impostos e Deduções</x:v>
      </x:c>
      <x:c r="D3" s="28" t="str">
        <x:v>Dedução</x:v>
      </x:c>
      <x:c r="E3" s="28" t="str">
        <x:v>Variável</x:v>
      </x:c>
      <x:c r="F3" s="28" t="str">
        <x:v>Sim</x:v>
      </x:c>
      <x:c r="G3" s="28" t="str">
        <x:v>Tributos, devoluções e abatimentos</x:v>
      </x:c>
    </x:row>
    <x:row r="4">
      <x:c r="A4" s="28" t="str">
        <x:v>receita_liquida</x:v>
      </x:c>
      <x:c r="B4" s="28" t="str">
        <x:v>Receita</x:v>
      </x:c>
      <x:c r="C4" s="28" t="str">
        <x:v>Receita Líquida</x:v>
      </x:c>
      <x:c r="D4" s="28" t="str">
        <x:v>Receita</x:v>
      </x:c>
      <x:c r="E4" s="28" t="str">
        <x:v>Variável</x:v>
      </x:c>
      <x:c r="F4" s="28" t="str">
        <x:v>Sim</x:v>
      </x:c>
      <x:c r="G4" s="28" t="str">
        <x:v>Linha principal</x:v>
      </x:c>
    </x:row>
    <x:row r="5">
      <x:c r="A5" s="28" t="str">
        <x:v>insumos_mp</x:v>
      </x:c>
      <x:c r="B5" s="28" t="str">
        <x:v>Custo Industrial</x:v>
      </x:c>
      <x:c r="C5" s="28" t="str">
        <x:v>Insumos / MP</x:v>
      </x:c>
      <x:c r="D5" s="28" t="str">
        <x:v>Insumo</x:v>
      </x:c>
      <x:c r="E5" s="28" t="str">
        <x:v>Variável</x:v>
      </x:c>
      <x:c r="F5" s="28" t="str">
        <x:v>Sim</x:v>
      </x:c>
      <x:c r="G5" s="28" t="str">
        <x:v>Materiais e insumos diretos</x:v>
      </x:c>
    </x:row>
    <x:row r="6">
      <x:c r="A6" s="28" t="str">
        <x:v>mod</x:v>
      </x:c>
      <x:c r="B6" s="28" t="str">
        <x:v>Custo Industrial</x:v>
      </x:c>
      <x:c r="C6" s="28" t="str">
        <x:v>MOD</x:v>
      </x:c>
      <x:c r="D6" s="28" t="str">
        <x:v>Mão de obra</x:v>
      </x:c>
      <x:c r="E6" s="28" t="str">
        <x:v>Mista</x:v>
      </x:c>
      <x:c r="F6" s="28" t="str">
        <x:v>Sim</x:v>
      </x:c>
      <x:c r="G6" s="28" t="str">
        <x:v>Mão de obra direta</x:v>
      </x:c>
    </x:row>
    <x:row r="7">
      <x:c r="A7" s="28" t="str">
        <x:v>ggf_frete</x:v>
      </x:c>
      <x:c r="B7" s="28" t="str">
        <x:v>GGF</x:v>
      </x:c>
      <x:c r="C7" s="28" t="str">
        <x:v>Frete</x:v>
      </x:c>
      <x:c r="D7" s="28" t="str">
        <x:v>GGF</x:v>
      </x:c>
      <x:c r="E7" s="28" t="str">
        <x:v>Variável</x:v>
      </x:c>
      <x:c r="F7" s="28" t="str">
        <x:v>Sim</x:v>
      </x:c>
      <x:c r="G7" s="28" t="str">
        <x:v>Frete em GGF — regra aprovada</x:v>
      </x:c>
    </x:row>
    <x:row r="8">
      <x:c r="A8" s="28" t="str">
        <x:v>ggf_energia</x:v>
      </x:c>
      <x:c r="B8" s="28" t="str">
        <x:v>GGF</x:v>
      </x:c>
      <x:c r="C8" s="28" t="str">
        <x:v>Energia</x:v>
      </x:c>
      <x:c r="D8" s="28" t="str">
        <x:v>GGF</x:v>
      </x:c>
      <x:c r="E8" s="28" t="str">
        <x:v>Variável</x:v>
      </x:c>
      <x:c r="F8" s="28" t="str">
        <x:v>Sim</x:v>
      </x:c>
      <x:c r="G8" s="28" t="str">
        <x:v>Energia industrial</x:v>
      </x:c>
    </x:row>
    <x:row r="9">
      <x:c r="A9" s="28" t="str">
        <x:v>ggf_manutencao</x:v>
      </x:c>
      <x:c r="B9" s="28" t="str">
        <x:v>GGF</x:v>
      </x:c>
      <x:c r="C9" s="28" t="str">
        <x:v>Manutenção</x:v>
      </x:c>
      <x:c r="D9" s="28" t="str">
        <x:v>GGF</x:v>
      </x:c>
      <x:c r="E9" s="28" t="str">
        <x:v>Mista</x:v>
      </x:c>
      <x:c r="F9" s="28" t="str">
        <x:v>Sim</x:v>
      </x:c>
      <x:c r="G9" s="28" t="str">
        <x:v>Manutenção industrial</x:v>
      </x:c>
    </x:row>
    <x:row r="10">
      <x:c r="A10" s="28" t="str">
        <x:v>ggf_contratos_servicos</x:v>
      </x:c>
      <x:c r="B10" s="28" t="str">
        <x:v>GGF</x:v>
      </x:c>
      <x:c r="C10" s="28" t="str">
        <x:v>Contratos e Serviços</x:v>
      </x:c>
      <x:c r="D10" s="28" t="str">
        <x:v>GGF</x:v>
      </x:c>
      <x:c r="E10" s="28" t="str">
        <x:v>Fixa</x:v>
      </x:c>
      <x:c r="F10" s="28" t="str">
        <x:v>Sim</x:v>
      </x:c>
      <x:c r="G10" s="28" t="str">
        <x:v>Serviços recorrentes industriais</x:v>
      </x:c>
    </x:row>
    <x:row r="11">
      <x:c r="A11" s="28" t="str">
        <x:v>ggf_outros</x:v>
      </x:c>
      <x:c r="B11" s="28" t="str">
        <x:v>GGF</x:v>
      </x:c>
      <x:c r="C11" s="28" t="str">
        <x:v>Outros</x:v>
      </x:c>
      <x:c r="D11" s="28" t="str">
        <x:v>GGF</x:v>
      </x:c>
      <x:c r="E11" s="28" t="str">
        <x:v>Mista</x:v>
      </x:c>
      <x:c r="F11" s="28" t="str">
        <x:v>Sim</x:v>
      </x:c>
      <x:c r="G11" s="28" t="str">
        <x:v>Outros gastos gerais de fabricação</x:v>
      </x:c>
    </x:row>
    <x:row r="12">
      <x:c r="A12" s="28" t="str">
        <x:v>custos_fixos_industriais</x:v>
      </x:c>
      <x:c r="B12" s="28" t="str">
        <x:v>Estrutura Industrial</x:v>
      </x:c>
      <x:c r="C12" s="28" t="str">
        <x:v>Custos Fixos Industriais</x:v>
      </x:c>
      <x:c r="D12" s="28" t="str">
        <x:v>Custo</x:v>
      </x:c>
      <x:c r="E12" s="28" t="str">
        <x:v>Fixa</x:v>
      </x:c>
      <x:c r="F12" s="28" t="str">
        <x:v>Sim</x:v>
      </x:c>
      <x:c r="G12" s="28" t="str">
        <x:v>Custos fixos industriais</x:v>
      </x:c>
    </x:row>
    <x:row r="13">
      <x:c r="A13" s="28" t="str">
        <x:v>desp_administrativas</x:v>
      </x:c>
      <x:c r="B13" s="28" t="str">
        <x:v>OPEX</x:v>
      </x:c>
      <x:c r="C13" s="28" t="str">
        <x:v>Despesas Administrativas</x:v>
      </x:c>
      <x:c r="D13" s="28" t="str">
        <x:v>Despesa</x:v>
      </x:c>
      <x:c r="E13" s="28" t="str">
        <x:v>Fixa</x:v>
      </x:c>
      <x:c r="F13" s="28" t="str">
        <x:v>Sim</x:v>
      </x:c>
      <x:c r="G13" s="28" t="str">
        <x:v>OPEX administrativo</x:v>
      </x:c>
    </x:row>
    <x:row r="14">
      <x:c r="A14" s="28" t="str">
        <x:v>desp_comerciais</x:v>
      </x:c>
      <x:c r="B14" s="28" t="str">
        <x:v>OPEX</x:v>
      </x:c>
      <x:c r="C14" s="28" t="str">
        <x:v>Despesas Comerciais</x:v>
      </x:c>
      <x:c r="D14" s="28" t="str">
        <x:v>Despesa</x:v>
      </x:c>
      <x:c r="E14" s="28" t="str">
        <x:v>Mista</x:v>
      </x:c>
      <x:c r="F14" s="28" t="str">
        <x:v>Sim</x:v>
      </x:c>
      <x:c r="G14" s="28" t="str">
        <x:v>OPEX comercial</x:v>
      </x:c>
    </x:row>
    <x:row r="15">
      <x:c r="A15" s="28" t="str">
        <x:v>desp_logisticas</x:v>
      </x:c>
      <x:c r="B15" s="28" t="str">
        <x:v>OPEX</x:v>
      </x:c>
      <x:c r="C15" s="28" t="str">
        <x:v>Despesas Logísticas sem Frete</x:v>
      </x:c>
      <x:c r="D15" s="28" t="str">
        <x:v>Despesa</x:v>
      </x:c>
      <x:c r="E15" s="28" t="str">
        <x:v>Mista</x:v>
      </x:c>
      <x:c r="F15" s="28" t="str">
        <x:v>Sim</x:v>
      </x:c>
      <x:c r="G15" s="28" t="str">
        <x:v>Não inclui frete</x:v>
      </x:c>
    </x:row>
    <x:row r="16">
      <x:c r="A16" s="28" t="str">
        <x:v>outros_opex</x:v>
      </x:c>
      <x:c r="B16" s="28" t="str">
        <x:v>OPEX</x:v>
      </x:c>
      <x:c r="C16" s="28" t="str">
        <x:v>Outros OPEX</x:v>
      </x:c>
      <x:c r="D16" s="28" t="str">
        <x:v>Despesa</x:v>
      </x:c>
      <x:c r="E16" s="28" t="str">
        <x:v>Mista</x:v>
      </x:c>
      <x:c r="F16" s="28" t="str">
        <x:v>Sim</x:v>
      </x:c>
      <x:c r="G16" s="28" t="str">
        <x:v>Outros gastos operacionais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20" hidden="0" customWidth="1"/>
    <x:col min="5" max="5" width="34" hidden="0" customWidth="1"/>
  </x:cols>
  <x:sheetData>
    <x:row r="1">
      <x:c r="A1" s="22" t="str">
        <x:v>ID</x:v>
      </x:c>
      <x:c r="B1" s="22" t="str">
        <x:v>Nome</x:v>
      </x:c>
      <x:c r="C1" s="22" t="str">
        <x:v>Cargo</x:v>
      </x:c>
      <x:c r="D1" s="22" t="str">
        <x:v>Area</x:v>
      </x:c>
      <x:c r="E1" s="22" t="str">
        <x:v>Email</x:v>
      </x:c>
    </x:row>
    <x:row r="2">
      <x:c r="A2" s="28" t="str">
        <x:v>OP-001</x:v>
      </x:c>
      <x:c r="B2" s="28" t="str">
        <x:v>João Silva</x:v>
      </x:c>
      <x:c r="C2" s="28" t="str">
        <x:v>Gerente Industrial</x:v>
      </x:c>
      <x:c r="D2" s="28" t="str">
        <x:v>Operação</x:v>
      </x:c>
      <x:c r="E2" s="28" t="str">
        <x:v>joao.silva@empresa.com</x:v>
      </x:c>
    </x:row>
    <x:row r="3">
      <x:c r="A3" s="28" t="str">
        <x:v>PCP-001</x:v>
      </x:c>
      <x:c r="B3" s="28" t="str">
        <x:v>Marina Costa</x:v>
      </x:c>
      <x:c r="C3" s="28" t="str">
        <x:v>Coordenadora PCP</x:v>
      </x:c>
      <x:c r="D3" s="28" t="str">
        <x:v>PCP</x:v>
      </x:c>
      <x:c r="E3" s="28" t="str">
        <x:v>marina.costa@empresa.com</x:v>
      </x:c>
    </x:row>
    <x:row r="4">
      <x:c r="A4" s="28" t="str">
        <x:v>SUP-001</x:v>
      </x:c>
      <x:c r="B4" s="28" t="str">
        <x:v>Rafael Lima</x:v>
      </x:c>
      <x:c r="C4" s="28" t="str">
        <x:v>Gerente Supply</x:v>
      </x:c>
      <x:c r="D4" s="28" t="str">
        <x:v>Supply</x:v>
      </x:c>
      <x:c r="E4" s="28" t="str">
        <x:v>rafael.lima@empresa.com</x:v>
      </x:c>
    </x:row>
    <x:row r="5">
      <x:c r="A5" s="28" t="str">
        <x:v>LOG-001</x:v>
      </x:c>
      <x:c r="B5" s="28" t="str">
        <x:v>Carla Souza</x:v>
      </x:c>
      <x:c r="C5" s="28" t="str">
        <x:v>Gerente Logística</x:v>
      </x:c>
      <x:c r="D5" s="28" t="str">
        <x:v>Logística</x:v>
      </x:c>
      <x:c r="E5" s="28" t="str">
        <x:v>carla.souza@empresa.com</x:v>
      </x:c>
    </x:row>
    <x:row r="6">
      <x:c r="A6" s="28" t="str">
        <x:v>FIN-001</x:v>
      </x:c>
      <x:c r="B6" s="28" t="str">
        <x:v>Paulo Mendes</x:v>
      </x:c>
      <x:c r="C6" s="28" t="str">
        <x:v>Controller</x:v>
      </x:c>
      <x:c r="D6" s="28" t="str">
        <x:v>Finanças</x:v>
      </x:c>
      <x:c r="E6" s="28" t="str">
        <x:v>paulo.mendes@empresa.com</x:v>
      </x:c>
    </x:row>
    <x:row r="7">
      <x:c r="A7" s="28" t="str">
        <x:v>MNT-001</x:v>
      </x:c>
      <x:c r="B7" s="28" t="str">
        <x:v>André Rocha</x:v>
      </x:c>
      <x:c r="C7" s="28" t="str">
        <x:v>Coordenador Manutenção</x:v>
      </x:c>
      <x:c r="D7" s="28" t="str">
        <x:v>Manutenção</x:v>
      </x:c>
      <x:c r="E7" s="28" t="str">
        <x:v>andre.rocha@empresa.com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16" hidden="0" customWidth="1"/>
    <x:col min="5" max="5" width="16" hidden="0" customWidth="1"/>
    <x:col min="6" max="6" width="14" hidden="0" customWidth="1"/>
    <x:col min="7" max="7" width="24" hidden="0" customWidth="1"/>
    <x:col min="8" max="8" width="28" hidden="0" customWidth="1"/>
    <x:col min="9" max="9" width="30" hidden="0" customWidth="1"/>
    <x:col min="10" max="10" width="14" hidden="0" customWidth="1"/>
    <x:col min="11" max="11" width="14" hidden="0" customWidth="1"/>
    <x:col min="12" max="12" width="48" hidden="0" customWidth="1"/>
  </x:cols>
  <x:sheetData>
    <x:row r="1">
      <x:c r="A1" s="22" t="str">
        <x:v>Grupo</x:v>
      </x:c>
      <x:c r="B1" s="22" t="str">
        <x:v>Alavanca</x:v>
      </x:c>
      <x:c r="C1" s="22" t="str">
        <x:v>Formato</x:v>
      </x:c>
      <x:c r="D1" s="22" t="str">
        <x:v>Atual_Exemplo</x:v>
      </x:c>
      <x:c r="E1" s="22" t="str">
        <x:v>Meta_Exemplo</x:v>
      </x:c>
      <x:c r="F1" s="22" t="str">
        <x:v>Unidade</x:v>
      </x:c>
      <x:c r="G1" s="22" t="str">
        <x:v>Impacto_Principal</x:v>
      </x:c>
      <x:c r="H1" s="22" t="str">
        <x:v>Impacto_Secundario</x:v>
      </x:c>
      <x:c r="I1" s="22" t="str">
        <x:v>Dependencia</x:v>
      </x:c>
      <x:c r="J1" s="22" t="str">
        <x:v>Confianca</x:v>
      </x:c>
      <x:c r="K1" s="22" t="str">
        <x:v>Ativa</x:v>
      </x:c>
      <x:c r="L1" s="22" t="str">
        <x:v>Observacao</x:v>
      </x:c>
    </x:row>
    <x:row r="2">
      <x:c r="A2" s="38" t="str">
        <x:v>Produção</x:v>
      </x:c>
      <x:c r="B2" s="38" t="str">
        <x:v>OEE</x:v>
      </x:c>
      <x:c r="C2" s="38" t="str">
        <x:v>Resultado calculado</x:v>
      </x:c>
      <x:c r="D2" s="38" t="n">
        <x:v>83.3</x:v>
      </x:c>
      <x:c r="E2" s="38" t="n">
        <x:v>88</x:v>
      </x:c>
      <x:c r="F2" s="38" t="str">
        <x:v>%</x:v>
      </x:c>
      <x:c r="G2" s="38" t="str">
        <x:v>Capacidade / volume</x:v>
      </x:c>
      <x:c r="H2" s="38" t="str">
        <x:v>Receita / margem / EBITDA Gerencial</x:v>
      </x:c>
      <x:c r="I2" s="38" t="str">
        <x:v>Disponibilidade × Performance × Qualidade</x:v>
      </x:c>
      <x:c r="J2" s="38" t="str">
        <x:v>Alta</x:v>
      </x:c>
      <x:c r="K2" s="38" t="str">
        <x:v>Calculada</x:v>
      </x:c>
      <x:c r="L2" s="38" t="str">
        <x:v>OEE calculado; drivers reconciliados</x:v>
      </x:c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8" t="str">
        <x:v>Produção</x:v>
      </x:c>
      <x:c r="B3" s="38" t="str">
        <x:v>Disponibilidade</x:v>
      </x:c>
      <x:c r="C3" s="38" t="str">
        <x:v>Meta</x:v>
      </x:c>
      <x:c r="D3" s="38" t="n">
        <x:v>82.1</x:v>
      </x:c>
      <x:c r="E3" s="38" t="n">
        <x:v>90</x:v>
      </x:c>
      <x:c r="F3" s="38" t="str">
        <x:v>%</x:v>
      </x:c>
      <x:c r="G3" s="38" t="str">
        <x:v>Capacidade recuperada</x:v>
      </x:c>
      <x:c r="H3" s="38" t="str">
        <x:v>Volume / EBITDA Gerencial</x:v>
      </x:c>
      <x:c r="I3" s="38" t="str">
        <x:v>Driver OEE</x:v>
      </x:c>
      <x:c r="J3" s="38" t="str">
        <x:v>Alta</x:v>
      </x:c>
      <x:c r="K3" s="38" t="str">
        <x:v>Sim</x:v>
      </x:c>
      <x:c r="L3" s="38" t="str">
        <x:v>Atual→Meta</x:v>
      </x:c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38" t="str">
        <x:v>Produção</x:v>
      </x:c>
      <x:c r="B4" s="38" t="str">
        <x:v>Performance</x:v>
      </x:c>
      <x:c r="C4" s="38" t="str">
        <x:v>Meta</x:v>
      </x:c>
      <x:c r="D4" s="38" t="n">
        <x:v>86.7</x:v>
      </x:c>
      <x:c r="E4" s="38" t="n">
        <x:v>95</x:v>
      </x:c>
      <x:c r="F4" s="38" t="str">
        <x:v>%</x:v>
      </x:c>
      <x:c r="G4" s="38" t="str">
        <x:v>Produção adicional</x:v>
      </x:c>
      <x:c r="H4" s="38" t="str">
        <x:v>Volume / EBITDA Gerencial</x:v>
      </x:c>
      <x:c r="I4" s="38" t="str">
        <x:v>Driver OEE</x:v>
      </x:c>
      <x:c r="J4" s="38" t="str">
        <x:v>Alta</x:v>
      </x:c>
      <x:c r="K4" s="38" t="str">
        <x:v>Sim</x:v>
      </x:c>
      <x:c r="L4" s="38" t="str">
        <x:v>Atual→Meta</x:v>
      </x:c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38" t="str">
        <x:v>Produção</x:v>
      </x:c>
      <x:c r="B5" s="38" t="str">
        <x:v>Capacidade utilizada</x:v>
      </x:c>
      <x:c r="C5" s="38" t="str">
        <x:v>Meta</x:v>
      </x:c>
      <x:c r="D5" s="38" t="n">
        <x:v>71.7</x:v>
      </x:c>
      <x:c r="E5" s="38" t="n">
        <x:v>80</x:v>
      </x:c>
      <x:c r="F5" s="38" t="str">
        <x:v>%</x:v>
      </x:c>
      <x:c r="G5" s="38" t="str">
        <x:v>Capacidade</x:v>
      </x:c>
      <x:c r="H5" s="38" t="str">
        <x:v>Volume</x:v>
      </x:c>
      <x:c r="I5" s="38" t="str">
        <x:v>Limitada pela demanda</x:v>
      </x:c>
      <x:c r="J5" s="38" t="str">
        <x:v>Média</x:v>
      </x:c>
      <x:c r="K5" s="38" t="str">
        <x:v>Sim</x:v>
      </x:c>
      <x:c r="L5" s="38" t="str">
        <x:v>Não reduz custo fixo automaticamente</x:v>
      </x:c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38" t="str">
        <x:v>Qualidade</x:v>
      </x:c>
      <x:c r="B6" s="38" t="str">
        <x:v>Refugo</x:v>
      </x:c>
      <x:c r="C6" s="38" t="str">
        <x:v>Meta</x:v>
      </x:c>
      <x:c r="D6" s="38" t="n">
        <x:v>4.8</x:v>
      </x:c>
      <x:c r="E6" s="38" t="n">
        <x:v>2.5</x:v>
      </x:c>
      <x:c r="F6" s="38" t="str">
        <x:v>%</x:v>
      </x:c>
      <x:c r="G6" s="38" t="str">
        <x:v>MP / yield</x:v>
      </x:c>
      <x:c r="H6" s="38" t="str">
        <x:v>Margem / EBITDA Gerencial</x:v>
      </x:c>
      <x:c r="I6" s="38" t="str">
        <x:v>Custo MP</x:v>
      </x:c>
      <x:c r="J6" s="38" t="str">
        <x:v>Alta</x:v>
      </x:c>
      <x:c r="K6" s="38" t="str">
        <x:v>Sim</x:v>
      </x:c>
      <x:c r="L6" s="38" t="str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38" t="str">
        <x:v>Qualidade</x:v>
      </x:c>
      <x:c r="B7" s="38" t="str">
        <x:v>Retrabalho</x:v>
      </x:c>
      <x:c r="C7" s="38" t="str">
        <x:v>Meta</x:v>
      </x:c>
      <x:c r="D7" s="38" t="n">
        <x:v>3.8</x:v>
      </x:c>
      <x:c r="E7" s="38" t="n">
        <x:v>2</x:v>
      </x:c>
      <x:c r="F7" s="38" t="str">
        <x:v>%</x:v>
      </x:c>
      <x:c r="G7" s="38" t="str">
        <x:v>MOD / Energia</x:v>
      </x:c>
      <x:c r="H7" s="38" t="str">
        <x:v>Capacidade</x:v>
      </x:c>
      <x:c r="I7" s="38" t="str">
        <x:v>Custo retrabalho</x:v>
      </x:c>
      <x:c r="J7" s="38" t="str">
        <x:v>Alta</x:v>
      </x:c>
      <x:c r="K7" s="38" t="str">
        <x:v>Sim</x:v>
      </x:c>
      <x:c r="L7" s="38" t="str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38" t="str">
        <x:v>Processo</x:v>
      </x:c>
      <x:c r="B8" s="38" t="str">
        <x:v>Setup médio</x:v>
      </x:c>
      <x:c r="C8" s="38" t="str">
        <x:v>Meta</x:v>
      </x:c>
      <x:c r="D8" s="38" t="n">
        <x:v>48</x:v>
      </x:c>
      <x:c r="E8" s="38" t="n">
        <x:v>35</x:v>
      </x:c>
      <x:c r="F8" s="38" t="str">
        <x:v>min</x:v>
      </x:c>
      <x:c r="G8" s="38" t="str">
        <x:v>Disponibilidade</x:v>
      </x:c>
      <x:c r="H8" s="38" t="str">
        <x:v>Capacidade</x:v>
      </x:c>
      <x:c r="I8" s="38" t="str">
        <x:v>Driver de disponibilidade</x:v>
      </x:c>
      <x:c r="J8" s="38" t="str">
        <x:v>Alta</x:v>
      </x:c>
      <x:c r="K8" s="38" t="str">
        <x:v>Sim</x:v>
      </x:c>
      <x:c r="L8" s="38" t="str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8" t="str">
        <x:v>Processo</x:v>
      </x:c>
      <x:c r="B9" s="38" t="str">
        <x:v>Paradas não planejadas</x:v>
      </x:c>
      <x:c r="C9" s="38" t="str">
        <x:v>Meta</x:v>
      </x:c>
      <x:c r="D9" s="38" t="n">
        <x:v>420</x:v>
      </x:c>
      <x:c r="E9" s="38" t="n">
        <x:v>280</x:v>
      </x:c>
      <x:c r="F9" s="38" t="str">
        <x:v>h</x:v>
      </x:c>
      <x:c r="G9" s="38" t="str">
        <x:v>Disponibilidade</x:v>
      </x:c>
      <x:c r="H9" s="38" t="str">
        <x:v>Capacidade</x:v>
      </x:c>
      <x:c r="I9" s="38" t="str">
        <x:v>Driver de disponibilidade</x:v>
      </x:c>
      <x:c r="J9" s="38" t="str">
        <x:v>Alta</x:v>
      </x:c>
      <x:c r="K9" s="38" t="str">
        <x:v>Sim</x:v>
      </x:c>
      <x:c r="L9" s="38" t="str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8" t="str">
        <x:v>Processo</x:v>
      </x:c>
      <x:c r="B10" s="38" t="str">
        <x:v>MTTR</x:v>
      </x:c>
      <x:c r="C10" s="38" t="str">
        <x:v>Meta</x:v>
      </x:c>
      <x:c r="D10" s="38" t="n">
        <x:v>95</x:v>
      </x:c>
      <x:c r="E10" s="38" t="n">
        <x:v>70</x:v>
      </x:c>
      <x:c r="F10" s="38" t="str">
        <x:v>min</x:v>
      </x:c>
      <x:c r="G10" s="38" t="str">
        <x:v>Disponibilidade</x:v>
      </x:c>
      <x:c r="H10" s="38" t="str">
        <x:v>Capacidade</x:v>
      </x:c>
      <x:c r="I10" s="38" t="str">
        <x:v>Manutenção</x:v>
      </x:c>
      <x:c r="J10" s="38" t="str">
        <x:v>Alta</x:v>
      </x:c>
      <x:c r="K10" s="38" t="str">
        <x:v>Sim</x:v>
      </x:c>
      <x:c r="L10" s="38" t="str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8" t="str">
        <x:v>Pessoas</x:v>
      </x:c>
      <x:c r="B11" s="38" t="str">
        <x:v>Horas extras</x:v>
      </x:c>
      <x:c r="C11" s="38" t="str">
        <x:v>Meta</x:v>
      </x:c>
      <x:c r="D11" s="38" t="n">
        <x:v>6.5</x:v>
      </x:c>
      <x:c r="E11" s="38" t="n">
        <x:v>3.5</x:v>
      </x:c>
      <x:c r="F11" s="38" t="str">
        <x:v>%</x:v>
      </x:c>
      <x:c r="G11" s="38" t="str">
        <x:v>MOD</x:v>
      </x:c>
      <x:c r="H11" s="38" t="str">
        <x:v>EBITDA Gerencial</x:v>
      </x:c>
      <x:c r="I11" s="38" t="str">
        <x:v>Custo hora extra</x:v>
      </x:c>
      <x:c r="J11" s="38" t="str">
        <x:v>Alta</x:v>
      </x:c>
      <x:c r="K11" s="38" t="str">
        <x:v>Sim</x:v>
      </x:c>
      <x:c r="L11" s="38" t="str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8" t="str">
        <x:v>Pessoas</x:v>
      </x:c>
      <x:c r="B12" s="38" t="str">
        <x:v>Produtividade</x:v>
      </x:c>
      <x:c r="C12" s="38" t="str">
        <x:v>Meta</x:v>
      </x:c>
      <x:c r="D12" s="38" t="n">
        <x:v>0.88</x:v>
      </x:c>
      <x:c r="E12" s="38" t="n">
        <x:v>0.95</x:v>
      </x:c>
      <x:c r="F12" s="38" t="str">
        <x:v>índice</x:v>
      </x:c>
      <x:c r="G12" s="38" t="str">
        <x:v>MOD</x:v>
      </x:c>
      <x:c r="H12" s="38" t="str">
        <x:v>Margem</x:v>
      </x:c>
      <x:c r="I12" s="38" t="str">
        <x:v>HH padrão / HH real</x:v>
      </x:c>
      <x:c r="J12" s="38" t="str">
        <x:v>Alta</x:v>
      </x:c>
      <x:c r="K12" s="38" t="str">
        <x:v>Sim</x:v>
      </x:c>
      <x:c r="L12" s="38" t="str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8" t="str">
        <x:v>Pessoas</x:v>
      </x:c>
      <x:c r="B13" s="38" t="str">
        <x:v>Headcount</x:v>
      </x:c>
      <x:c r="C13" s="38" t="str">
        <x:v>Meta</x:v>
      </x:c>
      <x:c r="D13" s="38" t="n">
        <x:v>70</x:v>
      </x:c>
      <x:c r="E13" s="38" t="n">
        <x:v>68</x:v>
      </x:c>
      <x:c r="F13" s="38" t="str">
        <x:v>FTE</x:v>
      </x:c>
      <x:c r="G13" s="38" t="str">
        <x:v>MOD/OPEX</x:v>
      </x:c>
      <x:c r="H13" s="38" t="str">
        <x:v>EBITDA Gerencial</x:v>
      </x:c>
      <x:c r="I13" s="38" t="str">
        <x:v>Estrutura</x:v>
      </x:c>
      <x:c r="J13" s="38" t="str">
        <x:v>Média</x:v>
      </x:c>
      <x:c r="K13" s="38" t="str">
        <x:v>Sim</x:v>
      </x:c>
      <x:c r="L13" s="38" t="str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8" t="str">
        <x:v>Materiais</x:v>
      </x:c>
      <x:c r="B14" s="38" t="str">
        <x:v>Consumo específico MP</x:v>
      </x:c>
      <x:c r="C14" s="38" t="str">
        <x:v>Meta</x:v>
      </x:c>
      <x:c r="D14" s="38" t="n">
        <x:v>1.05</x:v>
      </x:c>
      <x:c r="E14" s="38" t="n">
        <x:v>1</x:v>
      </x:c>
      <x:c r="F14" s="38" t="str">
        <x:v>índice</x:v>
      </x:c>
      <x:c r="G14" s="38" t="str">
        <x:v>MP</x:v>
      </x:c>
      <x:c r="H14" s="38" t="str">
        <x:v>Margem / EBITDA Gerencial</x:v>
      </x:c>
      <x:c r="I14" s="38" t="str">
        <x:v>Padrão produto</x:v>
      </x:c>
      <x:c r="J14" s="38" t="str">
        <x:v>Alta</x:v>
      </x:c>
      <x:c r="K14" s="38" t="str">
        <x:v>Sim</x:v>
      </x:c>
      <x:c r="L14" s="38" t="str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8" t="str">
        <x:v>Materiais</x:v>
      </x:c>
      <x:c r="B15" s="38" t="str">
        <x:v>Preço de MP</x:v>
      </x:c>
      <x:c r="C15" s="38" t="str">
        <x:v>Meta</x:v>
      </x:c>
      <x:c r="D15" s="38" t="n">
        <x:v>9.45</x:v>
      </x:c>
      <x:c r="E15" s="38" t="n">
        <x:v>9.2</x:v>
      </x:c>
      <x:c r="F15" s="38" t="str">
        <x:v>R$/kg</x:v>
      </x:c>
      <x:c r="G15" s="38" t="str">
        <x:v>MP</x:v>
      </x:c>
      <x:c r="H15" s="38" t="str">
        <x:v>Margem / EBITDA Gerencial</x:v>
      </x:c>
      <x:c r="I15" s="38" t="str">
        <x:v>Compras</x:v>
      </x:c>
      <x:c r="J15" s="38" t="str">
        <x:v>Alta</x:v>
      </x:c>
      <x:c r="K15" s="38" t="str">
        <x:v>Sim</x:v>
      </x:c>
      <x:c r="L15" s="38" t="str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8" t="str">
        <x:v>Materiais</x:v>
      </x:c>
      <x:c r="B16" s="38" t="str">
        <x:v>Perdas de material</x:v>
      </x:c>
      <x:c r="C16" s="38" t="str">
        <x:v>Meta</x:v>
      </x:c>
      <x:c r="D16" s="38" t="n">
        <x:v>4</x:v>
      </x:c>
      <x:c r="E16" s="38" t="n">
        <x:v>2.5</x:v>
      </x:c>
      <x:c r="F16" s="38" t="str">
        <x:v>%</x:v>
      </x:c>
      <x:c r="G16" s="38" t="str">
        <x:v>MP</x:v>
      </x:c>
      <x:c r="H16" s="38" t="str">
        <x:v>Margem / EBITDA Gerencial</x:v>
      </x:c>
      <x:c r="I16" s="38" t="str">
        <x:v>Sem duplicar refugo</x:v>
      </x:c>
      <x:c r="J16" s="38" t="str">
        <x:v>Alta</x:v>
      </x:c>
      <x:c r="K16" s="38" t="str">
        <x:v>Sim</x:v>
      </x:c>
      <x:c r="L16" s="38" t="str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8" t="str">
        <x:v>Energia</x:v>
      </x:c>
      <x:c r="B17" s="38" t="str">
        <x:v>kWh/unidade</x:v>
      </x:c>
      <x:c r="C17" s="38" t="str">
        <x:v>Meta</x:v>
      </x:c>
      <x:c r="D17" s="38" t="n">
        <x:v>0.5</x:v>
      </x:c>
      <x:c r="E17" s="38" t="n">
        <x:v>0.46</x:v>
      </x:c>
      <x:c r="F17" s="38" t="str">
        <x:v>kWh/un</x:v>
      </x:c>
      <x:c r="G17" s="38" t="str">
        <x:v>Energia</x:v>
      </x:c>
      <x:c r="H17" s="38" t="str">
        <x:v>EBITDA Gerencial</x:v>
      </x:c>
      <x:c r="I17" s="38" t="str">
        <x:v>Volume</x:v>
      </x:c>
      <x:c r="J17" s="38" t="str">
        <x:v>Alta</x:v>
      </x:c>
      <x:c r="K17" s="38" t="str">
        <x:v>Sim</x:v>
      </x:c>
      <x:c r="L17" s="38" t="str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8" t="str">
        <x:v>Logística</x:v>
      </x:c>
      <x:c r="B18" s="38" t="str">
        <x:v>Frete/unidade</x:v>
      </x:c>
      <x:c r="C18" s="38" t="str">
        <x:v>Meta</x:v>
      </x:c>
      <x:c r="D18" s="38" t="n">
        <x:v>2.84</x:v>
      </x:c>
      <x:c r="E18" s="38" t="n">
        <x:v>2.55</x:v>
      </x:c>
      <x:c r="F18" s="38" t="str">
        <x:v>R$/un</x:v>
      </x:c>
      <x:c r="G18" s="38" t="str">
        <x:v>GGF Frete</x:v>
      </x:c>
      <x:c r="H18" s="38" t="str">
        <x:v>EBITDA Gerencial</x:v>
      </x:c>
      <x:c r="I18" s="38" t="str">
        <x:v>Volume entregue</x:v>
      </x:c>
      <x:c r="J18" s="38" t="str">
        <x:v>Alta</x:v>
      </x:c>
      <x:c r="K18" s="38" t="str">
        <x:v>Sim</x:v>
      </x:c>
      <x:c r="L18" s="38" t="str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8" t="str">
        <x:v>Logística</x:v>
      </x:c>
      <x:c r="B19" s="38" t="str">
        <x:v>OTIF</x:v>
      </x:c>
      <x:c r="C19" s="38" t="str">
        <x:v>Meta</x:v>
      </x:c>
      <x:c r="D19" s="38" t="n">
        <x:v>89</x:v>
      </x:c>
      <x:c r="E19" s="38" t="n">
        <x:v>95</x:v>
      </x:c>
      <x:c r="F19" s="38" t="str">
        <x:v>%</x:v>
      </x:c>
      <x:c r="G19" s="38" t="str">
        <x:v>Receita protegida</x:v>
      </x:c>
      <x:c r="H19" s="38" t="str">
        <x:v>Risco comercial</x:v>
      </x:c>
      <x:c r="I19" s="38" t="str">
        <x:v>Não somar automaticamente ao EBITDA</x:v>
      </x:c>
      <x:c r="J19" s="38" t="str">
        <x:v>Média</x:v>
      </x:c>
      <x:c r="K19" s="38" t="str">
        <x:v>Sim</x:v>
      </x:c>
      <x:c r="L19" s="38" t="str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8" t="str">
        <x:v>Financeiro</x:v>
      </x:c>
      <x:c r="B20" s="38" t="str">
        <x:v>Preço médio</x:v>
      </x:c>
      <x:c r="C20" s="38" t="str">
        <x:v>Meta</x:v>
      </x:c>
      <x:c r="D20" s="38" t="n">
        <x:v>78</x:v>
      </x:c>
      <x:c r="E20" s="38" t="n">
        <x:v>80</x:v>
      </x:c>
      <x:c r="F20" s="38" t="str">
        <x:v>R$/un</x:v>
      </x:c>
      <x:c r="G20" s="38" t="str">
        <x:v>Receita</x:v>
      </x:c>
      <x:c r="H20" s="38" t="str">
        <x:v>EBITDA Gerencial</x:v>
      </x:c>
      <x:c r="I20" s="38" t="str">
        <x:v>Volume vendido</x:v>
      </x:c>
      <x:c r="J20" s="38" t="str">
        <x:v>Alta</x:v>
      </x:c>
      <x:c r="K20" s="38" t="str">
        <x:v>Sim</x:v>
      </x:c>
      <x:c r="L20" s="38" t="str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8" t="str">
        <x:v>Financeiro</x:v>
      </x:c>
      <x:c r="B21" s="38" t="str">
        <x:v>Mix de produtos</x:v>
      </x:c>
      <x:c r="C21" s="38" t="str">
        <x:v>Meta</x:v>
      </x:c>
      <x:c r="D21" s="38" t="n">
        <x:v>1</x:v>
      </x:c>
      <x:c r="E21" s="38" t="n">
        <x:v>1.03</x:v>
      </x:c>
      <x:c r="F21" s="38" t="str">
        <x:v>índice</x:v>
      </x:c>
      <x:c r="G21" s="38" t="str">
        <x:v>Margem</x:v>
      </x:c>
      <x:c r="H21" s="38" t="str">
        <x:v>EBITDA Gerencial</x:v>
      </x:c>
      <x:c r="I21" s="38" t="str">
        <x:v>Mix</x:v>
      </x:c>
      <x:c r="J21" s="38" t="str">
        <x:v>Média</x:v>
      </x:c>
      <x:c r="K21" s="38" t="str">
        <x:v>Sim</x:v>
      </x:c>
      <x:c r="L21" s="38" t="str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8" t="str">
        <x:v>Financeiro</x:v>
      </x:c>
      <x:c r="B22" s="38" t="str">
        <x:v>Volume vendido</x:v>
      </x:c>
      <x:c r="C22" s="38" t="str">
        <x:v>Meta</x:v>
      </x:c>
      <x:c r="D22" s="38" t="n">
        <x:v>100000</x:v>
      </x:c>
      <x:c r="E22" s="38" t="n">
        <x:v>106000</x:v>
      </x:c>
      <x:c r="F22" s="38" t="str">
        <x:v>un</x:v>
      </x:c>
      <x:c r="G22" s="38" t="str">
        <x:v>Receita</x:v>
      </x:c>
      <x:c r="H22" s="38" t="str">
        <x:v>EBITDA Gerencial</x:v>
      </x:c>
      <x:c r="I22" s="38" t="str">
        <x:v>Demanda</x:v>
      </x:c>
      <x:c r="J22" s="38" t="str">
        <x:v>Alta</x:v>
      </x:c>
      <x:c r="K22" s="38" t="str">
        <x:v>Sim</x:v>
      </x:c>
      <x:c r="L22" s="38" t="str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8" t="str">
        <x:v>Estrutura</x:v>
      </x:c>
      <x:c r="B23" s="38" t="str">
        <x:v>Custo fixo</x:v>
      </x:c>
      <x:c r="C23" s="38" t="str">
        <x:v>Meta</x:v>
      </x:c>
      <x:c r="D23" s="38" t="n">
        <x:v>100</x:v>
      </x:c>
      <x:c r="E23" s="38" t="n">
        <x:v>97</x:v>
      </x:c>
      <x:c r="F23" s="38" t="str">
        <x:v>índice</x:v>
      </x:c>
      <x:c r="G23" s="38" t="str">
        <x:v>Resultado Industrial</x:v>
      </x:c>
      <x:c r="H23" s="38" t="str">
        <x:v>EBITDA Gerencial</x:v>
      </x:c>
      <x:c r="I23" s="38" t="str">
        <x:v>Estrutura</x:v>
      </x:c>
      <x:c r="J23" s="38" t="str">
        <x:v>Alta</x:v>
      </x:c>
      <x:c r="K23" s="38" t="str">
        <x:v>Sim</x:v>
      </x:c>
      <x:c r="L23" s="38" t="str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8" t="str">
        <x:v>Estrutura</x:v>
      </x:c>
      <x:c r="B24" s="38" t="str">
        <x:v>Contratos/serviços</x:v>
      </x:c>
      <x:c r="C24" s="38" t="str">
        <x:v>Meta</x:v>
      </x:c>
      <x:c r="D24" s="38" t="n">
        <x:v>100</x:v>
      </x:c>
      <x:c r="E24" s="38" t="n">
        <x:v>94</x:v>
      </x:c>
      <x:c r="F24" s="38" t="str">
        <x:v>índice</x:v>
      </x:c>
      <x:c r="G24" s="38" t="str">
        <x:v>GGF</x:v>
      </x:c>
      <x:c r="H24" s="38" t="str">
        <x:v>EBITDA Gerencial</x:v>
      </x:c>
      <x:c r="I24" s="38" t="str">
        <x:v>Contratos</x:v>
      </x:c>
      <x:c r="J24" s="38" t="str">
        <x:v>Alta</x:v>
      </x:c>
      <x:c r="K24" s="38" t="str">
        <x:v>Sim</x:v>
      </x:c>
      <x:c r="L24" s="38" t="str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8" t="str">
        <x:v>Capital</x:v>
      </x:c>
      <x:c r="B25" s="38" t="str">
        <x:v>Estoque</x:v>
      </x:c>
      <x:c r="C25" s="38" t="str">
        <x:v>Meta</x:v>
      </x:c>
      <x:c r="D25" s="38" t="n">
        <x:v>38</x:v>
      </x:c>
      <x:c r="E25" s="38" t="n">
        <x:v>32</x:v>
      </x:c>
      <x:c r="F25" s="38" t="str">
        <x:v>dias</x:v>
      </x:c>
      <x:c r="G25" s="38" t="str">
        <x:v>Capital de giro</x:v>
      </x:c>
      <x:c r="H25" s="38" t="str">
        <x:v>Caixa</x:v>
      </x:c>
      <x:c r="I25" s="38" t="str">
        <x:v>Fora do EBITDA</x:v>
      </x:c>
      <x:c r="J25" s="38" t="str">
        <x:v>Alta</x:v>
      </x:c>
      <x:c r="K25" s="38" t="str">
        <x:v>Sim</x:v>
      </x:c>
      <x:c r="L25" s="38" t="str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8" t="str">
        <x:v>Capital</x:v>
      </x:c>
      <x:c r="B26" s="38" t="str">
        <x:v>Prazo fornecedor</x:v>
      </x:c>
      <x:c r="C26" s="38" t="str">
        <x:v>Meta</x:v>
      </x:c>
      <x:c r="D26" s="38" t="n">
        <x:v>30</x:v>
      </x:c>
      <x:c r="E26" s="38" t="n">
        <x:v>35</x:v>
      </x:c>
      <x:c r="F26" s="38" t="str">
        <x:v>dias</x:v>
      </x:c>
      <x:c r="G26" s="38" t="str">
        <x:v>Capital de giro</x:v>
      </x:c>
      <x:c r="H26" s="38" t="str">
        <x:v>Caixa</x:v>
      </x:c>
      <x:c r="I26" s="38" t="str">
        <x:v>Fora do EBITDA</x:v>
      </x:c>
      <x:c r="J26" s="38" t="str">
        <x:v>Alta</x:v>
      </x:c>
      <x:c r="K26" s="38" t="str">
        <x:v>Sim</x:v>
      </x:c>
      <x:c r="L26" s="38" t="str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8" t="str">
        <x:v>Capital</x:v>
      </x:c>
      <x:c r="B27" s="38" t="str">
        <x:v>Prazo cliente</x:v>
      </x:c>
      <x:c r="C27" s="38" t="str">
        <x:v>Meta</x:v>
      </x:c>
      <x:c r="D27" s="38" t="n">
        <x:v>35</x:v>
      </x:c>
      <x:c r="E27" s="38" t="n">
        <x:v>30</x:v>
      </x:c>
      <x:c r="F27" s="38" t="str">
        <x:v>dias</x:v>
      </x:c>
      <x:c r="G27" s="38" t="str">
        <x:v>Capital de giro</x:v>
      </x:c>
      <x:c r="H27" s="38" t="str">
        <x:v>Caixa</x:v>
      </x:c>
      <x:c r="I27" s="38" t="str">
        <x:v>Fora do EBITDA</x:v>
      </x:c>
      <x:c r="J27" s="38" t="str">
        <x:v>Alta</x:v>
      </x:c>
      <x:c r="K27" s="38" t="str">
        <x:v>Sim</x:v>
      </x:c>
      <x:c r="L27" s="38" t="str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8" hidden="0" customWidth="1"/>
    <x:col min="4" max="4" width="32" hidden="0" customWidth="1"/>
    <x:col min="5" max="5" width="52" hidden="0" customWidth="1"/>
  </x:cols>
  <x:sheetData>
    <x:row r="1">
      <x:c r="A1" s="22" t="str">
        <x:v>Chave</x:v>
      </x:c>
      <x:c r="B1" s="22" t="str">
        <x:v>Valor</x:v>
      </x:c>
      <x:c r="C1" s="22" t="str">
        <x:v>Unidade</x:v>
      </x:c>
      <x:c r="D1" s="22" t="str">
        <x:v>Uso_no_Motor</x:v>
      </x:c>
      <x:c r="E1" s="22" t="str">
        <x:v>Observacao</x:v>
      </x:c>
    </x:row>
    <x:row r="2">
      <x:c r="A2" s="38" t="str">
        <x:v>moeda</x:v>
      </x:c>
      <x:c r="B2" s="38" t="str">
        <x:v>BRL</x:v>
      </x:c>
      <x:c r="C2" s="38" t="str">
        <x:v>R$</x:v>
      </x:c>
      <x:c r="D2" s="38" t="str">
        <x:v>Apresentação financeira</x:v>
      </x:c>
      <x:c r="E2" s="38" t="str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38" t="str">
        <x:v>margem_contrib_media</x:v>
      </x:c>
      <x:c r="B3" s="38" t="n">
        <x:v>30</x:v>
      </x:c>
      <x:c r="C3" s="38" t="str">
        <x:v>%</x:v>
      </x:c>
      <x:c r="D3" s="38" t="str">
        <x:v>Fallback de valorização de volume</x:v>
      </x:c>
      <x:c r="E3" s="38" t="str">
        <x:v>Somente se mix detalhado não estiver disponível</x:v>
      </x:c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38" t="str">
        <x:v>dias_seguranca_supply</x:v>
      </x:c>
      <x:c r="B4" s="38" t="n">
        <x:v>3</x:v>
      </x:c>
      <x:c r="C4" s="38" t="str">
        <x:v>dias</x:v>
      </x:c>
      <x:c r="D4" s="38" t="str">
        <x:v>Risco de ruptura</x:v>
      </x:c>
      <x:c r="E4" s="38" t="str">
        <x:v>Cobertura vs lead time + segurança</x:v>
      </x:c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38" t="str">
        <x:v>custo_hora_extra_multiplicador</x:v>
      </x:c>
      <x:c r="B5" s="38" t="n">
        <x:v>1.5</x:v>
      </x:c>
      <x:c r="C5" s="38" t="str">
        <x:v>x</x:v>
      </x:c>
      <x:c r="D5" s="38" t="str">
        <x:v>Custo MOD</x:v>
      </x:c>
      <x:c r="E5" s="38" t="str"/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38" t="str">
        <x:v>tarifa_energia</x:v>
      </x:c>
      <x:c r="B6" s="38" t="n">
        <x:v>0.82</x:v>
      </x:c>
      <x:c r="C6" s="38" t="str">
        <x:v>R$/kWh</x:v>
      </x:c>
      <x:c r="D6" s="38" t="str">
        <x:v>Custo energia</x:v>
      </x:c>
      <x:c r="E6" s="38" t="str"/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38" t="str">
        <x:v>meta_oee</x:v>
      </x:c>
      <x:c r="B7" s="38" t="n">
        <x:v>85</x:v>
      </x:c>
      <x:c r="C7" s="38" t="str">
        <x:v>%</x:v>
      </x:c>
      <x:c r="D7" s="38" t="str">
        <x:v>OEE</x:v>
      </x:c>
      <x:c r="E7" s="38" t="str"/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38" t="str">
        <x:v>meta_otif</x:v>
      </x:c>
      <x:c r="B8" s="38" t="n">
        <x:v>95</x:v>
      </x:c>
      <x:c r="C8" s="38" t="str">
        <x:v>%</x:v>
      </x:c>
      <x:c r="D8" s="38" t="str">
        <x:v>Logística</x:v>
      </x:c>
      <x:c r="E8" s="38" t="str"/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8" t="str">
        <x:v>meta_wape</x:v>
      </x:c>
      <x:c r="B9" s="38" t="n">
        <x:v>10</x:v>
      </x:c>
      <x:c r="C9" s="38" t="str">
        <x:v>%</x:v>
      </x:c>
      <x:c r="D9" s="38" t="str">
        <x:v>PCP</x:v>
      </x:c>
      <x:c r="E9" s="38" t="str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8" t="str">
        <x:v>meta_capacidade_utilizada</x:v>
      </x:c>
      <x:c r="B10" s="38" t="n">
        <x:v>80</x:v>
      </x:c>
      <x:c r="C10" s="38" t="str">
        <x:v>%</x:v>
      </x:c>
      <x:c r="D10" s="38" t="str">
        <x:v>Capacidade</x:v>
      </x:c>
      <x:c r="E10" s="38" t="str">
        <x:v>Demanda condiciona monetização</x:v>
      </x:c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8" t="str">
        <x:v>regra_oee_multiplantas</x:v>
      </x:c>
      <x:c r="B11" s="38" t="str">
        <x:v>NÃO CONSOLIDAR</x:v>
      </x:c>
      <x:c r="C11" s="38" t="str">
        <x:v>texto</x:v>
      </x:c>
      <x:c r="D11" s="38" t="str">
        <x:v>Visão Multiplantas</x:v>
      </x:c>
      <x:c r="E11" s="38" t="str">
        <x:v>Exibir OEE individual por planta</x:v>
      </x:c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8" t="str">
        <x:v>nome_ebitda</x:v>
      </x:c>
      <x:c r="B12" s="38" t="str">
        <x:v>EBITDA Gerencial</x:v>
      </x:c>
      <x:c r="C12" s="38" t="str">
        <x:v>texto</x:v>
      </x:c>
      <x:c r="D12" s="38" t="str">
        <x:v>Finanças &amp; DRE</x:v>
      </x:c>
      <x:c r="E12" s="38" t="str">
        <x:v>Nomenclatura oficial</x:v>
      </x:c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4" hidden="0" customWidth="1"/>
    <x:col min="5" max="5" width="22" hidden="0" customWidth="1"/>
    <x:col min="6" max="6" width="36" hidden="0" customWidth="1"/>
    <x:col min="7" max="7" width="36" hidden="0" customWidth="1"/>
  </x:cols>
  <x:sheetData>
    <x:row r="1">
      <x:c r="A1" s="22" t="str">
        <x:v>Dimensao</x:v>
      </x:c>
      <x:c r="B1" s="22" t="str">
        <x:v>Nivel</x:v>
      </x:c>
      <x:c r="C1" s="22" t="str">
        <x:v>Limite</x:v>
      </x:c>
      <x:c r="D1" s="22" t="str">
        <x:v>Unidade</x:v>
      </x:c>
      <x:c r="E1" s="22" t="str">
        <x:v>Tratamento</x:v>
      </x:c>
      <x:c r="F1" s="22" t="str">
        <x:v>Interpretacao</x:v>
      </x:c>
      <x:c r="G1" s="22" t="str">
        <x:v>Observacao</x:v>
      </x:c>
    </x:row>
    <x:row r="2">
      <x:c r="A2" s="28" t="str">
        <x:v>Impacto Financeiro</x:v>
      </x:c>
      <x:c r="B2" s="28" t="str">
        <x:v>Alto</x:v>
      </x:c>
      <x:c r="C2" s="28" t="n">
        <x:v>500000</x:v>
      </x:c>
      <x:c r="D2" s="28" t="str">
        <x:v>R$</x:v>
      </x:c>
      <x:c r="E2" s="28" t="str">
        <x:v>Prioridade 1</x:v>
      </x:c>
      <x:c r="F2" s="28" t="str">
        <x:v>Maior potencial de valor</x:v>
      </x:c>
      <x:c r="G2" s="28" t="str"/>
    </x:row>
    <x:row r="3">
      <x:c r="A3" s="28" t="str">
        <x:v>Impacto Financeiro</x:v>
      </x:c>
      <x:c r="B3" s="28" t="str">
        <x:v>Médio</x:v>
      </x:c>
      <x:c r="C3" s="28" t="n">
        <x:v>150000</x:v>
      </x:c>
      <x:c r="D3" s="28" t="str">
        <x:v>R$</x:v>
      </x:c>
      <x:c r="E3" s="28" t="str">
        <x:v>Prioridade 2</x:v>
      </x:c>
      <x:c r="F3" s="28" t="str">
        <x:v>Potencial relevante</x:v>
      </x:c>
      <x:c r="G3" s="28" t="str"/>
    </x:row>
    <x:row r="4">
      <x:c r="A4" s="28" t="str">
        <x:v>Impacto Financeiro</x:v>
      </x:c>
      <x:c r="B4" s="28" t="str">
        <x:v>Baixo</x:v>
      </x:c>
      <x:c r="C4" s="28" t="n">
        <x:v>0</x:v>
      </x:c>
      <x:c r="D4" s="28" t="str">
        <x:v>R$</x:v>
      </x:c>
      <x:c r="E4" s="28" t="str">
        <x:v>Prioridade 3</x:v>
      </x:c>
      <x:c r="F4" s="28" t="str">
        <x:v>Monitorar</x:v>
      </x:c>
      <x:c r="G4" s="28" t="str"/>
    </x:row>
    <x:row r="5">
      <x:c r="A5" s="28" t="str">
        <x:v>Confiança</x:v>
      </x:c>
      <x:c r="B5" s="28" t="str">
        <x:v>Alta</x:v>
      </x:c>
      <x:c r="C5" s="28" t="n">
        <x:v>0.85</x:v>
      </x:c>
      <x:c r="D5" s="28" t="str">
        <x:v>%</x:v>
      </x:c>
      <x:c r="E5" s="28" t="str">
        <x:v>Pode afirmar</x:v>
      </x:c>
      <x:c r="F5" s="28" t="str">
        <x:v>Dados suportam causalidade</x:v>
      </x:c>
      <x:c r="G5" s="28" t="str"/>
    </x:row>
    <x:row r="6">
      <x:c r="A6" s="28" t="str">
        <x:v>Confiança</x:v>
      </x:c>
      <x:c r="B6" s="28" t="str">
        <x:v>Média</x:v>
      </x:c>
      <x:c r="C6" s="28" t="n">
        <x:v>0.65</x:v>
      </x:c>
      <x:c r="D6" s="28" t="str">
        <x:v>%</x:v>
      </x:c>
      <x:c r="E6" s="28" t="str">
        <x:v>Possível causa</x:v>
      </x:c>
      <x:c r="F6" s="28" t="str">
        <x:v>Exige validação</x:v>
      </x:c>
      <x:c r="G6" s="28" t="str"/>
    </x:row>
    <x:row r="7">
      <x:c r="A7" s="28" t="str">
        <x:v>Confiança</x:v>
      </x:c>
      <x:c r="B7" s="28" t="str">
        <x:v>Baixa</x:v>
      </x:c>
      <x:c r="C7" s="28" t="n">
        <x:v>0</x:v>
      </x:c>
      <x:c r="D7" s="28" t="str">
        <x:v>%</x:v>
      </x:c>
      <x:c r="E7" s="28" t="str">
        <x:v>Hipótese / dado faltante</x:v>
      </x:c>
      <x:c r="F7" s="28" t="str">
        <x:v>Não afirmar causalidade</x:v>
      </x:c>
      <x:c r="G7" s="28" t="str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30" hidden="0" customWidth="1"/>
    <x:col min="4" max="4" width="22" hidden="0" customWidth="1"/>
    <x:col min="5" max="5" width="64" hidden="0" customWidth="1"/>
  </x:cols>
  <x:sheetData>
    <x:row r="1">
      <x:c r="A1" s="22" t="str">
        <x:v>Aba</x:v>
      </x:c>
      <x:c r="B1" s="22" t="str">
        <x:v>Principais_Campos</x:v>
      </x:c>
      <x:c r="C1" s="22" t="str">
        <x:v>Tela_Produto</x:v>
      </x:c>
      <x:c r="D1" s="22" t="str">
        <x:v>Granularidade</x:v>
      </x:c>
      <x:c r="E1" s="22" t="str">
        <x:v>Regra_Importante</x:v>
      </x:c>
    </x:row>
    <x:row r="2">
      <x:c r="A2" s="28" t="str">
        <x:v>Producao</x:v>
      </x:c>
      <x:c r="B2" s="28" t="str">
        <x:v>Planejado / Realizado / Horas / Velocidade</x:v>
      </x:c>
      <x:c r="C2" s="28" t="str">
        <x:v>Produção &amp; OEE; PCP contexto</x:v>
      </x:c>
      <x:c r="D2" s="28" t="str">
        <x:v>Semanal</x:v>
      </x:c>
      <x:c r="E2" s="28" t="str">
        <x:v>Base para disponibilidade/performance e produção real</x:v>
      </x:c>
    </x:row>
    <x:row r="3">
      <x:c r="A3" s="28" t="str">
        <x:v>Qualidade</x:v>
      </x:c>
      <x:c r="B3" s="28" t="str">
        <x:v>Produzido / Aprovado / Refugo / Retrabalho</x:v>
      </x:c>
      <x:c r="C3" s="28" t="str">
        <x:v>Produção &amp; OEE</x:v>
      </x:c>
      <x:c r="D3" s="28" t="str">
        <x:v>Semanal</x:v>
      </x:c>
      <x:c r="E3" s="28" t="str">
        <x:v>Qualidade OEE = aprovado/produzido; refugo/retrabalho separados</x:v>
      </x:c>
    </x:row>
    <x:row r="4">
      <x:c r="A4" s="28" t="str">
        <x:v>Manutencao</x:v>
      </x:c>
      <x:c r="B4" s="28" t="str">
        <x:v>Eventos, duração, causa</x:v>
      </x:c>
      <x:c r="C4" s="28" t="str">
        <x:v>Produção &amp; OEE</x:v>
      </x:c>
      <x:c r="D4" s="28" t="str">
        <x:v>Evento semanal</x:v>
      </x:c>
      <x:c r="E4" s="28" t="str">
        <x:v>Causa só é afirmada quando Evidencia_Causal = Sim</x:v>
      </x:c>
    </x:row>
    <x:row r="5">
      <x:c r="A5" s="28" t="str">
        <x:v>Pessoas</x:v>
      </x:c>
      <x:c r="B5" s="28" t="str">
        <x:v>HH reais, extras, HH padrão ganhas</x:v>
      </x:c>
      <x:c r="C5" s="28" t="str">
        <x:v>OEE/Alavancas/Diagnóstico</x:v>
      </x:c>
      <x:c r="D5" s="28" t="str">
        <x:v>Semanal</x:v>
      </x:c>
      <x:c r="E5" s="28" t="str">
        <x:v>Eficiência MOD = HH padrão ganhas / HH reais</x:v>
      </x:c>
    </x:row>
    <x:row r="6">
      <x:c r="A6" s="28" t="str">
        <x:v>PCP</x:v>
      </x:c>
      <x:c r="B6" s="28" t="str">
        <x:v>Forecast, MRP/Plano, Produzido, Demanda Confirmada</x:v>
      </x:c>
      <x:c r="C6" s="28" t="str">
        <x:v>PCP &amp; Aderência; Capacidade</x:v>
      </x:c>
      <x:c r="D6" s="28" t="str">
        <x:v>Semanal/SKU</x:v>
      </x:c>
      <x:c r="E6" s="28" t="str">
        <x:v>Base para MAPE, WAPE, Bias e aderência</x:v>
      </x:c>
    </x:row>
    <x:row r="7">
      <x:c r="A7" s="28" t="str">
        <x:v>Capacidade</x:v>
      </x:c>
      <x:c r="B7" s="28" t="str">
        <x:v>Nominal, real, ociosa, recuperável, demanda, monetizável</x:v>
      </x:c>
      <x:c r="C7" s="28" t="str">
        <x:v>Capacidade</x:v>
      </x:c>
      <x:c r="D7" s="28" t="str">
        <x:v>Mensal/Linha</x:v>
      </x:c>
      <x:c r="E7" s="28" t="str">
        <x:v>Não estimar nominal fora desta fonte</x:v>
      </x:c>
    </x:row>
    <x:row r="8">
      <x:c r="A8" s="28" t="str">
        <x:v>Supply</x:v>
      </x:c>
      <x:c r="B8" s="28" t="str">
        <x:v>Consumo padrão/real, cobertura, lead time, fornecedor</x:v>
      </x:c>
      <x:c r="C8" s="28" t="str">
        <x:v>Materiais &amp; Supply</x:v>
      </x:c>
      <x:c r="D8" s="28" t="str">
        <x:v>Mensal/Material</x:v>
      </x:c>
      <x:c r="E8" s="28" t="str">
        <x:v>Risco depende de cobertura vs lead time + segurança</x:v>
      </x:c>
    </x:row>
    <x:row r="9">
      <x:c r="A9" s="28" t="str">
        <x:v>Logistica</x:v>
      </x:c>
      <x:c r="B9" s="28" t="str">
        <x:v>On Time, In Full, OTIF, Frete, Ocupação</x:v>
      </x:c>
      <x:c r="C9" s="28" t="str">
        <x:v>Logística</x:v>
      </x:c>
      <x:c r="D9" s="28" t="str">
        <x:v>Mensal/Transportadora</x:v>
      </x:c>
      <x:c r="E9" s="28" t="str">
        <x:v>OTIF = pedidos OTIF / total</x:v>
      </x:c>
    </x:row>
    <x:row r="10">
      <x:c r="A10" s="28" t="str">
        <x:v>Pedidos_Logistica</x:v>
      </x:c>
      <x:c r="B10" s="28" t="str">
        <x:v>Pedido, cliente, datas, status, receita em risco</x:v>
      </x:c>
      <x:c r="C10" s="28" t="str">
        <x:v>Logística</x:v>
      </x:c>
      <x:c r="D10" s="28" t="str">
        <x:v>Pedido</x:v>
      </x:c>
      <x:c r="E10" s="28" t="str">
        <x:v>Permite pedidos críticos e receita em risco</x:v>
      </x:c>
    </x:row>
    <x:row r="11">
      <x:c r="A11" s="28" t="str">
        <x:v>DRE_Gerencial</x:v>
      </x:c>
      <x:c r="B11" s="28" t="str">
        <x:v>Linhas financeiras e EBITDA Gerencial</x:v>
      </x:c>
      <x:c r="C11" s="28" t="str">
        <x:v>Finanças &amp; DRE</x:v>
      </x:c>
      <x:c r="D11" s="28" t="str">
        <x:v>Mensal/Planta</x:v>
      </x:c>
      <x:c r="E11" s="28" t="str">
        <x:v>Frete em GGF; EBITDA Gerencial calculado</x:v>
      </x:c>
    </x:row>
  </x:sheetData>
  <x:pageMargins left="0.7" right="0.7" top="0.75" bottom="0.75" header="0.3" footer="0.3"/>
</x:worksheet>
</file>